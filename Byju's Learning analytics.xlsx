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4.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elcotedu-my.sharepoint.com/personal/s0901168_edu_elcot_in/Documents/Desktop/excel project/"/>
    </mc:Choice>
  </mc:AlternateContent>
  <xr:revisionPtr revIDLastSave="2919" documentId="13_ncr:1_{B5ABAB93-8E8C-47A2-8447-A6AF60882675}" xr6:coauthVersionLast="47" xr6:coauthVersionMax="47" xr10:uidLastSave="{FB50C71F-51EA-4E2A-A35E-AC0EE514BC70}"/>
  <bookViews>
    <workbookView xWindow="-120" yWindow="-120" windowWidth="20730" windowHeight="11040" tabRatio="516" firstSheet="1" activeTab="5" xr2:uid="{00000000-000D-0000-FFFF-FFFF00000000}"/>
  </bookViews>
  <sheets>
    <sheet name="Raw_Data" sheetId="2" r:id="rId1"/>
    <sheet name="formula" sheetId="14" r:id="rId2"/>
    <sheet name="cleaned data" sheetId="3" r:id="rId3"/>
    <sheet name="pivot tables" sheetId="11" r:id="rId4"/>
    <sheet name="insights" sheetId="12" r:id="rId5"/>
    <sheet name="Dashboard " sheetId="6" r:id="rId6"/>
  </sheets>
  <definedNames>
    <definedName name="_xlcn.WorksheetConnection_Cleaned_DataA10AC625" hidden="1">'cleaned data'!$A$10:$AC$625</definedName>
    <definedName name="Slicer_Course_Type_Clean">#N/A</definedName>
    <definedName name="Slicer_Learning_Mode_Clean">#N/A</definedName>
    <definedName name="Slicer_State_Clean">#N/A</definedName>
  </definedNames>
  <calcPr calcId="191029" iterateDelta="1E-4"/>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_Data!$A$10:$AC$62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597" i="3" l="1"/>
  <c r="U599"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8"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11" i="3"/>
  <c r="U5" i="3" s="1"/>
  <c r="T6" i="3"/>
  <c r="AB625" i="3"/>
  <c r="AC625" i="3" s="1"/>
  <c r="AA625" i="3"/>
  <c r="Z625" i="3"/>
  <c r="Y625" i="3"/>
  <c r="X625" i="3"/>
  <c r="W625" i="3"/>
  <c r="V625" i="3"/>
  <c r="T625" i="3"/>
  <c r="S625" i="3"/>
  <c r="R625" i="3"/>
  <c r="Q625" i="3"/>
  <c r="P625" i="3"/>
  <c r="O625" i="3"/>
  <c r="N625" i="3"/>
  <c r="K625" i="3"/>
  <c r="J625" i="3"/>
  <c r="I625" i="3"/>
  <c r="H625" i="3"/>
  <c r="G625" i="3"/>
  <c r="F625" i="3"/>
  <c r="E625" i="3"/>
  <c r="D625" i="3"/>
  <c r="C625" i="3"/>
  <c r="L625" i="3" s="1"/>
  <c r="M625" i="3" s="1"/>
  <c r="B625" i="3"/>
  <c r="A625" i="3"/>
  <c r="AB624" i="3"/>
  <c r="AC624" i="3" s="1"/>
  <c r="AA624" i="3"/>
  <c r="Z624" i="3"/>
  <c r="Y624" i="3"/>
  <c r="X624" i="3"/>
  <c r="W624" i="3"/>
  <c r="V624" i="3"/>
  <c r="T624" i="3"/>
  <c r="S624" i="3"/>
  <c r="R624" i="3"/>
  <c r="Q624" i="3"/>
  <c r="P624" i="3"/>
  <c r="O624" i="3"/>
  <c r="N624" i="3"/>
  <c r="K624" i="3"/>
  <c r="J624" i="3"/>
  <c r="I624" i="3"/>
  <c r="H624" i="3"/>
  <c r="G624" i="3"/>
  <c r="F624" i="3"/>
  <c r="E624" i="3"/>
  <c r="D624" i="3"/>
  <c r="C624" i="3"/>
  <c r="L624" i="3" s="1"/>
  <c r="M624" i="3" s="1"/>
  <c r="B624" i="3"/>
  <c r="A624" i="3"/>
  <c r="AB623" i="3"/>
  <c r="AC623" i="3" s="1"/>
  <c r="AA623" i="3"/>
  <c r="Z623" i="3"/>
  <c r="Y623" i="3"/>
  <c r="X623" i="3"/>
  <c r="W623" i="3"/>
  <c r="V623" i="3"/>
  <c r="T623" i="3"/>
  <c r="S623" i="3"/>
  <c r="R623" i="3"/>
  <c r="Q623" i="3"/>
  <c r="P623" i="3"/>
  <c r="O623" i="3"/>
  <c r="N623" i="3"/>
  <c r="K623" i="3"/>
  <c r="J623" i="3"/>
  <c r="I623" i="3"/>
  <c r="H623" i="3"/>
  <c r="G623" i="3"/>
  <c r="F623" i="3"/>
  <c r="E623" i="3"/>
  <c r="D623" i="3"/>
  <c r="C623" i="3"/>
  <c r="L623" i="3" s="1"/>
  <c r="M623" i="3" s="1"/>
  <c r="B623" i="3"/>
  <c r="A623" i="3"/>
  <c r="AB622" i="3"/>
  <c r="AC622" i="3" s="1"/>
  <c r="AA622" i="3"/>
  <c r="Z622" i="3"/>
  <c r="Y622" i="3"/>
  <c r="X622" i="3"/>
  <c r="W622" i="3"/>
  <c r="V622" i="3"/>
  <c r="T622" i="3"/>
  <c r="S622" i="3"/>
  <c r="R622" i="3"/>
  <c r="Q622" i="3"/>
  <c r="P622" i="3"/>
  <c r="O622" i="3"/>
  <c r="N622" i="3"/>
  <c r="K622" i="3"/>
  <c r="J622" i="3"/>
  <c r="I622" i="3"/>
  <c r="H622" i="3"/>
  <c r="G622" i="3"/>
  <c r="F622" i="3"/>
  <c r="E622" i="3"/>
  <c r="D622" i="3"/>
  <c r="C622" i="3"/>
  <c r="L622" i="3" s="1"/>
  <c r="M622" i="3" s="1"/>
  <c r="B622" i="3"/>
  <c r="A622" i="3"/>
  <c r="AB621" i="3"/>
  <c r="AC621" i="3" s="1"/>
  <c r="AA621" i="3"/>
  <c r="Z621" i="3"/>
  <c r="Y621" i="3"/>
  <c r="X621" i="3"/>
  <c r="W621" i="3"/>
  <c r="V621" i="3"/>
  <c r="T621" i="3"/>
  <c r="S621" i="3"/>
  <c r="R621" i="3"/>
  <c r="Q621" i="3"/>
  <c r="P621" i="3"/>
  <c r="O621" i="3"/>
  <c r="N621" i="3"/>
  <c r="K621" i="3"/>
  <c r="J621" i="3"/>
  <c r="I621" i="3"/>
  <c r="H621" i="3"/>
  <c r="G621" i="3"/>
  <c r="F621" i="3"/>
  <c r="E621" i="3"/>
  <c r="D621" i="3"/>
  <c r="C621" i="3"/>
  <c r="L621" i="3" s="1"/>
  <c r="M621" i="3" s="1"/>
  <c r="B621" i="3"/>
  <c r="A621" i="3"/>
  <c r="AB620" i="3"/>
  <c r="AC620" i="3" s="1"/>
  <c r="AA620" i="3"/>
  <c r="Z620" i="3"/>
  <c r="Y620" i="3"/>
  <c r="X620" i="3"/>
  <c r="W620" i="3"/>
  <c r="V620" i="3"/>
  <c r="T620" i="3"/>
  <c r="S620" i="3"/>
  <c r="R620" i="3"/>
  <c r="Q620" i="3"/>
  <c r="P620" i="3"/>
  <c r="O620" i="3"/>
  <c r="N620" i="3"/>
  <c r="K620" i="3"/>
  <c r="J620" i="3"/>
  <c r="I620" i="3"/>
  <c r="H620" i="3"/>
  <c r="G620" i="3"/>
  <c r="F620" i="3"/>
  <c r="E620" i="3"/>
  <c r="D620" i="3"/>
  <c r="C620" i="3"/>
  <c r="L620" i="3" s="1"/>
  <c r="M620" i="3" s="1"/>
  <c r="B620" i="3"/>
  <c r="A620" i="3"/>
  <c r="AB619" i="3"/>
  <c r="AC619" i="3" s="1"/>
  <c r="AA619" i="3"/>
  <c r="Z619" i="3"/>
  <c r="Y619" i="3"/>
  <c r="X619" i="3"/>
  <c r="W619" i="3"/>
  <c r="V619" i="3"/>
  <c r="T619" i="3"/>
  <c r="S619" i="3"/>
  <c r="R619" i="3"/>
  <c r="Q619" i="3"/>
  <c r="P619" i="3"/>
  <c r="O619" i="3"/>
  <c r="N619" i="3"/>
  <c r="K619" i="3"/>
  <c r="J619" i="3"/>
  <c r="I619" i="3"/>
  <c r="H619" i="3"/>
  <c r="G619" i="3"/>
  <c r="F619" i="3"/>
  <c r="E619" i="3"/>
  <c r="D619" i="3"/>
  <c r="C619" i="3"/>
  <c r="L619" i="3" s="1"/>
  <c r="M619" i="3" s="1"/>
  <c r="B619" i="3"/>
  <c r="A619" i="3"/>
  <c r="AB618" i="3"/>
  <c r="AC618" i="3" s="1"/>
  <c r="AA618" i="3"/>
  <c r="Z618" i="3"/>
  <c r="Y618" i="3"/>
  <c r="X618" i="3"/>
  <c r="W618" i="3"/>
  <c r="V618" i="3"/>
  <c r="T618" i="3"/>
  <c r="S618" i="3"/>
  <c r="R618" i="3"/>
  <c r="Q618" i="3"/>
  <c r="P618" i="3"/>
  <c r="O618" i="3"/>
  <c r="N618" i="3"/>
  <c r="K618" i="3"/>
  <c r="J618" i="3"/>
  <c r="I618" i="3"/>
  <c r="H618" i="3"/>
  <c r="G618" i="3"/>
  <c r="F618" i="3"/>
  <c r="E618" i="3"/>
  <c r="D618" i="3"/>
  <c r="C618" i="3"/>
  <c r="L618" i="3" s="1"/>
  <c r="M618" i="3" s="1"/>
  <c r="B618" i="3"/>
  <c r="A618" i="3"/>
  <c r="AB617" i="3"/>
  <c r="AC617" i="3" s="1"/>
  <c r="AA617" i="3"/>
  <c r="Z617" i="3"/>
  <c r="Y617" i="3"/>
  <c r="X617" i="3"/>
  <c r="W617" i="3"/>
  <c r="V617" i="3"/>
  <c r="T617" i="3"/>
  <c r="S617" i="3"/>
  <c r="R617" i="3"/>
  <c r="Q617" i="3"/>
  <c r="P617" i="3"/>
  <c r="O617" i="3"/>
  <c r="N617" i="3"/>
  <c r="K617" i="3"/>
  <c r="J617" i="3"/>
  <c r="I617" i="3"/>
  <c r="H617" i="3"/>
  <c r="G617" i="3"/>
  <c r="F617" i="3"/>
  <c r="E617" i="3"/>
  <c r="D617" i="3"/>
  <c r="C617" i="3"/>
  <c r="L617" i="3" s="1"/>
  <c r="M617" i="3" s="1"/>
  <c r="B617" i="3"/>
  <c r="A617" i="3"/>
  <c r="AB616" i="3"/>
  <c r="AC616" i="3" s="1"/>
  <c r="AA616" i="3"/>
  <c r="Z616" i="3"/>
  <c r="Y616" i="3"/>
  <c r="X616" i="3"/>
  <c r="W616" i="3"/>
  <c r="V616" i="3"/>
  <c r="T616" i="3"/>
  <c r="S616" i="3"/>
  <c r="R616" i="3"/>
  <c r="Q616" i="3"/>
  <c r="P616" i="3"/>
  <c r="O616" i="3"/>
  <c r="N616" i="3"/>
  <c r="K616" i="3"/>
  <c r="J616" i="3"/>
  <c r="I616" i="3"/>
  <c r="H616" i="3"/>
  <c r="G616" i="3"/>
  <c r="F616" i="3"/>
  <c r="E616" i="3"/>
  <c r="D616" i="3"/>
  <c r="C616" i="3"/>
  <c r="L616" i="3" s="1"/>
  <c r="M616" i="3" s="1"/>
  <c r="B616" i="3"/>
  <c r="A616" i="3"/>
  <c r="AB615" i="3"/>
  <c r="AC615" i="3" s="1"/>
  <c r="AA615" i="3"/>
  <c r="Z615" i="3"/>
  <c r="Y615" i="3"/>
  <c r="X615" i="3"/>
  <c r="W615" i="3"/>
  <c r="V615" i="3"/>
  <c r="T615" i="3"/>
  <c r="S615" i="3"/>
  <c r="R615" i="3"/>
  <c r="Q615" i="3"/>
  <c r="P615" i="3"/>
  <c r="O615" i="3"/>
  <c r="N615" i="3"/>
  <c r="K615" i="3"/>
  <c r="J615" i="3"/>
  <c r="I615" i="3"/>
  <c r="H615" i="3"/>
  <c r="G615" i="3"/>
  <c r="F615" i="3"/>
  <c r="E615" i="3"/>
  <c r="D615" i="3"/>
  <c r="C615" i="3"/>
  <c r="L615" i="3" s="1"/>
  <c r="M615" i="3" s="1"/>
  <c r="B615" i="3"/>
  <c r="A615" i="3"/>
  <c r="AB614" i="3"/>
  <c r="AC614" i="3" s="1"/>
  <c r="AA614" i="3"/>
  <c r="Z614" i="3"/>
  <c r="Y614" i="3"/>
  <c r="X614" i="3"/>
  <c r="W614" i="3"/>
  <c r="V614" i="3"/>
  <c r="T614" i="3"/>
  <c r="S614" i="3"/>
  <c r="R614" i="3"/>
  <c r="Q614" i="3"/>
  <c r="P614" i="3"/>
  <c r="O614" i="3"/>
  <c r="N614" i="3"/>
  <c r="K614" i="3"/>
  <c r="J614" i="3"/>
  <c r="I614" i="3"/>
  <c r="H614" i="3"/>
  <c r="G614" i="3"/>
  <c r="F614" i="3"/>
  <c r="E614" i="3"/>
  <c r="D614" i="3"/>
  <c r="C614" i="3"/>
  <c r="L614" i="3" s="1"/>
  <c r="M614" i="3" s="1"/>
  <c r="B614" i="3"/>
  <c r="A614" i="3"/>
  <c r="AB613" i="3"/>
  <c r="AC613" i="3" s="1"/>
  <c r="AA613" i="3"/>
  <c r="Z613" i="3"/>
  <c r="Y613" i="3"/>
  <c r="X613" i="3"/>
  <c r="W613" i="3"/>
  <c r="V613" i="3"/>
  <c r="T613" i="3"/>
  <c r="S613" i="3"/>
  <c r="R613" i="3"/>
  <c r="Q613" i="3"/>
  <c r="P613" i="3"/>
  <c r="O613" i="3"/>
  <c r="N613" i="3"/>
  <c r="K613" i="3"/>
  <c r="J613" i="3"/>
  <c r="I613" i="3"/>
  <c r="H613" i="3"/>
  <c r="G613" i="3"/>
  <c r="F613" i="3"/>
  <c r="E613" i="3"/>
  <c r="D613" i="3"/>
  <c r="C613" i="3"/>
  <c r="L613" i="3" s="1"/>
  <c r="M613" i="3" s="1"/>
  <c r="B613" i="3"/>
  <c r="A613" i="3"/>
  <c r="AB612" i="3"/>
  <c r="AC612" i="3" s="1"/>
  <c r="AA612" i="3"/>
  <c r="Z612" i="3"/>
  <c r="Y612" i="3"/>
  <c r="X612" i="3"/>
  <c r="W612" i="3"/>
  <c r="V612" i="3"/>
  <c r="T612" i="3"/>
  <c r="S612" i="3"/>
  <c r="R612" i="3"/>
  <c r="Q612" i="3"/>
  <c r="P612" i="3"/>
  <c r="O612" i="3"/>
  <c r="N612" i="3"/>
  <c r="K612" i="3"/>
  <c r="J612" i="3"/>
  <c r="I612" i="3"/>
  <c r="H612" i="3"/>
  <c r="G612" i="3"/>
  <c r="F612" i="3"/>
  <c r="E612" i="3"/>
  <c r="D612" i="3"/>
  <c r="C612" i="3"/>
  <c r="L612" i="3" s="1"/>
  <c r="M612" i="3" s="1"/>
  <c r="B612" i="3"/>
  <c r="A612" i="3"/>
  <c r="AB611" i="3"/>
  <c r="AC611" i="3" s="1"/>
  <c r="AA611" i="3"/>
  <c r="Z611" i="3"/>
  <c r="Y611" i="3"/>
  <c r="X611" i="3"/>
  <c r="W611" i="3"/>
  <c r="V611" i="3"/>
  <c r="T611" i="3"/>
  <c r="S611" i="3"/>
  <c r="R611" i="3"/>
  <c r="Q611" i="3"/>
  <c r="P611" i="3"/>
  <c r="O611" i="3"/>
  <c r="N611" i="3"/>
  <c r="K611" i="3"/>
  <c r="J611" i="3"/>
  <c r="I611" i="3"/>
  <c r="H611" i="3"/>
  <c r="G611" i="3"/>
  <c r="F611" i="3"/>
  <c r="E611" i="3"/>
  <c r="D611" i="3"/>
  <c r="C611" i="3"/>
  <c r="L611" i="3" s="1"/>
  <c r="M611" i="3" s="1"/>
  <c r="B611" i="3"/>
  <c r="A611" i="3"/>
  <c r="AB610" i="3"/>
  <c r="AA610" i="3"/>
  <c r="Z610" i="3"/>
  <c r="Y610" i="3"/>
  <c r="X610" i="3"/>
  <c r="W610" i="3"/>
  <c r="V610" i="3"/>
  <c r="T610" i="3"/>
  <c r="S610" i="3"/>
  <c r="R610" i="3"/>
  <c r="Q610" i="3"/>
  <c r="P610" i="3"/>
  <c r="O610" i="3"/>
  <c r="N610" i="3"/>
  <c r="K610" i="3"/>
  <c r="J610" i="3"/>
  <c r="I610" i="3"/>
  <c r="H610" i="3"/>
  <c r="G610" i="3"/>
  <c r="F610" i="3"/>
  <c r="E610" i="3"/>
  <c r="D610" i="3"/>
  <c r="C610" i="3"/>
  <c r="L610" i="3" s="1"/>
  <c r="M610" i="3" s="1"/>
  <c r="B610" i="3"/>
  <c r="A610" i="3"/>
  <c r="AB609" i="3"/>
  <c r="AA609" i="3"/>
  <c r="Z609" i="3"/>
  <c r="Y609" i="3"/>
  <c r="X609" i="3"/>
  <c r="W609" i="3"/>
  <c r="V609" i="3"/>
  <c r="T609" i="3"/>
  <c r="S609" i="3"/>
  <c r="R609" i="3"/>
  <c r="Q609" i="3"/>
  <c r="P609" i="3"/>
  <c r="O609" i="3"/>
  <c r="N609" i="3"/>
  <c r="K609" i="3"/>
  <c r="J609" i="3"/>
  <c r="I609" i="3"/>
  <c r="H609" i="3"/>
  <c r="G609" i="3"/>
  <c r="F609" i="3"/>
  <c r="E609" i="3"/>
  <c r="D609" i="3"/>
  <c r="C609" i="3"/>
  <c r="L609" i="3" s="1"/>
  <c r="M609" i="3" s="1"/>
  <c r="B609" i="3"/>
  <c r="A609" i="3"/>
  <c r="AB608" i="3"/>
  <c r="AA608" i="3"/>
  <c r="Z608" i="3"/>
  <c r="Y608" i="3"/>
  <c r="X608" i="3"/>
  <c r="W608" i="3"/>
  <c r="V608" i="3"/>
  <c r="T608" i="3"/>
  <c r="S608" i="3"/>
  <c r="R608" i="3"/>
  <c r="Q608" i="3"/>
  <c r="P608" i="3"/>
  <c r="O608" i="3"/>
  <c r="N608" i="3"/>
  <c r="K608" i="3"/>
  <c r="J608" i="3"/>
  <c r="I608" i="3"/>
  <c r="H608" i="3"/>
  <c r="G608" i="3"/>
  <c r="F608" i="3"/>
  <c r="E608" i="3"/>
  <c r="D608" i="3"/>
  <c r="C608" i="3"/>
  <c r="L608" i="3" s="1"/>
  <c r="M608" i="3" s="1"/>
  <c r="B608" i="3"/>
  <c r="A608" i="3"/>
  <c r="AB607" i="3"/>
  <c r="AA607" i="3"/>
  <c r="Z607" i="3"/>
  <c r="Y607" i="3"/>
  <c r="X607" i="3"/>
  <c r="W607" i="3"/>
  <c r="V607" i="3"/>
  <c r="T607" i="3"/>
  <c r="S607" i="3"/>
  <c r="R607" i="3"/>
  <c r="Q607" i="3"/>
  <c r="P607" i="3"/>
  <c r="O607" i="3"/>
  <c r="N607" i="3"/>
  <c r="K607" i="3"/>
  <c r="J607" i="3"/>
  <c r="I607" i="3"/>
  <c r="H607" i="3"/>
  <c r="G607" i="3"/>
  <c r="F607" i="3"/>
  <c r="E607" i="3"/>
  <c r="D607" i="3"/>
  <c r="C607" i="3"/>
  <c r="L607" i="3" s="1"/>
  <c r="M607" i="3" s="1"/>
  <c r="B607" i="3"/>
  <c r="A607" i="3"/>
  <c r="AB606" i="3"/>
  <c r="AA606" i="3"/>
  <c r="Z606" i="3"/>
  <c r="Y606" i="3"/>
  <c r="X606" i="3"/>
  <c r="W606" i="3"/>
  <c r="V606" i="3"/>
  <c r="T606" i="3"/>
  <c r="S606" i="3"/>
  <c r="R606" i="3"/>
  <c r="Q606" i="3"/>
  <c r="P606" i="3"/>
  <c r="O606" i="3"/>
  <c r="N606" i="3"/>
  <c r="K606" i="3"/>
  <c r="J606" i="3"/>
  <c r="I606" i="3"/>
  <c r="H606" i="3"/>
  <c r="G606" i="3"/>
  <c r="F606" i="3"/>
  <c r="E606" i="3"/>
  <c r="D606" i="3"/>
  <c r="C606" i="3"/>
  <c r="L606" i="3" s="1"/>
  <c r="M606" i="3" s="1"/>
  <c r="B606" i="3"/>
  <c r="A606" i="3"/>
  <c r="AB605" i="3"/>
  <c r="AA605" i="3"/>
  <c r="Z605" i="3"/>
  <c r="Y605" i="3"/>
  <c r="X605" i="3"/>
  <c r="W605" i="3"/>
  <c r="V605" i="3"/>
  <c r="T605" i="3"/>
  <c r="S605" i="3"/>
  <c r="R605" i="3"/>
  <c r="Q605" i="3"/>
  <c r="P605" i="3"/>
  <c r="O605" i="3"/>
  <c r="N605" i="3"/>
  <c r="K605" i="3"/>
  <c r="J605" i="3"/>
  <c r="I605" i="3"/>
  <c r="H605" i="3"/>
  <c r="G605" i="3"/>
  <c r="F605" i="3"/>
  <c r="E605" i="3"/>
  <c r="D605" i="3"/>
  <c r="C605" i="3"/>
  <c r="L605" i="3" s="1"/>
  <c r="M605" i="3" s="1"/>
  <c r="B605" i="3"/>
  <c r="A605" i="3"/>
  <c r="AB604" i="3"/>
  <c r="AA604" i="3"/>
  <c r="Z604" i="3"/>
  <c r="Y604" i="3"/>
  <c r="X604" i="3"/>
  <c r="W604" i="3"/>
  <c r="V604" i="3"/>
  <c r="T604" i="3"/>
  <c r="S604" i="3"/>
  <c r="R604" i="3"/>
  <c r="Q604" i="3"/>
  <c r="P604" i="3"/>
  <c r="O604" i="3"/>
  <c r="N604" i="3"/>
  <c r="K604" i="3"/>
  <c r="J604" i="3"/>
  <c r="I604" i="3"/>
  <c r="H604" i="3"/>
  <c r="G604" i="3"/>
  <c r="F604" i="3"/>
  <c r="E604" i="3"/>
  <c r="D604" i="3"/>
  <c r="C604" i="3"/>
  <c r="L604" i="3" s="1"/>
  <c r="M604" i="3" s="1"/>
  <c r="B604" i="3"/>
  <c r="A604" i="3"/>
  <c r="AB603" i="3"/>
  <c r="AA603" i="3"/>
  <c r="Z603" i="3"/>
  <c r="Y603" i="3"/>
  <c r="X603" i="3"/>
  <c r="W603" i="3"/>
  <c r="V603" i="3"/>
  <c r="T603" i="3"/>
  <c r="S603" i="3"/>
  <c r="R603" i="3"/>
  <c r="Q603" i="3"/>
  <c r="P603" i="3"/>
  <c r="O603" i="3"/>
  <c r="N603" i="3"/>
  <c r="K603" i="3"/>
  <c r="J603" i="3"/>
  <c r="I603" i="3"/>
  <c r="H603" i="3"/>
  <c r="G603" i="3"/>
  <c r="F603" i="3"/>
  <c r="E603" i="3"/>
  <c r="D603" i="3"/>
  <c r="C603" i="3"/>
  <c r="L603" i="3" s="1"/>
  <c r="M603" i="3" s="1"/>
  <c r="B603" i="3"/>
  <c r="A603" i="3"/>
  <c r="AB602" i="3"/>
  <c r="AA602" i="3"/>
  <c r="Z602" i="3"/>
  <c r="Y602" i="3"/>
  <c r="X602" i="3"/>
  <c r="W602" i="3"/>
  <c r="V602" i="3"/>
  <c r="T602" i="3"/>
  <c r="S602" i="3"/>
  <c r="R602" i="3"/>
  <c r="Q602" i="3"/>
  <c r="P602" i="3"/>
  <c r="O602" i="3"/>
  <c r="N602" i="3"/>
  <c r="K602" i="3"/>
  <c r="J602" i="3"/>
  <c r="I602" i="3"/>
  <c r="H602" i="3"/>
  <c r="G602" i="3"/>
  <c r="F602" i="3"/>
  <c r="E602" i="3"/>
  <c r="D602" i="3"/>
  <c r="C602" i="3"/>
  <c r="L602" i="3" s="1"/>
  <c r="M602" i="3" s="1"/>
  <c r="B602" i="3"/>
  <c r="A602" i="3"/>
  <c r="AB601" i="3"/>
  <c r="AA601" i="3"/>
  <c r="Z601" i="3"/>
  <c r="Y601" i="3"/>
  <c r="X601" i="3"/>
  <c r="W601" i="3"/>
  <c r="V601" i="3"/>
  <c r="T601" i="3"/>
  <c r="S601" i="3"/>
  <c r="R601" i="3"/>
  <c r="Q601" i="3"/>
  <c r="P601" i="3"/>
  <c r="O601" i="3"/>
  <c r="N601" i="3"/>
  <c r="K601" i="3"/>
  <c r="J601" i="3"/>
  <c r="I601" i="3"/>
  <c r="H601" i="3"/>
  <c r="G601" i="3"/>
  <c r="F601" i="3"/>
  <c r="E601" i="3"/>
  <c r="D601" i="3"/>
  <c r="C601" i="3"/>
  <c r="L601" i="3" s="1"/>
  <c r="M601" i="3" s="1"/>
  <c r="B601" i="3"/>
  <c r="A601" i="3"/>
  <c r="AB600" i="3"/>
  <c r="AA600" i="3"/>
  <c r="Z600" i="3"/>
  <c r="Y600" i="3"/>
  <c r="X600" i="3"/>
  <c r="W600" i="3"/>
  <c r="V600" i="3"/>
  <c r="T600" i="3"/>
  <c r="S600" i="3"/>
  <c r="R600" i="3"/>
  <c r="Q600" i="3"/>
  <c r="P600" i="3"/>
  <c r="O600" i="3"/>
  <c r="N600" i="3"/>
  <c r="K600" i="3"/>
  <c r="J600" i="3"/>
  <c r="I600" i="3"/>
  <c r="H600" i="3"/>
  <c r="G600" i="3"/>
  <c r="F600" i="3"/>
  <c r="E600" i="3"/>
  <c r="D600" i="3"/>
  <c r="C600" i="3"/>
  <c r="L600" i="3" s="1"/>
  <c r="M600" i="3" s="1"/>
  <c r="B600" i="3"/>
  <c r="A600" i="3"/>
  <c r="AB599" i="3"/>
  <c r="AA599" i="3"/>
  <c r="Z599" i="3"/>
  <c r="Y599" i="3"/>
  <c r="X599" i="3"/>
  <c r="W599" i="3"/>
  <c r="V599" i="3"/>
  <c r="T599" i="3"/>
  <c r="S599" i="3"/>
  <c r="R599" i="3"/>
  <c r="Q599" i="3"/>
  <c r="P599" i="3"/>
  <c r="O599" i="3"/>
  <c r="N599" i="3"/>
  <c r="K599" i="3"/>
  <c r="J599" i="3"/>
  <c r="I599" i="3"/>
  <c r="H599" i="3"/>
  <c r="G599" i="3"/>
  <c r="F599" i="3"/>
  <c r="E599" i="3"/>
  <c r="D599" i="3"/>
  <c r="C599" i="3"/>
  <c r="L599" i="3" s="1"/>
  <c r="M599" i="3" s="1"/>
  <c r="B599" i="3"/>
  <c r="A599" i="3"/>
  <c r="AB598" i="3"/>
  <c r="AA598" i="3"/>
  <c r="Z598" i="3"/>
  <c r="Y598" i="3"/>
  <c r="X598" i="3"/>
  <c r="W598" i="3"/>
  <c r="V598" i="3"/>
  <c r="T598" i="3"/>
  <c r="S598" i="3"/>
  <c r="R598" i="3"/>
  <c r="Q598" i="3"/>
  <c r="P598" i="3"/>
  <c r="O598" i="3"/>
  <c r="N598" i="3"/>
  <c r="K598" i="3"/>
  <c r="J598" i="3"/>
  <c r="I598" i="3"/>
  <c r="H598" i="3"/>
  <c r="G598" i="3"/>
  <c r="F598" i="3"/>
  <c r="E598" i="3"/>
  <c r="D598" i="3"/>
  <c r="C598" i="3"/>
  <c r="L598" i="3" s="1"/>
  <c r="M598" i="3" s="1"/>
  <c r="B598" i="3"/>
  <c r="A598" i="3"/>
  <c r="AB597" i="3"/>
  <c r="AA597" i="3"/>
  <c r="Z597" i="3"/>
  <c r="Y597" i="3"/>
  <c r="X597" i="3"/>
  <c r="W597" i="3"/>
  <c r="V597" i="3"/>
  <c r="T597" i="3"/>
  <c r="S597" i="3"/>
  <c r="R597" i="3"/>
  <c r="Q597" i="3"/>
  <c r="P597" i="3"/>
  <c r="O597" i="3"/>
  <c r="N597" i="3"/>
  <c r="K597" i="3"/>
  <c r="J597" i="3"/>
  <c r="I597" i="3"/>
  <c r="H597" i="3"/>
  <c r="G597" i="3"/>
  <c r="F597" i="3"/>
  <c r="E597" i="3"/>
  <c r="D597" i="3"/>
  <c r="C597" i="3"/>
  <c r="L597" i="3" s="1"/>
  <c r="M597" i="3" s="1"/>
  <c r="B597" i="3"/>
  <c r="A597" i="3"/>
  <c r="AB596" i="3"/>
  <c r="AA596" i="3"/>
  <c r="Z596" i="3"/>
  <c r="Y596" i="3"/>
  <c r="X596" i="3"/>
  <c r="W596" i="3"/>
  <c r="V596" i="3"/>
  <c r="T596" i="3"/>
  <c r="S596" i="3"/>
  <c r="R596" i="3"/>
  <c r="Q596" i="3"/>
  <c r="P596" i="3"/>
  <c r="O596" i="3"/>
  <c r="N596" i="3"/>
  <c r="K596" i="3"/>
  <c r="J596" i="3"/>
  <c r="I596" i="3"/>
  <c r="H596" i="3"/>
  <c r="G596" i="3"/>
  <c r="F596" i="3"/>
  <c r="E596" i="3"/>
  <c r="D596" i="3"/>
  <c r="C596" i="3"/>
  <c r="L596" i="3" s="1"/>
  <c r="M596" i="3" s="1"/>
  <c r="B596" i="3"/>
  <c r="A596" i="3"/>
  <c r="AB595" i="3"/>
  <c r="AA595" i="3"/>
  <c r="Z595" i="3"/>
  <c r="Y595" i="3"/>
  <c r="X595" i="3"/>
  <c r="W595" i="3"/>
  <c r="V595" i="3"/>
  <c r="T595" i="3"/>
  <c r="S595" i="3"/>
  <c r="R595" i="3"/>
  <c r="Q595" i="3"/>
  <c r="P595" i="3"/>
  <c r="O595" i="3"/>
  <c r="N595" i="3"/>
  <c r="K595" i="3"/>
  <c r="J595" i="3"/>
  <c r="I595" i="3"/>
  <c r="H595" i="3"/>
  <c r="G595" i="3"/>
  <c r="F595" i="3"/>
  <c r="E595" i="3"/>
  <c r="D595" i="3"/>
  <c r="C595" i="3"/>
  <c r="L595" i="3" s="1"/>
  <c r="M595" i="3" s="1"/>
  <c r="B595" i="3"/>
  <c r="A595" i="3"/>
  <c r="AB594" i="3"/>
  <c r="AA594" i="3"/>
  <c r="Z594" i="3"/>
  <c r="Y594" i="3"/>
  <c r="X594" i="3"/>
  <c r="W594" i="3"/>
  <c r="V594" i="3"/>
  <c r="T594" i="3"/>
  <c r="S594" i="3"/>
  <c r="R594" i="3"/>
  <c r="Q594" i="3"/>
  <c r="P594" i="3"/>
  <c r="O594" i="3"/>
  <c r="N594" i="3"/>
  <c r="K594" i="3"/>
  <c r="J594" i="3"/>
  <c r="I594" i="3"/>
  <c r="H594" i="3"/>
  <c r="G594" i="3"/>
  <c r="F594" i="3"/>
  <c r="E594" i="3"/>
  <c r="D594" i="3"/>
  <c r="C594" i="3"/>
  <c r="L594" i="3" s="1"/>
  <c r="M594" i="3" s="1"/>
  <c r="B594" i="3"/>
  <c r="A594" i="3"/>
  <c r="AB593" i="3"/>
  <c r="AA593" i="3"/>
  <c r="Z593" i="3"/>
  <c r="Y593" i="3"/>
  <c r="X593" i="3"/>
  <c r="W593" i="3"/>
  <c r="V593" i="3"/>
  <c r="T593" i="3"/>
  <c r="S593" i="3"/>
  <c r="R593" i="3"/>
  <c r="Q593" i="3"/>
  <c r="P593" i="3"/>
  <c r="O593" i="3"/>
  <c r="N593" i="3"/>
  <c r="K593" i="3"/>
  <c r="J593" i="3"/>
  <c r="I593" i="3"/>
  <c r="H593" i="3"/>
  <c r="G593" i="3"/>
  <c r="F593" i="3"/>
  <c r="E593" i="3"/>
  <c r="D593" i="3"/>
  <c r="C593" i="3"/>
  <c r="L593" i="3" s="1"/>
  <c r="M593" i="3" s="1"/>
  <c r="B593" i="3"/>
  <c r="A593" i="3"/>
  <c r="AB592" i="3"/>
  <c r="AA592" i="3"/>
  <c r="Z592" i="3"/>
  <c r="Y592" i="3"/>
  <c r="X592" i="3"/>
  <c r="W592" i="3"/>
  <c r="V592" i="3"/>
  <c r="T592" i="3"/>
  <c r="S592" i="3"/>
  <c r="R592" i="3"/>
  <c r="Q592" i="3"/>
  <c r="P592" i="3"/>
  <c r="O592" i="3"/>
  <c r="N592" i="3"/>
  <c r="K592" i="3"/>
  <c r="J592" i="3"/>
  <c r="I592" i="3"/>
  <c r="H592" i="3"/>
  <c r="G592" i="3"/>
  <c r="F592" i="3"/>
  <c r="E592" i="3"/>
  <c r="D592" i="3"/>
  <c r="C592" i="3"/>
  <c r="L592" i="3" s="1"/>
  <c r="M592" i="3" s="1"/>
  <c r="B592" i="3"/>
  <c r="A592" i="3"/>
  <c r="AB591" i="3"/>
  <c r="AA591" i="3"/>
  <c r="Z591" i="3"/>
  <c r="Y591" i="3"/>
  <c r="X591" i="3"/>
  <c r="W591" i="3"/>
  <c r="V591" i="3"/>
  <c r="T591" i="3"/>
  <c r="S591" i="3"/>
  <c r="R591" i="3"/>
  <c r="Q591" i="3"/>
  <c r="P591" i="3"/>
  <c r="O591" i="3"/>
  <c r="N591" i="3"/>
  <c r="K591" i="3"/>
  <c r="J591" i="3"/>
  <c r="I591" i="3"/>
  <c r="H591" i="3"/>
  <c r="G591" i="3"/>
  <c r="F591" i="3"/>
  <c r="E591" i="3"/>
  <c r="D591" i="3"/>
  <c r="C591" i="3"/>
  <c r="L591" i="3" s="1"/>
  <c r="M591" i="3" s="1"/>
  <c r="B591" i="3"/>
  <c r="A591" i="3"/>
  <c r="AB590" i="3"/>
  <c r="AA590" i="3"/>
  <c r="Z590" i="3"/>
  <c r="Y590" i="3"/>
  <c r="X590" i="3"/>
  <c r="W590" i="3"/>
  <c r="V590" i="3"/>
  <c r="T590" i="3"/>
  <c r="S590" i="3"/>
  <c r="R590" i="3"/>
  <c r="Q590" i="3"/>
  <c r="P590" i="3"/>
  <c r="O590" i="3"/>
  <c r="N590" i="3"/>
  <c r="K590" i="3"/>
  <c r="J590" i="3"/>
  <c r="I590" i="3"/>
  <c r="H590" i="3"/>
  <c r="G590" i="3"/>
  <c r="F590" i="3"/>
  <c r="E590" i="3"/>
  <c r="D590" i="3"/>
  <c r="C590" i="3"/>
  <c r="L590" i="3" s="1"/>
  <c r="M590" i="3" s="1"/>
  <c r="B590" i="3"/>
  <c r="A590" i="3"/>
  <c r="AB589" i="3"/>
  <c r="AA589" i="3"/>
  <c r="Z589" i="3"/>
  <c r="Y589" i="3"/>
  <c r="X589" i="3"/>
  <c r="W589" i="3"/>
  <c r="V589" i="3"/>
  <c r="T589" i="3"/>
  <c r="S589" i="3"/>
  <c r="R589" i="3"/>
  <c r="Q589" i="3"/>
  <c r="P589" i="3"/>
  <c r="O589" i="3"/>
  <c r="N589" i="3"/>
  <c r="K589" i="3"/>
  <c r="J589" i="3"/>
  <c r="I589" i="3"/>
  <c r="H589" i="3"/>
  <c r="G589" i="3"/>
  <c r="F589" i="3"/>
  <c r="E589" i="3"/>
  <c r="D589" i="3"/>
  <c r="C589" i="3"/>
  <c r="L589" i="3" s="1"/>
  <c r="M589" i="3" s="1"/>
  <c r="B589" i="3"/>
  <c r="A589" i="3"/>
  <c r="AB588" i="3"/>
  <c r="AA588" i="3"/>
  <c r="Z588" i="3"/>
  <c r="Y588" i="3"/>
  <c r="X588" i="3"/>
  <c r="W588" i="3"/>
  <c r="V588" i="3"/>
  <c r="T588" i="3"/>
  <c r="S588" i="3"/>
  <c r="R588" i="3"/>
  <c r="Q588" i="3"/>
  <c r="P588" i="3"/>
  <c r="O588" i="3"/>
  <c r="N588" i="3"/>
  <c r="K588" i="3"/>
  <c r="J588" i="3"/>
  <c r="I588" i="3"/>
  <c r="H588" i="3"/>
  <c r="G588" i="3"/>
  <c r="F588" i="3"/>
  <c r="E588" i="3"/>
  <c r="D588" i="3"/>
  <c r="C588" i="3"/>
  <c r="L588" i="3" s="1"/>
  <c r="M588" i="3" s="1"/>
  <c r="B588" i="3"/>
  <c r="A588" i="3"/>
  <c r="AB587" i="3"/>
  <c r="AA587" i="3"/>
  <c r="Z587" i="3"/>
  <c r="Y587" i="3"/>
  <c r="X587" i="3"/>
  <c r="W587" i="3"/>
  <c r="V587" i="3"/>
  <c r="T587" i="3"/>
  <c r="S587" i="3"/>
  <c r="R587" i="3"/>
  <c r="Q587" i="3"/>
  <c r="P587" i="3"/>
  <c r="O587" i="3"/>
  <c r="N587" i="3"/>
  <c r="K587" i="3"/>
  <c r="J587" i="3"/>
  <c r="I587" i="3"/>
  <c r="H587" i="3"/>
  <c r="G587" i="3"/>
  <c r="F587" i="3"/>
  <c r="E587" i="3"/>
  <c r="D587" i="3"/>
  <c r="C587" i="3"/>
  <c r="L587" i="3" s="1"/>
  <c r="M587" i="3" s="1"/>
  <c r="B587" i="3"/>
  <c r="A587" i="3"/>
  <c r="AB586" i="3"/>
  <c r="AA586" i="3"/>
  <c r="Z586" i="3"/>
  <c r="Y586" i="3"/>
  <c r="X586" i="3"/>
  <c r="W586" i="3"/>
  <c r="V586" i="3"/>
  <c r="T586" i="3"/>
  <c r="S586" i="3"/>
  <c r="R586" i="3"/>
  <c r="Q586" i="3"/>
  <c r="P586" i="3"/>
  <c r="O586" i="3"/>
  <c r="N586" i="3"/>
  <c r="K586" i="3"/>
  <c r="J586" i="3"/>
  <c r="I586" i="3"/>
  <c r="H586" i="3"/>
  <c r="G586" i="3"/>
  <c r="F586" i="3"/>
  <c r="E586" i="3"/>
  <c r="D586" i="3"/>
  <c r="C586" i="3"/>
  <c r="L586" i="3" s="1"/>
  <c r="M586" i="3" s="1"/>
  <c r="B586" i="3"/>
  <c r="A586" i="3"/>
  <c r="AB585" i="3"/>
  <c r="AA585" i="3"/>
  <c r="Z585" i="3"/>
  <c r="Y585" i="3"/>
  <c r="X585" i="3"/>
  <c r="W585" i="3"/>
  <c r="V585" i="3"/>
  <c r="T585" i="3"/>
  <c r="S585" i="3"/>
  <c r="R585" i="3"/>
  <c r="Q585" i="3"/>
  <c r="P585" i="3"/>
  <c r="O585" i="3"/>
  <c r="N585" i="3"/>
  <c r="K585" i="3"/>
  <c r="J585" i="3"/>
  <c r="I585" i="3"/>
  <c r="H585" i="3"/>
  <c r="G585" i="3"/>
  <c r="F585" i="3"/>
  <c r="E585" i="3"/>
  <c r="D585" i="3"/>
  <c r="C585" i="3"/>
  <c r="L585" i="3" s="1"/>
  <c r="M585" i="3" s="1"/>
  <c r="B585" i="3"/>
  <c r="A585" i="3"/>
  <c r="AB584" i="3"/>
  <c r="AA584" i="3"/>
  <c r="Z584" i="3"/>
  <c r="Y584" i="3"/>
  <c r="X584" i="3"/>
  <c r="W584" i="3"/>
  <c r="V584" i="3"/>
  <c r="T584" i="3"/>
  <c r="S584" i="3"/>
  <c r="R584" i="3"/>
  <c r="Q584" i="3"/>
  <c r="P584" i="3"/>
  <c r="O584" i="3"/>
  <c r="N584" i="3"/>
  <c r="K584" i="3"/>
  <c r="J584" i="3"/>
  <c r="I584" i="3"/>
  <c r="H584" i="3"/>
  <c r="G584" i="3"/>
  <c r="F584" i="3"/>
  <c r="E584" i="3"/>
  <c r="D584" i="3"/>
  <c r="C584" i="3"/>
  <c r="L584" i="3" s="1"/>
  <c r="M584" i="3" s="1"/>
  <c r="B584" i="3"/>
  <c r="A584" i="3"/>
  <c r="AB583" i="3"/>
  <c r="AA583" i="3"/>
  <c r="Z583" i="3"/>
  <c r="Y583" i="3"/>
  <c r="X583" i="3"/>
  <c r="W583" i="3"/>
  <c r="V583" i="3"/>
  <c r="T583" i="3"/>
  <c r="S583" i="3"/>
  <c r="R583" i="3"/>
  <c r="Q583" i="3"/>
  <c r="P583" i="3"/>
  <c r="O583" i="3"/>
  <c r="N583" i="3"/>
  <c r="K583" i="3"/>
  <c r="J583" i="3"/>
  <c r="I583" i="3"/>
  <c r="H583" i="3"/>
  <c r="G583" i="3"/>
  <c r="F583" i="3"/>
  <c r="E583" i="3"/>
  <c r="D583" i="3"/>
  <c r="C583" i="3"/>
  <c r="L583" i="3" s="1"/>
  <c r="M583" i="3" s="1"/>
  <c r="B583" i="3"/>
  <c r="A583" i="3"/>
  <c r="AB582" i="3"/>
  <c r="AA582" i="3"/>
  <c r="Z582" i="3"/>
  <c r="Y582" i="3"/>
  <c r="X582" i="3"/>
  <c r="W582" i="3"/>
  <c r="V582" i="3"/>
  <c r="T582" i="3"/>
  <c r="S582" i="3"/>
  <c r="R582" i="3"/>
  <c r="Q582" i="3"/>
  <c r="P582" i="3"/>
  <c r="O582" i="3"/>
  <c r="N582" i="3"/>
  <c r="K582" i="3"/>
  <c r="J582" i="3"/>
  <c r="I582" i="3"/>
  <c r="H582" i="3"/>
  <c r="G582" i="3"/>
  <c r="F582" i="3"/>
  <c r="E582" i="3"/>
  <c r="D582" i="3"/>
  <c r="C582" i="3"/>
  <c r="L582" i="3" s="1"/>
  <c r="M582" i="3" s="1"/>
  <c r="B582" i="3"/>
  <c r="A582" i="3"/>
  <c r="AB581" i="3"/>
  <c r="AA581" i="3"/>
  <c r="Z581" i="3"/>
  <c r="Y581" i="3"/>
  <c r="X581" i="3"/>
  <c r="W581" i="3"/>
  <c r="V581" i="3"/>
  <c r="T581" i="3"/>
  <c r="S581" i="3"/>
  <c r="R581" i="3"/>
  <c r="Q581" i="3"/>
  <c r="P581" i="3"/>
  <c r="O581" i="3"/>
  <c r="N581" i="3"/>
  <c r="K581" i="3"/>
  <c r="J581" i="3"/>
  <c r="I581" i="3"/>
  <c r="H581" i="3"/>
  <c r="G581" i="3"/>
  <c r="F581" i="3"/>
  <c r="E581" i="3"/>
  <c r="D581" i="3"/>
  <c r="C581" i="3"/>
  <c r="L581" i="3" s="1"/>
  <c r="M581" i="3" s="1"/>
  <c r="B581" i="3"/>
  <c r="A581" i="3"/>
  <c r="AB580" i="3"/>
  <c r="AA580" i="3"/>
  <c r="Z580" i="3"/>
  <c r="Y580" i="3"/>
  <c r="X580" i="3"/>
  <c r="W580" i="3"/>
  <c r="V580" i="3"/>
  <c r="T580" i="3"/>
  <c r="S580" i="3"/>
  <c r="R580" i="3"/>
  <c r="Q580" i="3"/>
  <c r="P580" i="3"/>
  <c r="O580" i="3"/>
  <c r="N580" i="3"/>
  <c r="K580" i="3"/>
  <c r="J580" i="3"/>
  <c r="I580" i="3"/>
  <c r="H580" i="3"/>
  <c r="G580" i="3"/>
  <c r="F580" i="3"/>
  <c r="E580" i="3"/>
  <c r="D580" i="3"/>
  <c r="C580" i="3"/>
  <c r="L580" i="3" s="1"/>
  <c r="M580" i="3" s="1"/>
  <c r="B580" i="3"/>
  <c r="A580" i="3"/>
  <c r="AB579" i="3"/>
  <c r="AA579" i="3"/>
  <c r="Z579" i="3"/>
  <c r="Y579" i="3"/>
  <c r="X579" i="3"/>
  <c r="W579" i="3"/>
  <c r="V579" i="3"/>
  <c r="T579" i="3"/>
  <c r="S579" i="3"/>
  <c r="R579" i="3"/>
  <c r="Q579" i="3"/>
  <c r="P579" i="3"/>
  <c r="O579" i="3"/>
  <c r="N579" i="3"/>
  <c r="K579" i="3"/>
  <c r="J579" i="3"/>
  <c r="I579" i="3"/>
  <c r="H579" i="3"/>
  <c r="G579" i="3"/>
  <c r="F579" i="3"/>
  <c r="E579" i="3"/>
  <c r="D579" i="3"/>
  <c r="C579" i="3"/>
  <c r="L579" i="3" s="1"/>
  <c r="M579" i="3" s="1"/>
  <c r="B579" i="3"/>
  <c r="A579" i="3"/>
  <c r="AB578" i="3"/>
  <c r="AA578" i="3"/>
  <c r="Z578" i="3"/>
  <c r="Y578" i="3"/>
  <c r="X578" i="3"/>
  <c r="W578" i="3"/>
  <c r="V578" i="3"/>
  <c r="T578" i="3"/>
  <c r="S578" i="3"/>
  <c r="R578" i="3"/>
  <c r="Q578" i="3"/>
  <c r="P578" i="3"/>
  <c r="O578" i="3"/>
  <c r="N578" i="3"/>
  <c r="K578" i="3"/>
  <c r="J578" i="3"/>
  <c r="I578" i="3"/>
  <c r="H578" i="3"/>
  <c r="G578" i="3"/>
  <c r="F578" i="3"/>
  <c r="E578" i="3"/>
  <c r="D578" i="3"/>
  <c r="C578" i="3"/>
  <c r="L578" i="3" s="1"/>
  <c r="M578" i="3" s="1"/>
  <c r="B578" i="3"/>
  <c r="A578" i="3"/>
  <c r="AB577" i="3"/>
  <c r="AA577" i="3"/>
  <c r="Z577" i="3"/>
  <c r="Y577" i="3"/>
  <c r="X577" i="3"/>
  <c r="W577" i="3"/>
  <c r="V577" i="3"/>
  <c r="T577" i="3"/>
  <c r="S577" i="3"/>
  <c r="R577" i="3"/>
  <c r="Q577" i="3"/>
  <c r="P577" i="3"/>
  <c r="O577" i="3"/>
  <c r="N577" i="3"/>
  <c r="K577" i="3"/>
  <c r="J577" i="3"/>
  <c r="I577" i="3"/>
  <c r="H577" i="3"/>
  <c r="G577" i="3"/>
  <c r="F577" i="3"/>
  <c r="E577" i="3"/>
  <c r="D577" i="3"/>
  <c r="C577" i="3"/>
  <c r="L577" i="3" s="1"/>
  <c r="M577" i="3" s="1"/>
  <c r="B577" i="3"/>
  <c r="A577" i="3"/>
  <c r="AB576" i="3"/>
  <c r="AA576" i="3"/>
  <c r="Z576" i="3"/>
  <c r="Y576" i="3"/>
  <c r="X576" i="3"/>
  <c r="W576" i="3"/>
  <c r="V576" i="3"/>
  <c r="T576" i="3"/>
  <c r="S576" i="3"/>
  <c r="R576" i="3"/>
  <c r="Q576" i="3"/>
  <c r="P576" i="3"/>
  <c r="O576" i="3"/>
  <c r="N576" i="3"/>
  <c r="K576" i="3"/>
  <c r="J576" i="3"/>
  <c r="I576" i="3"/>
  <c r="H576" i="3"/>
  <c r="G576" i="3"/>
  <c r="F576" i="3"/>
  <c r="E576" i="3"/>
  <c r="D576" i="3"/>
  <c r="C576" i="3"/>
  <c r="L576" i="3" s="1"/>
  <c r="M576" i="3" s="1"/>
  <c r="B576" i="3"/>
  <c r="A576" i="3"/>
  <c r="AB575" i="3"/>
  <c r="AA575" i="3"/>
  <c r="Z575" i="3"/>
  <c r="Y575" i="3"/>
  <c r="X575" i="3"/>
  <c r="W575" i="3"/>
  <c r="V575" i="3"/>
  <c r="T575" i="3"/>
  <c r="S575" i="3"/>
  <c r="R575" i="3"/>
  <c r="Q575" i="3"/>
  <c r="P575" i="3"/>
  <c r="O575" i="3"/>
  <c r="N575" i="3"/>
  <c r="K575" i="3"/>
  <c r="J575" i="3"/>
  <c r="I575" i="3"/>
  <c r="H575" i="3"/>
  <c r="G575" i="3"/>
  <c r="F575" i="3"/>
  <c r="E575" i="3"/>
  <c r="D575" i="3"/>
  <c r="C575" i="3"/>
  <c r="L575" i="3" s="1"/>
  <c r="M575" i="3" s="1"/>
  <c r="B575" i="3"/>
  <c r="A575" i="3"/>
  <c r="AB574" i="3"/>
  <c r="AA574" i="3"/>
  <c r="Z574" i="3"/>
  <c r="Y574" i="3"/>
  <c r="X574" i="3"/>
  <c r="W574" i="3"/>
  <c r="V574" i="3"/>
  <c r="T574" i="3"/>
  <c r="S574" i="3"/>
  <c r="R574" i="3"/>
  <c r="Q574" i="3"/>
  <c r="P574" i="3"/>
  <c r="O574" i="3"/>
  <c r="N574" i="3"/>
  <c r="K574" i="3"/>
  <c r="J574" i="3"/>
  <c r="I574" i="3"/>
  <c r="H574" i="3"/>
  <c r="G574" i="3"/>
  <c r="F574" i="3"/>
  <c r="E574" i="3"/>
  <c r="D574" i="3"/>
  <c r="C574" i="3"/>
  <c r="L574" i="3" s="1"/>
  <c r="M574" i="3" s="1"/>
  <c r="B574" i="3"/>
  <c r="A574" i="3"/>
  <c r="AB573" i="3"/>
  <c r="AA573" i="3"/>
  <c r="Z573" i="3"/>
  <c r="Y573" i="3"/>
  <c r="X573" i="3"/>
  <c r="W573" i="3"/>
  <c r="V573" i="3"/>
  <c r="T573" i="3"/>
  <c r="S573" i="3"/>
  <c r="R573" i="3"/>
  <c r="Q573" i="3"/>
  <c r="P573" i="3"/>
  <c r="O573" i="3"/>
  <c r="N573" i="3"/>
  <c r="K573" i="3"/>
  <c r="J573" i="3"/>
  <c r="I573" i="3"/>
  <c r="H573" i="3"/>
  <c r="G573" i="3"/>
  <c r="F573" i="3"/>
  <c r="E573" i="3"/>
  <c r="D573" i="3"/>
  <c r="C573" i="3"/>
  <c r="L573" i="3" s="1"/>
  <c r="M573" i="3" s="1"/>
  <c r="B573" i="3"/>
  <c r="A573" i="3"/>
  <c r="AB572" i="3"/>
  <c r="AA572" i="3"/>
  <c r="Z572" i="3"/>
  <c r="Y572" i="3"/>
  <c r="X572" i="3"/>
  <c r="W572" i="3"/>
  <c r="V572" i="3"/>
  <c r="T572" i="3"/>
  <c r="S572" i="3"/>
  <c r="R572" i="3"/>
  <c r="Q572" i="3"/>
  <c r="P572" i="3"/>
  <c r="O572" i="3"/>
  <c r="N572" i="3"/>
  <c r="K572" i="3"/>
  <c r="J572" i="3"/>
  <c r="I572" i="3"/>
  <c r="H572" i="3"/>
  <c r="G572" i="3"/>
  <c r="F572" i="3"/>
  <c r="E572" i="3"/>
  <c r="D572" i="3"/>
  <c r="C572" i="3"/>
  <c r="L572" i="3" s="1"/>
  <c r="M572" i="3" s="1"/>
  <c r="B572" i="3"/>
  <c r="A572" i="3"/>
  <c r="AB571" i="3"/>
  <c r="AA571" i="3"/>
  <c r="Z571" i="3"/>
  <c r="Y571" i="3"/>
  <c r="X571" i="3"/>
  <c r="W571" i="3"/>
  <c r="V571" i="3"/>
  <c r="T571" i="3"/>
  <c r="S571" i="3"/>
  <c r="R571" i="3"/>
  <c r="Q571" i="3"/>
  <c r="P571" i="3"/>
  <c r="O571" i="3"/>
  <c r="N571" i="3"/>
  <c r="K571" i="3"/>
  <c r="J571" i="3"/>
  <c r="I571" i="3"/>
  <c r="H571" i="3"/>
  <c r="G571" i="3"/>
  <c r="F571" i="3"/>
  <c r="E571" i="3"/>
  <c r="D571" i="3"/>
  <c r="C571" i="3"/>
  <c r="L571" i="3" s="1"/>
  <c r="M571" i="3" s="1"/>
  <c r="B571" i="3"/>
  <c r="A571" i="3"/>
  <c r="AB570" i="3"/>
  <c r="AA570" i="3"/>
  <c r="Z570" i="3"/>
  <c r="Y570" i="3"/>
  <c r="X570" i="3"/>
  <c r="W570" i="3"/>
  <c r="V570" i="3"/>
  <c r="T570" i="3"/>
  <c r="S570" i="3"/>
  <c r="R570" i="3"/>
  <c r="Q570" i="3"/>
  <c r="P570" i="3"/>
  <c r="O570" i="3"/>
  <c r="N570" i="3"/>
  <c r="K570" i="3"/>
  <c r="J570" i="3"/>
  <c r="I570" i="3"/>
  <c r="H570" i="3"/>
  <c r="G570" i="3"/>
  <c r="F570" i="3"/>
  <c r="E570" i="3"/>
  <c r="D570" i="3"/>
  <c r="C570" i="3"/>
  <c r="L570" i="3" s="1"/>
  <c r="M570" i="3" s="1"/>
  <c r="B570" i="3"/>
  <c r="A570" i="3"/>
  <c r="AB569" i="3"/>
  <c r="AA569" i="3"/>
  <c r="Z569" i="3"/>
  <c r="Y569" i="3"/>
  <c r="X569" i="3"/>
  <c r="W569" i="3"/>
  <c r="V569" i="3"/>
  <c r="T569" i="3"/>
  <c r="S569" i="3"/>
  <c r="R569" i="3"/>
  <c r="Q569" i="3"/>
  <c r="P569" i="3"/>
  <c r="O569" i="3"/>
  <c r="N569" i="3"/>
  <c r="K569" i="3"/>
  <c r="J569" i="3"/>
  <c r="I569" i="3"/>
  <c r="H569" i="3"/>
  <c r="G569" i="3"/>
  <c r="F569" i="3"/>
  <c r="E569" i="3"/>
  <c r="D569" i="3"/>
  <c r="C569" i="3"/>
  <c r="L569" i="3" s="1"/>
  <c r="M569" i="3" s="1"/>
  <c r="B569" i="3"/>
  <c r="A569" i="3"/>
  <c r="AB568" i="3"/>
  <c r="AA568" i="3"/>
  <c r="Z568" i="3"/>
  <c r="Y568" i="3"/>
  <c r="X568" i="3"/>
  <c r="W568" i="3"/>
  <c r="V568" i="3"/>
  <c r="T568" i="3"/>
  <c r="S568" i="3"/>
  <c r="R568" i="3"/>
  <c r="Q568" i="3"/>
  <c r="P568" i="3"/>
  <c r="O568" i="3"/>
  <c r="N568" i="3"/>
  <c r="K568" i="3"/>
  <c r="J568" i="3"/>
  <c r="I568" i="3"/>
  <c r="H568" i="3"/>
  <c r="G568" i="3"/>
  <c r="F568" i="3"/>
  <c r="E568" i="3"/>
  <c r="D568" i="3"/>
  <c r="C568" i="3"/>
  <c r="L568" i="3" s="1"/>
  <c r="M568" i="3" s="1"/>
  <c r="B568" i="3"/>
  <c r="A568" i="3"/>
  <c r="AB567" i="3"/>
  <c r="AA567" i="3"/>
  <c r="Z567" i="3"/>
  <c r="Y567" i="3"/>
  <c r="X567" i="3"/>
  <c r="W567" i="3"/>
  <c r="V567" i="3"/>
  <c r="T567" i="3"/>
  <c r="S567" i="3"/>
  <c r="R567" i="3"/>
  <c r="Q567" i="3"/>
  <c r="P567" i="3"/>
  <c r="O567" i="3"/>
  <c r="N567" i="3"/>
  <c r="K567" i="3"/>
  <c r="J567" i="3"/>
  <c r="I567" i="3"/>
  <c r="H567" i="3"/>
  <c r="G567" i="3"/>
  <c r="F567" i="3"/>
  <c r="E567" i="3"/>
  <c r="D567" i="3"/>
  <c r="C567" i="3"/>
  <c r="L567" i="3" s="1"/>
  <c r="M567" i="3" s="1"/>
  <c r="B567" i="3"/>
  <c r="A567" i="3"/>
  <c r="AB566" i="3"/>
  <c r="AA566" i="3"/>
  <c r="Z566" i="3"/>
  <c r="Y566" i="3"/>
  <c r="X566" i="3"/>
  <c r="W566" i="3"/>
  <c r="V566" i="3"/>
  <c r="T566" i="3"/>
  <c r="S566" i="3"/>
  <c r="R566" i="3"/>
  <c r="Q566" i="3"/>
  <c r="P566" i="3"/>
  <c r="O566" i="3"/>
  <c r="N566" i="3"/>
  <c r="K566" i="3"/>
  <c r="J566" i="3"/>
  <c r="I566" i="3"/>
  <c r="H566" i="3"/>
  <c r="G566" i="3"/>
  <c r="F566" i="3"/>
  <c r="E566" i="3"/>
  <c r="D566" i="3"/>
  <c r="C566" i="3"/>
  <c r="L566" i="3" s="1"/>
  <c r="M566" i="3" s="1"/>
  <c r="B566" i="3"/>
  <c r="A566" i="3"/>
  <c r="AB565" i="3"/>
  <c r="AA565" i="3"/>
  <c r="Z565" i="3"/>
  <c r="Y565" i="3"/>
  <c r="X565" i="3"/>
  <c r="W565" i="3"/>
  <c r="V565" i="3"/>
  <c r="T565" i="3"/>
  <c r="S565" i="3"/>
  <c r="R565" i="3"/>
  <c r="Q565" i="3"/>
  <c r="P565" i="3"/>
  <c r="O565" i="3"/>
  <c r="N565" i="3"/>
  <c r="K565" i="3"/>
  <c r="J565" i="3"/>
  <c r="I565" i="3"/>
  <c r="H565" i="3"/>
  <c r="G565" i="3"/>
  <c r="F565" i="3"/>
  <c r="E565" i="3"/>
  <c r="D565" i="3"/>
  <c r="C565" i="3"/>
  <c r="L565" i="3" s="1"/>
  <c r="M565" i="3" s="1"/>
  <c r="B565" i="3"/>
  <c r="A565" i="3"/>
  <c r="AB564" i="3"/>
  <c r="AC564" i="3" s="1"/>
  <c r="AA564" i="3"/>
  <c r="Z564" i="3"/>
  <c r="Y564" i="3"/>
  <c r="X564" i="3"/>
  <c r="W564" i="3"/>
  <c r="V564" i="3"/>
  <c r="T564" i="3"/>
  <c r="S564" i="3"/>
  <c r="R564" i="3"/>
  <c r="Q564" i="3"/>
  <c r="P564" i="3"/>
  <c r="O564" i="3"/>
  <c r="N564" i="3"/>
  <c r="K564" i="3"/>
  <c r="J564" i="3"/>
  <c r="I564" i="3"/>
  <c r="H564" i="3"/>
  <c r="G564" i="3"/>
  <c r="F564" i="3"/>
  <c r="E564" i="3"/>
  <c r="D564" i="3"/>
  <c r="C564" i="3"/>
  <c r="L564" i="3" s="1"/>
  <c r="M564" i="3" s="1"/>
  <c r="B564" i="3"/>
  <c r="A564" i="3"/>
  <c r="AB563" i="3"/>
  <c r="AA563" i="3"/>
  <c r="Z563" i="3"/>
  <c r="Y563" i="3"/>
  <c r="X563" i="3"/>
  <c r="W563" i="3"/>
  <c r="V563" i="3"/>
  <c r="T563" i="3"/>
  <c r="S563" i="3"/>
  <c r="R563" i="3"/>
  <c r="Q563" i="3"/>
  <c r="P563" i="3"/>
  <c r="O563" i="3"/>
  <c r="N563" i="3"/>
  <c r="K563" i="3"/>
  <c r="J563" i="3"/>
  <c r="I563" i="3"/>
  <c r="H563" i="3"/>
  <c r="G563" i="3"/>
  <c r="F563" i="3"/>
  <c r="E563" i="3"/>
  <c r="D563" i="3"/>
  <c r="C563" i="3"/>
  <c r="L563" i="3" s="1"/>
  <c r="M563" i="3" s="1"/>
  <c r="B563" i="3"/>
  <c r="A563" i="3"/>
  <c r="AB562" i="3"/>
  <c r="AA562" i="3"/>
  <c r="Z562" i="3"/>
  <c r="Y562" i="3"/>
  <c r="X562" i="3"/>
  <c r="W562" i="3"/>
  <c r="V562" i="3"/>
  <c r="T562" i="3"/>
  <c r="S562" i="3"/>
  <c r="R562" i="3"/>
  <c r="Q562" i="3"/>
  <c r="P562" i="3"/>
  <c r="O562" i="3"/>
  <c r="N562" i="3"/>
  <c r="K562" i="3"/>
  <c r="J562" i="3"/>
  <c r="I562" i="3"/>
  <c r="H562" i="3"/>
  <c r="G562" i="3"/>
  <c r="F562" i="3"/>
  <c r="E562" i="3"/>
  <c r="D562" i="3"/>
  <c r="C562" i="3"/>
  <c r="L562" i="3" s="1"/>
  <c r="M562" i="3" s="1"/>
  <c r="B562" i="3"/>
  <c r="A562" i="3"/>
  <c r="AB561" i="3"/>
  <c r="AA561" i="3"/>
  <c r="Z561" i="3"/>
  <c r="Y561" i="3"/>
  <c r="X561" i="3"/>
  <c r="W561" i="3"/>
  <c r="V561" i="3"/>
  <c r="T561" i="3"/>
  <c r="S561" i="3"/>
  <c r="R561" i="3"/>
  <c r="Q561" i="3"/>
  <c r="P561" i="3"/>
  <c r="O561" i="3"/>
  <c r="N561" i="3"/>
  <c r="K561" i="3"/>
  <c r="J561" i="3"/>
  <c r="I561" i="3"/>
  <c r="H561" i="3"/>
  <c r="G561" i="3"/>
  <c r="F561" i="3"/>
  <c r="E561" i="3"/>
  <c r="D561" i="3"/>
  <c r="C561" i="3"/>
  <c r="L561" i="3" s="1"/>
  <c r="M561" i="3" s="1"/>
  <c r="B561" i="3"/>
  <c r="A561" i="3"/>
  <c r="AB560" i="3"/>
  <c r="AA560" i="3"/>
  <c r="Z560" i="3"/>
  <c r="Y560" i="3"/>
  <c r="X560" i="3"/>
  <c r="W560" i="3"/>
  <c r="V560" i="3"/>
  <c r="T560" i="3"/>
  <c r="S560" i="3"/>
  <c r="R560" i="3"/>
  <c r="Q560" i="3"/>
  <c r="P560" i="3"/>
  <c r="O560" i="3"/>
  <c r="N560" i="3"/>
  <c r="K560" i="3"/>
  <c r="J560" i="3"/>
  <c r="I560" i="3"/>
  <c r="H560" i="3"/>
  <c r="G560" i="3"/>
  <c r="F560" i="3"/>
  <c r="E560" i="3"/>
  <c r="D560" i="3"/>
  <c r="C560" i="3"/>
  <c r="L560" i="3" s="1"/>
  <c r="M560" i="3" s="1"/>
  <c r="B560" i="3"/>
  <c r="A560" i="3"/>
  <c r="AB559" i="3"/>
  <c r="AA559" i="3"/>
  <c r="Z559" i="3"/>
  <c r="Y559" i="3"/>
  <c r="X559" i="3"/>
  <c r="W559" i="3"/>
  <c r="V559" i="3"/>
  <c r="T559" i="3"/>
  <c r="S559" i="3"/>
  <c r="R559" i="3"/>
  <c r="Q559" i="3"/>
  <c r="P559" i="3"/>
  <c r="O559" i="3"/>
  <c r="N559" i="3"/>
  <c r="K559" i="3"/>
  <c r="J559" i="3"/>
  <c r="I559" i="3"/>
  <c r="H559" i="3"/>
  <c r="G559" i="3"/>
  <c r="F559" i="3"/>
  <c r="E559" i="3"/>
  <c r="D559" i="3"/>
  <c r="C559" i="3"/>
  <c r="L559" i="3" s="1"/>
  <c r="M559" i="3" s="1"/>
  <c r="B559" i="3"/>
  <c r="A559" i="3"/>
  <c r="AB558" i="3"/>
  <c r="AA558" i="3"/>
  <c r="Z558" i="3"/>
  <c r="Y558" i="3"/>
  <c r="X558" i="3"/>
  <c r="W558" i="3"/>
  <c r="V558" i="3"/>
  <c r="T558" i="3"/>
  <c r="S558" i="3"/>
  <c r="R558" i="3"/>
  <c r="Q558" i="3"/>
  <c r="P558" i="3"/>
  <c r="O558" i="3"/>
  <c r="N558" i="3"/>
  <c r="K558" i="3"/>
  <c r="J558" i="3"/>
  <c r="I558" i="3"/>
  <c r="H558" i="3"/>
  <c r="G558" i="3"/>
  <c r="F558" i="3"/>
  <c r="E558" i="3"/>
  <c r="D558" i="3"/>
  <c r="C558" i="3"/>
  <c r="L558" i="3" s="1"/>
  <c r="M558" i="3" s="1"/>
  <c r="B558" i="3"/>
  <c r="A558" i="3"/>
  <c r="AB557" i="3"/>
  <c r="AA557" i="3"/>
  <c r="Z557" i="3"/>
  <c r="Y557" i="3"/>
  <c r="X557" i="3"/>
  <c r="W557" i="3"/>
  <c r="V557" i="3"/>
  <c r="T557" i="3"/>
  <c r="S557" i="3"/>
  <c r="R557" i="3"/>
  <c r="Q557" i="3"/>
  <c r="P557" i="3"/>
  <c r="O557" i="3"/>
  <c r="N557" i="3"/>
  <c r="K557" i="3"/>
  <c r="J557" i="3"/>
  <c r="I557" i="3"/>
  <c r="H557" i="3"/>
  <c r="G557" i="3"/>
  <c r="F557" i="3"/>
  <c r="E557" i="3"/>
  <c r="D557" i="3"/>
  <c r="C557" i="3"/>
  <c r="L557" i="3" s="1"/>
  <c r="M557" i="3" s="1"/>
  <c r="B557" i="3"/>
  <c r="A557" i="3"/>
  <c r="AB556" i="3"/>
  <c r="AC556" i="3" s="1"/>
  <c r="AA556" i="3"/>
  <c r="Z556" i="3"/>
  <c r="Y556" i="3"/>
  <c r="X556" i="3"/>
  <c r="W556" i="3"/>
  <c r="V556" i="3"/>
  <c r="T556" i="3"/>
  <c r="S556" i="3"/>
  <c r="R556" i="3"/>
  <c r="Q556" i="3"/>
  <c r="P556" i="3"/>
  <c r="O556" i="3"/>
  <c r="N556" i="3"/>
  <c r="K556" i="3"/>
  <c r="J556" i="3"/>
  <c r="I556" i="3"/>
  <c r="H556" i="3"/>
  <c r="G556" i="3"/>
  <c r="F556" i="3"/>
  <c r="E556" i="3"/>
  <c r="D556" i="3"/>
  <c r="C556" i="3"/>
  <c r="L556" i="3" s="1"/>
  <c r="M556" i="3" s="1"/>
  <c r="B556" i="3"/>
  <c r="A556" i="3"/>
  <c r="AB555" i="3"/>
  <c r="AA555" i="3"/>
  <c r="Z555" i="3"/>
  <c r="Y555" i="3"/>
  <c r="X555" i="3"/>
  <c r="W555" i="3"/>
  <c r="V555" i="3"/>
  <c r="T555" i="3"/>
  <c r="S555" i="3"/>
  <c r="R555" i="3"/>
  <c r="Q555" i="3"/>
  <c r="P555" i="3"/>
  <c r="O555" i="3"/>
  <c r="N555" i="3"/>
  <c r="K555" i="3"/>
  <c r="J555" i="3"/>
  <c r="I555" i="3"/>
  <c r="H555" i="3"/>
  <c r="G555" i="3"/>
  <c r="F555" i="3"/>
  <c r="E555" i="3"/>
  <c r="D555" i="3"/>
  <c r="C555" i="3"/>
  <c r="L555" i="3" s="1"/>
  <c r="M555" i="3" s="1"/>
  <c r="B555" i="3"/>
  <c r="A555" i="3"/>
  <c r="AB554" i="3"/>
  <c r="AA554" i="3"/>
  <c r="Z554" i="3"/>
  <c r="Y554" i="3"/>
  <c r="X554" i="3"/>
  <c r="W554" i="3"/>
  <c r="V554" i="3"/>
  <c r="T554" i="3"/>
  <c r="S554" i="3"/>
  <c r="R554" i="3"/>
  <c r="Q554" i="3"/>
  <c r="P554" i="3"/>
  <c r="O554" i="3"/>
  <c r="N554" i="3"/>
  <c r="K554" i="3"/>
  <c r="J554" i="3"/>
  <c r="I554" i="3"/>
  <c r="H554" i="3"/>
  <c r="G554" i="3"/>
  <c r="F554" i="3"/>
  <c r="E554" i="3"/>
  <c r="D554" i="3"/>
  <c r="C554" i="3"/>
  <c r="L554" i="3" s="1"/>
  <c r="M554" i="3" s="1"/>
  <c r="B554" i="3"/>
  <c r="A554" i="3"/>
  <c r="AB553" i="3"/>
  <c r="AA553" i="3"/>
  <c r="Z553" i="3"/>
  <c r="Y553" i="3"/>
  <c r="X553" i="3"/>
  <c r="W553" i="3"/>
  <c r="V553" i="3"/>
  <c r="T553" i="3"/>
  <c r="S553" i="3"/>
  <c r="R553" i="3"/>
  <c r="Q553" i="3"/>
  <c r="P553" i="3"/>
  <c r="O553" i="3"/>
  <c r="N553" i="3"/>
  <c r="K553" i="3"/>
  <c r="J553" i="3"/>
  <c r="I553" i="3"/>
  <c r="H553" i="3"/>
  <c r="G553" i="3"/>
  <c r="F553" i="3"/>
  <c r="E553" i="3"/>
  <c r="D553" i="3"/>
  <c r="C553" i="3"/>
  <c r="L553" i="3" s="1"/>
  <c r="M553" i="3" s="1"/>
  <c r="B553" i="3"/>
  <c r="A553" i="3"/>
  <c r="AB552" i="3"/>
  <c r="AA552" i="3"/>
  <c r="Z552" i="3"/>
  <c r="Y552" i="3"/>
  <c r="X552" i="3"/>
  <c r="W552" i="3"/>
  <c r="V552" i="3"/>
  <c r="T552" i="3"/>
  <c r="S552" i="3"/>
  <c r="R552" i="3"/>
  <c r="Q552" i="3"/>
  <c r="P552" i="3"/>
  <c r="O552" i="3"/>
  <c r="N552" i="3"/>
  <c r="K552" i="3"/>
  <c r="J552" i="3"/>
  <c r="I552" i="3"/>
  <c r="H552" i="3"/>
  <c r="G552" i="3"/>
  <c r="F552" i="3"/>
  <c r="E552" i="3"/>
  <c r="D552" i="3"/>
  <c r="C552" i="3"/>
  <c r="L552" i="3" s="1"/>
  <c r="M552" i="3" s="1"/>
  <c r="B552" i="3"/>
  <c r="A552" i="3"/>
  <c r="AB551" i="3"/>
  <c r="AA551" i="3"/>
  <c r="Z551" i="3"/>
  <c r="Y551" i="3"/>
  <c r="X551" i="3"/>
  <c r="W551" i="3"/>
  <c r="V551" i="3"/>
  <c r="T551" i="3"/>
  <c r="S551" i="3"/>
  <c r="R551" i="3"/>
  <c r="Q551" i="3"/>
  <c r="P551" i="3"/>
  <c r="O551" i="3"/>
  <c r="N551" i="3"/>
  <c r="K551" i="3"/>
  <c r="J551" i="3"/>
  <c r="I551" i="3"/>
  <c r="H551" i="3"/>
  <c r="G551" i="3"/>
  <c r="F551" i="3"/>
  <c r="E551" i="3"/>
  <c r="D551" i="3"/>
  <c r="C551" i="3"/>
  <c r="L551" i="3" s="1"/>
  <c r="M551" i="3" s="1"/>
  <c r="B551" i="3"/>
  <c r="A551" i="3"/>
  <c r="AB550" i="3"/>
  <c r="AA550" i="3"/>
  <c r="Z550" i="3"/>
  <c r="Y550" i="3"/>
  <c r="X550" i="3"/>
  <c r="W550" i="3"/>
  <c r="V550" i="3"/>
  <c r="T550" i="3"/>
  <c r="S550" i="3"/>
  <c r="R550" i="3"/>
  <c r="Q550" i="3"/>
  <c r="P550" i="3"/>
  <c r="O550" i="3"/>
  <c r="N550" i="3"/>
  <c r="K550" i="3"/>
  <c r="J550" i="3"/>
  <c r="I550" i="3"/>
  <c r="H550" i="3"/>
  <c r="G550" i="3"/>
  <c r="F550" i="3"/>
  <c r="E550" i="3"/>
  <c r="D550" i="3"/>
  <c r="C550" i="3"/>
  <c r="L550" i="3" s="1"/>
  <c r="M550" i="3" s="1"/>
  <c r="B550" i="3"/>
  <c r="A550" i="3"/>
  <c r="AB549" i="3"/>
  <c r="AA549" i="3"/>
  <c r="Z549" i="3"/>
  <c r="Y549" i="3"/>
  <c r="X549" i="3"/>
  <c r="W549" i="3"/>
  <c r="V549" i="3"/>
  <c r="T549" i="3"/>
  <c r="S549" i="3"/>
  <c r="R549" i="3"/>
  <c r="Q549" i="3"/>
  <c r="P549" i="3"/>
  <c r="O549" i="3"/>
  <c r="N549" i="3"/>
  <c r="K549" i="3"/>
  <c r="J549" i="3"/>
  <c r="I549" i="3"/>
  <c r="H549" i="3"/>
  <c r="G549" i="3"/>
  <c r="F549" i="3"/>
  <c r="E549" i="3"/>
  <c r="D549" i="3"/>
  <c r="C549" i="3"/>
  <c r="L549" i="3" s="1"/>
  <c r="M549" i="3" s="1"/>
  <c r="B549" i="3"/>
  <c r="A549" i="3"/>
  <c r="AB548" i="3"/>
  <c r="AA548" i="3"/>
  <c r="Z548" i="3"/>
  <c r="Y548" i="3"/>
  <c r="X548" i="3"/>
  <c r="W548" i="3"/>
  <c r="V548" i="3"/>
  <c r="T548" i="3"/>
  <c r="S548" i="3"/>
  <c r="R548" i="3"/>
  <c r="Q548" i="3"/>
  <c r="P548" i="3"/>
  <c r="O548" i="3"/>
  <c r="N548" i="3"/>
  <c r="K548" i="3"/>
  <c r="J548" i="3"/>
  <c r="I548" i="3"/>
  <c r="H548" i="3"/>
  <c r="G548" i="3"/>
  <c r="F548" i="3"/>
  <c r="E548" i="3"/>
  <c r="D548" i="3"/>
  <c r="C548" i="3"/>
  <c r="L548" i="3" s="1"/>
  <c r="M548" i="3" s="1"/>
  <c r="B548" i="3"/>
  <c r="A548" i="3"/>
  <c r="AB547" i="3"/>
  <c r="AA547" i="3"/>
  <c r="Z547" i="3"/>
  <c r="Y547" i="3"/>
  <c r="X547" i="3"/>
  <c r="W547" i="3"/>
  <c r="V547" i="3"/>
  <c r="T547" i="3"/>
  <c r="S547" i="3"/>
  <c r="R547" i="3"/>
  <c r="Q547" i="3"/>
  <c r="P547" i="3"/>
  <c r="O547" i="3"/>
  <c r="N547" i="3"/>
  <c r="K547" i="3"/>
  <c r="J547" i="3"/>
  <c r="I547" i="3"/>
  <c r="H547" i="3"/>
  <c r="G547" i="3"/>
  <c r="F547" i="3"/>
  <c r="E547" i="3"/>
  <c r="D547" i="3"/>
  <c r="C547" i="3"/>
  <c r="L547" i="3" s="1"/>
  <c r="M547" i="3" s="1"/>
  <c r="B547" i="3"/>
  <c r="A547" i="3"/>
  <c r="AB546" i="3"/>
  <c r="AA546" i="3"/>
  <c r="Z546" i="3"/>
  <c r="Y546" i="3"/>
  <c r="X546" i="3"/>
  <c r="W546" i="3"/>
  <c r="V546" i="3"/>
  <c r="T546" i="3"/>
  <c r="S546" i="3"/>
  <c r="R546" i="3"/>
  <c r="Q546" i="3"/>
  <c r="P546" i="3"/>
  <c r="O546" i="3"/>
  <c r="N546" i="3"/>
  <c r="K546" i="3"/>
  <c r="J546" i="3"/>
  <c r="I546" i="3"/>
  <c r="H546" i="3"/>
  <c r="G546" i="3"/>
  <c r="F546" i="3"/>
  <c r="E546" i="3"/>
  <c r="D546" i="3"/>
  <c r="C546" i="3"/>
  <c r="L546" i="3" s="1"/>
  <c r="M546" i="3" s="1"/>
  <c r="B546" i="3"/>
  <c r="A546" i="3"/>
  <c r="AB545" i="3"/>
  <c r="AA545" i="3"/>
  <c r="Z545" i="3"/>
  <c r="Y545" i="3"/>
  <c r="X545" i="3"/>
  <c r="W545" i="3"/>
  <c r="V545" i="3"/>
  <c r="T545" i="3"/>
  <c r="S545" i="3"/>
  <c r="R545" i="3"/>
  <c r="Q545" i="3"/>
  <c r="P545" i="3"/>
  <c r="O545" i="3"/>
  <c r="N545" i="3"/>
  <c r="K545" i="3"/>
  <c r="J545" i="3"/>
  <c r="I545" i="3"/>
  <c r="H545" i="3"/>
  <c r="G545" i="3"/>
  <c r="F545" i="3"/>
  <c r="E545" i="3"/>
  <c r="D545" i="3"/>
  <c r="C545" i="3"/>
  <c r="L545" i="3" s="1"/>
  <c r="M545" i="3" s="1"/>
  <c r="B545" i="3"/>
  <c r="A545" i="3"/>
  <c r="AB544" i="3"/>
  <c r="AA544" i="3"/>
  <c r="Z544" i="3"/>
  <c r="Y544" i="3"/>
  <c r="X544" i="3"/>
  <c r="W544" i="3"/>
  <c r="V544" i="3"/>
  <c r="T544" i="3"/>
  <c r="S544" i="3"/>
  <c r="R544" i="3"/>
  <c r="Q544" i="3"/>
  <c r="P544" i="3"/>
  <c r="O544" i="3"/>
  <c r="N544" i="3"/>
  <c r="K544" i="3"/>
  <c r="J544" i="3"/>
  <c r="I544" i="3"/>
  <c r="H544" i="3"/>
  <c r="G544" i="3"/>
  <c r="F544" i="3"/>
  <c r="E544" i="3"/>
  <c r="D544" i="3"/>
  <c r="C544" i="3"/>
  <c r="L544" i="3" s="1"/>
  <c r="M544" i="3" s="1"/>
  <c r="B544" i="3"/>
  <c r="A544" i="3"/>
  <c r="AB543" i="3"/>
  <c r="AA543" i="3"/>
  <c r="Z543" i="3"/>
  <c r="Y543" i="3"/>
  <c r="X543" i="3"/>
  <c r="W543" i="3"/>
  <c r="V543" i="3"/>
  <c r="T543" i="3"/>
  <c r="S543" i="3"/>
  <c r="R543" i="3"/>
  <c r="Q543" i="3"/>
  <c r="P543" i="3"/>
  <c r="O543" i="3"/>
  <c r="N543" i="3"/>
  <c r="K543" i="3"/>
  <c r="J543" i="3"/>
  <c r="I543" i="3"/>
  <c r="H543" i="3"/>
  <c r="G543" i="3"/>
  <c r="F543" i="3"/>
  <c r="E543" i="3"/>
  <c r="D543" i="3"/>
  <c r="C543" i="3"/>
  <c r="L543" i="3" s="1"/>
  <c r="M543" i="3" s="1"/>
  <c r="B543" i="3"/>
  <c r="A543" i="3"/>
  <c r="AB542" i="3"/>
  <c r="AA542" i="3"/>
  <c r="Z542" i="3"/>
  <c r="Y542" i="3"/>
  <c r="X542" i="3"/>
  <c r="W542" i="3"/>
  <c r="V542" i="3"/>
  <c r="T542" i="3"/>
  <c r="S542" i="3"/>
  <c r="R542" i="3"/>
  <c r="Q542" i="3"/>
  <c r="P542" i="3"/>
  <c r="O542" i="3"/>
  <c r="N542" i="3"/>
  <c r="K542" i="3"/>
  <c r="J542" i="3"/>
  <c r="I542" i="3"/>
  <c r="H542" i="3"/>
  <c r="G542" i="3"/>
  <c r="F542" i="3"/>
  <c r="E542" i="3"/>
  <c r="D542" i="3"/>
  <c r="C542" i="3"/>
  <c r="L542" i="3" s="1"/>
  <c r="M542" i="3" s="1"/>
  <c r="B542" i="3"/>
  <c r="A542" i="3"/>
  <c r="AB541" i="3"/>
  <c r="AA541" i="3"/>
  <c r="Z541" i="3"/>
  <c r="Y541" i="3"/>
  <c r="X541" i="3"/>
  <c r="W541" i="3"/>
  <c r="V541" i="3"/>
  <c r="T541" i="3"/>
  <c r="S541" i="3"/>
  <c r="R541" i="3"/>
  <c r="Q541" i="3"/>
  <c r="P541" i="3"/>
  <c r="O541" i="3"/>
  <c r="N541" i="3"/>
  <c r="K541" i="3"/>
  <c r="J541" i="3"/>
  <c r="I541" i="3"/>
  <c r="H541" i="3"/>
  <c r="G541" i="3"/>
  <c r="F541" i="3"/>
  <c r="E541" i="3"/>
  <c r="D541" i="3"/>
  <c r="C541" i="3"/>
  <c r="L541" i="3" s="1"/>
  <c r="M541" i="3" s="1"/>
  <c r="B541" i="3"/>
  <c r="A541" i="3"/>
  <c r="AB540" i="3"/>
  <c r="AA540" i="3"/>
  <c r="Z540" i="3"/>
  <c r="Y540" i="3"/>
  <c r="X540" i="3"/>
  <c r="W540" i="3"/>
  <c r="V540" i="3"/>
  <c r="T540" i="3"/>
  <c r="S540" i="3"/>
  <c r="R540" i="3"/>
  <c r="Q540" i="3"/>
  <c r="P540" i="3"/>
  <c r="O540" i="3"/>
  <c r="N540" i="3"/>
  <c r="K540" i="3"/>
  <c r="J540" i="3"/>
  <c r="I540" i="3"/>
  <c r="H540" i="3"/>
  <c r="G540" i="3"/>
  <c r="F540" i="3"/>
  <c r="E540" i="3"/>
  <c r="D540" i="3"/>
  <c r="C540" i="3"/>
  <c r="L540" i="3" s="1"/>
  <c r="M540" i="3" s="1"/>
  <c r="B540" i="3"/>
  <c r="A540" i="3"/>
  <c r="AB539" i="3"/>
  <c r="AA539" i="3"/>
  <c r="Z539" i="3"/>
  <c r="Y539" i="3"/>
  <c r="X539" i="3"/>
  <c r="W539" i="3"/>
  <c r="V539" i="3"/>
  <c r="T539" i="3"/>
  <c r="S539" i="3"/>
  <c r="R539" i="3"/>
  <c r="Q539" i="3"/>
  <c r="P539" i="3"/>
  <c r="O539" i="3"/>
  <c r="N539" i="3"/>
  <c r="K539" i="3"/>
  <c r="J539" i="3"/>
  <c r="I539" i="3"/>
  <c r="H539" i="3"/>
  <c r="G539" i="3"/>
  <c r="F539" i="3"/>
  <c r="E539" i="3"/>
  <c r="D539" i="3"/>
  <c r="C539" i="3"/>
  <c r="L539" i="3" s="1"/>
  <c r="M539" i="3" s="1"/>
  <c r="B539" i="3"/>
  <c r="A539" i="3"/>
  <c r="AB538" i="3"/>
  <c r="AA538" i="3"/>
  <c r="Z538" i="3"/>
  <c r="Y538" i="3"/>
  <c r="X538" i="3"/>
  <c r="W538" i="3"/>
  <c r="V538" i="3"/>
  <c r="T538" i="3"/>
  <c r="S538" i="3"/>
  <c r="R538" i="3"/>
  <c r="Q538" i="3"/>
  <c r="P538" i="3"/>
  <c r="O538" i="3"/>
  <c r="N538" i="3"/>
  <c r="K538" i="3"/>
  <c r="J538" i="3"/>
  <c r="I538" i="3"/>
  <c r="H538" i="3"/>
  <c r="G538" i="3"/>
  <c r="F538" i="3"/>
  <c r="E538" i="3"/>
  <c r="D538" i="3"/>
  <c r="C538" i="3"/>
  <c r="L538" i="3" s="1"/>
  <c r="M538" i="3" s="1"/>
  <c r="B538" i="3"/>
  <c r="A538" i="3"/>
  <c r="AB537" i="3"/>
  <c r="AA537" i="3"/>
  <c r="Z537" i="3"/>
  <c r="Y537" i="3"/>
  <c r="X537" i="3"/>
  <c r="W537" i="3"/>
  <c r="V537" i="3"/>
  <c r="T537" i="3"/>
  <c r="S537" i="3"/>
  <c r="R537" i="3"/>
  <c r="Q537" i="3"/>
  <c r="P537" i="3"/>
  <c r="O537" i="3"/>
  <c r="N537" i="3"/>
  <c r="K537" i="3"/>
  <c r="J537" i="3"/>
  <c r="I537" i="3"/>
  <c r="H537" i="3"/>
  <c r="G537" i="3"/>
  <c r="F537" i="3"/>
  <c r="E537" i="3"/>
  <c r="D537" i="3"/>
  <c r="C537" i="3"/>
  <c r="L537" i="3" s="1"/>
  <c r="M537" i="3" s="1"/>
  <c r="B537" i="3"/>
  <c r="A537" i="3"/>
  <c r="AB536" i="3"/>
  <c r="AA536" i="3"/>
  <c r="Z536" i="3"/>
  <c r="Y536" i="3"/>
  <c r="X536" i="3"/>
  <c r="W536" i="3"/>
  <c r="V536" i="3"/>
  <c r="T536" i="3"/>
  <c r="S536" i="3"/>
  <c r="R536" i="3"/>
  <c r="Q536" i="3"/>
  <c r="P536" i="3"/>
  <c r="O536" i="3"/>
  <c r="N536" i="3"/>
  <c r="K536" i="3"/>
  <c r="J536" i="3"/>
  <c r="I536" i="3"/>
  <c r="H536" i="3"/>
  <c r="G536" i="3"/>
  <c r="F536" i="3"/>
  <c r="E536" i="3"/>
  <c r="D536" i="3"/>
  <c r="C536" i="3"/>
  <c r="L536" i="3" s="1"/>
  <c r="M536" i="3" s="1"/>
  <c r="B536" i="3"/>
  <c r="A536" i="3"/>
  <c r="AB535" i="3"/>
  <c r="AA535" i="3"/>
  <c r="Z535" i="3"/>
  <c r="Y535" i="3"/>
  <c r="X535" i="3"/>
  <c r="W535" i="3"/>
  <c r="V535" i="3"/>
  <c r="T535" i="3"/>
  <c r="S535" i="3"/>
  <c r="R535" i="3"/>
  <c r="Q535" i="3"/>
  <c r="P535" i="3"/>
  <c r="O535" i="3"/>
  <c r="N535" i="3"/>
  <c r="K535" i="3"/>
  <c r="J535" i="3"/>
  <c r="I535" i="3"/>
  <c r="H535" i="3"/>
  <c r="G535" i="3"/>
  <c r="F535" i="3"/>
  <c r="E535" i="3"/>
  <c r="D535" i="3"/>
  <c r="C535" i="3"/>
  <c r="L535" i="3" s="1"/>
  <c r="M535" i="3" s="1"/>
  <c r="B535" i="3"/>
  <c r="A535" i="3"/>
  <c r="AB534" i="3"/>
  <c r="AA534" i="3"/>
  <c r="Z534" i="3"/>
  <c r="Y534" i="3"/>
  <c r="X534" i="3"/>
  <c r="W534" i="3"/>
  <c r="V534" i="3"/>
  <c r="T534" i="3"/>
  <c r="S534" i="3"/>
  <c r="R534" i="3"/>
  <c r="Q534" i="3"/>
  <c r="P534" i="3"/>
  <c r="O534" i="3"/>
  <c r="N534" i="3"/>
  <c r="K534" i="3"/>
  <c r="J534" i="3"/>
  <c r="I534" i="3"/>
  <c r="H534" i="3"/>
  <c r="G534" i="3"/>
  <c r="F534" i="3"/>
  <c r="E534" i="3"/>
  <c r="D534" i="3"/>
  <c r="C534" i="3"/>
  <c r="L534" i="3" s="1"/>
  <c r="M534" i="3" s="1"/>
  <c r="B534" i="3"/>
  <c r="A534" i="3"/>
  <c r="AB533" i="3"/>
  <c r="AA533" i="3"/>
  <c r="Z533" i="3"/>
  <c r="Y533" i="3"/>
  <c r="X533" i="3"/>
  <c r="W533" i="3"/>
  <c r="V533" i="3"/>
  <c r="T533" i="3"/>
  <c r="S533" i="3"/>
  <c r="R533" i="3"/>
  <c r="Q533" i="3"/>
  <c r="P533" i="3"/>
  <c r="O533" i="3"/>
  <c r="N533" i="3"/>
  <c r="K533" i="3"/>
  <c r="J533" i="3"/>
  <c r="I533" i="3"/>
  <c r="H533" i="3"/>
  <c r="G533" i="3"/>
  <c r="F533" i="3"/>
  <c r="E533" i="3"/>
  <c r="D533" i="3"/>
  <c r="C533" i="3"/>
  <c r="L533" i="3" s="1"/>
  <c r="M533" i="3" s="1"/>
  <c r="B533" i="3"/>
  <c r="A533" i="3"/>
  <c r="AB532" i="3"/>
  <c r="AA532" i="3"/>
  <c r="Z532" i="3"/>
  <c r="Y532" i="3"/>
  <c r="X532" i="3"/>
  <c r="W532" i="3"/>
  <c r="V532" i="3"/>
  <c r="T532" i="3"/>
  <c r="S532" i="3"/>
  <c r="R532" i="3"/>
  <c r="Q532" i="3"/>
  <c r="P532" i="3"/>
  <c r="O532" i="3"/>
  <c r="N532" i="3"/>
  <c r="K532" i="3"/>
  <c r="J532" i="3"/>
  <c r="I532" i="3"/>
  <c r="H532" i="3"/>
  <c r="G532" i="3"/>
  <c r="F532" i="3"/>
  <c r="E532" i="3"/>
  <c r="D532" i="3"/>
  <c r="C532" i="3"/>
  <c r="L532" i="3" s="1"/>
  <c r="M532" i="3" s="1"/>
  <c r="B532" i="3"/>
  <c r="A532" i="3"/>
  <c r="AB531" i="3"/>
  <c r="AA531" i="3"/>
  <c r="Z531" i="3"/>
  <c r="Y531" i="3"/>
  <c r="X531" i="3"/>
  <c r="W531" i="3"/>
  <c r="V531" i="3"/>
  <c r="T531" i="3"/>
  <c r="S531" i="3"/>
  <c r="R531" i="3"/>
  <c r="Q531" i="3"/>
  <c r="P531" i="3"/>
  <c r="O531" i="3"/>
  <c r="N531" i="3"/>
  <c r="K531" i="3"/>
  <c r="J531" i="3"/>
  <c r="I531" i="3"/>
  <c r="H531" i="3"/>
  <c r="G531" i="3"/>
  <c r="F531" i="3"/>
  <c r="E531" i="3"/>
  <c r="D531" i="3"/>
  <c r="C531" i="3"/>
  <c r="L531" i="3" s="1"/>
  <c r="M531" i="3" s="1"/>
  <c r="B531" i="3"/>
  <c r="A531" i="3"/>
  <c r="AB530" i="3"/>
  <c r="AA530" i="3"/>
  <c r="Z530" i="3"/>
  <c r="Y530" i="3"/>
  <c r="X530" i="3"/>
  <c r="W530" i="3"/>
  <c r="V530" i="3"/>
  <c r="T530" i="3"/>
  <c r="S530" i="3"/>
  <c r="R530" i="3"/>
  <c r="Q530" i="3"/>
  <c r="P530" i="3"/>
  <c r="O530" i="3"/>
  <c r="N530" i="3"/>
  <c r="K530" i="3"/>
  <c r="J530" i="3"/>
  <c r="I530" i="3"/>
  <c r="H530" i="3"/>
  <c r="G530" i="3"/>
  <c r="F530" i="3"/>
  <c r="E530" i="3"/>
  <c r="D530" i="3"/>
  <c r="C530" i="3"/>
  <c r="L530" i="3" s="1"/>
  <c r="M530" i="3" s="1"/>
  <c r="B530" i="3"/>
  <c r="A530" i="3"/>
  <c r="AB529" i="3"/>
  <c r="AA529" i="3"/>
  <c r="Z529" i="3"/>
  <c r="Y529" i="3"/>
  <c r="X529" i="3"/>
  <c r="W529" i="3"/>
  <c r="V529" i="3"/>
  <c r="T529" i="3"/>
  <c r="S529" i="3"/>
  <c r="R529" i="3"/>
  <c r="Q529" i="3"/>
  <c r="P529" i="3"/>
  <c r="O529" i="3"/>
  <c r="N529" i="3"/>
  <c r="K529" i="3"/>
  <c r="J529" i="3"/>
  <c r="I529" i="3"/>
  <c r="H529" i="3"/>
  <c r="G529" i="3"/>
  <c r="F529" i="3"/>
  <c r="E529" i="3"/>
  <c r="D529" i="3"/>
  <c r="C529" i="3"/>
  <c r="L529" i="3" s="1"/>
  <c r="M529" i="3" s="1"/>
  <c r="B529" i="3"/>
  <c r="A529" i="3"/>
  <c r="AB528" i="3"/>
  <c r="AA528" i="3"/>
  <c r="Z528" i="3"/>
  <c r="Y528" i="3"/>
  <c r="X528" i="3"/>
  <c r="W528" i="3"/>
  <c r="V528" i="3"/>
  <c r="T528" i="3"/>
  <c r="S528" i="3"/>
  <c r="R528" i="3"/>
  <c r="Q528" i="3"/>
  <c r="P528" i="3"/>
  <c r="O528" i="3"/>
  <c r="N528" i="3"/>
  <c r="K528" i="3"/>
  <c r="J528" i="3"/>
  <c r="I528" i="3"/>
  <c r="H528" i="3"/>
  <c r="G528" i="3"/>
  <c r="F528" i="3"/>
  <c r="E528" i="3"/>
  <c r="D528" i="3"/>
  <c r="C528" i="3"/>
  <c r="L528" i="3" s="1"/>
  <c r="M528" i="3" s="1"/>
  <c r="B528" i="3"/>
  <c r="A528" i="3"/>
  <c r="AB527" i="3"/>
  <c r="AA527" i="3"/>
  <c r="Z527" i="3"/>
  <c r="Y527" i="3"/>
  <c r="X527" i="3"/>
  <c r="W527" i="3"/>
  <c r="V527" i="3"/>
  <c r="T527" i="3"/>
  <c r="S527" i="3"/>
  <c r="R527" i="3"/>
  <c r="Q527" i="3"/>
  <c r="P527" i="3"/>
  <c r="O527" i="3"/>
  <c r="N527" i="3"/>
  <c r="K527" i="3"/>
  <c r="J527" i="3"/>
  <c r="I527" i="3"/>
  <c r="H527" i="3"/>
  <c r="G527" i="3"/>
  <c r="F527" i="3"/>
  <c r="E527" i="3"/>
  <c r="D527" i="3"/>
  <c r="C527" i="3"/>
  <c r="L527" i="3" s="1"/>
  <c r="M527" i="3" s="1"/>
  <c r="B527" i="3"/>
  <c r="A527" i="3"/>
  <c r="AB526" i="3"/>
  <c r="AA526" i="3"/>
  <c r="Z526" i="3"/>
  <c r="Y526" i="3"/>
  <c r="X526" i="3"/>
  <c r="W526" i="3"/>
  <c r="V526" i="3"/>
  <c r="T526" i="3"/>
  <c r="S526" i="3"/>
  <c r="R526" i="3"/>
  <c r="Q526" i="3"/>
  <c r="P526" i="3"/>
  <c r="O526" i="3"/>
  <c r="N526" i="3"/>
  <c r="K526" i="3"/>
  <c r="J526" i="3"/>
  <c r="I526" i="3"/>
  <c r="H526" i="3"/>
  <c r="G526" i="3"/>
  <c r="F526" i="3"/>
  <c r="E526" i="3"/>
  <c r="D526" i="3"/>
  <c r="C526" i="3"/>
  <c r="L526" i="3" s="1"/>
  <c r="M526" i="3" s="1"/>
  <c r="B526" i="3"/>
  <c r="A526" i="3"/>
  <c r="AB525" i="3"/>
  <c r="AA525" i="3"/>
  <c r="Z525" i="3"/>
  <c r="Y525" i="3"/>
  <c r="X525" i="3"/>
  <c r="W525" i="3"/>
  <c r="V525" i="3"/>
  <c r="T525" i="3"/>
  <c r="S525" i="3"/>
  <c r="R525" i="3"/>
  <c r="Q525" i="3"/>
  <c r="P525" i="3"/>
  <c r="O525" i="3"/>
  <c r="N525" i="3"/>
  <c r="K525" i="3"/>
  <c r="J525" i="3"/>
  <c r="I525" i="3"/>
  <c r="H525" i="3"/>
  <c r="G525" i="3"/>
  <c r="F525" i="3"/>
  <c r="E525" i="3"/>
  <c r="D525" i="3"/>
  <c r="C525" i="3"/>
  <c r="L525" i="3" s="1"/>
  <c r="M525" i="3" s="1"/>
  <c r="B525" i="3"/>
  <c r="A525" i="3"/>
  <c r="AB524" i="3"/>
  <c r="AA524" i="3"/>
  <c r="Z524" i="3"/>
  <c r="Y524" i="3"/>
  <c r="X524" i="3"/>
  <c r="W524" i="3"/>
  <c r="V524" i="3"/>
  <c r="T524" i="3"/>
  <c r="S524" i="3"/>
  <c r="R524" i="3"/>
  <c r="Q524" i="3"/>
  <c r="P524" i="3"/>
  <c r="O524" i="3"/>
  <c r="N524" i="3"/>
  <c r="K524" i="3"/>
  <c r="J524" i="3"/>
  <c r="I524" i="3"/>
  <c r="H524" i="3"/>
  <c r="G524" i="3"/>
  <c r="F524" i="3"/>
  <c r="E524" i="3"/>
  <c r="D524" i="3"/>
  <c r="C524" i="3"/>
  <c r="L524" i="3" s="1"/>
  <c r="M524" i="3" s="1"/>
  <c r="B524" i="3"/>
  <c r="A524" i="3"/>
  <c r="AB523" i="3"/>
  <c r="AA523" i="3"/>
  <c r="Z523" i="3"/>
  <c r="Y523" i="3"/>
  <c r="X523" i="3"/>
  <c r="W523" i="3"/>
  <c r="V523" i="3"/>
  <c r="T523" i="3"/>
  <c r="S523" i="3"/>
  <c r="R523" i="3"/>
  <c r="Q523" i="3"/>
  <c r="P523" i="3"/>
  <c r="O523" i="3"/>
  <c r="N523" i="3"/>
  <c r="K523" i="3"/>
  <c r="J523" i="3"/>
  <c r="I523" i="3"/>
  <c r="H523" i="3"/>
  <c r="G523" i="3"/>
  <c r="F523" i="3"/>
  <c r="E523" i="3"/>
  <c r="D523" i="3"/>
  <c r="C523" i="3"/>
  <c r="L523" i="3" s="1"/>
  <c r="M523" i="3" s="1"/>
  <c r="B523" i="3"/>
  <c r="A523" i="3"/>
  <c r="AB522" i="3"/>
  <c r="AA522" i="3"/>
  <c r="Z522" i="3"/>
  <c r="Y522" i="3"/>
  <c r="X522" i="3"/>
  <c r="W522" i="3"/>
  <c r="V522" i="3"/>
  <c r="T522" i="3"/>
  <c r="S522" i="3"/>
  <c r="R522" i="3"/>
  <c r="Q522" i="3"/>
  <c r="P522" i="3"/>
  <c r="O522" i="3"/>
  <c r="N522" i="3"/>
  <c r="K522" i="3"/>
  <c r="J522" i="3"/>
  <c r="I522" i="3"/>
  <c r="H522" i="3"/>
  <c r="G522" i="3"/>
  <c r="F522" i="3"/>
  <c r="E522" i="3"/>
  <c r="D522" i="3"/>
  <c r="C522" i="3"/>
  <c r="L522" i="3" s="1"/>
  <c r="M522" i="3" s="1"/>
  <c r="B522" i="3"/>
  <c r="A522" i="3"/>
  <c r="AB521" i="3"/>
  <c r="AA521" i="3"/>
  <c r="Z521" i="3"/>
  <c r="Y521" i="3"/>
  <c r="X521" i="3"/>
  <c r="W521" i="3"/>
  <c r="V521" i="3"/>
  <c r="T521" i="3"/>
  <c r="S521" i="3"/>
  <c r="R521" i="3"/>
  <c r="Q521" i="3"/>
  <c r="P521" i="3"/>
  <c r="O521" i="3"/>
  <c r="N521" i="3"/>
  <c r="K521" i="3"/>
  <c r="J521" i="3"/>
  <c r="I521" i="3"/>
  <c r="H521" i="3"/>
  <c r="G521" i="3"/>
  <c r="F521" i="3"/>
  <c r="E521" i="3"/>
  <c r="D521" i="3"/>
  <c r="C521" i="3"/>
  <c r="L521" i="3" s="1"/>
  <c r="M521" i="3" s="1"/>
  <c r="B521" i="3"/>
  <c r="A521" i="3"/>
  <c r="AB520" i="3"/>
  <c r="AA520" i="3"/>
  <c r="Z520" i="3"/>
  <c r="Y520" i="3"/>
  <c r="X520" i="3"/>
  <c r="W520" i="3"/>
  <c r="V520" i="3"/>
  <c r="T520" i="3"/>
  <c r="S520" i="3"/>
  <c r="R520" i="3"/>
  <c r="Q520" i="3"/>
  <c r="P520" i="3"/>
  <c r="O520" i="3"/>
  <c r="N520" i="3"/>
  <c r="K520" i="3"/>
  <c r="J520" i="3"/>
  <c r="I520" i="3"/>
  <c r="H520" i="3"/>
  <c r="G520" i="3"/>
  <c r="F520" i="3"/>
  <c r="E520" i="3"/>
  <c r="D520" i="3"/>
  <c r="C520" i="3"/>
  <c r="L520" i="3" s="1"/>
  <c r="M520" i="3" s="1"/>
  <c r="B520" i="3"/>
  <c r="A520" i="3"/>
  <c r="AB519" i="3"/>
  <c r="AA519" i="3"/>
  <c r="Z519" i="3"/>
  <c r="Y519" i="3"/>
  <c r="X519" i="3"/>
  <c r="W519" i="3"/>
  <c r="V519" i="3"/>
  <c r="T519" i="3"/>
  <c r="S519" i="3"/>
  <c r="R519" i="3"/>
  <c r="Q519" i="3"/>
  <c r="P519" i="3"/>
  <c r="O519" i="3"/>
  <c r="N519" i="3"/>
  <c r="K519" i="3"/>
  <c r="J519" i="3"/>
  <c r="I519" i="3"/>
  <c r="H519" i="3"/>
  <c r="G519" i="3"/>
  <c r="F519" i="3"/>
  <c r="E519" i="3"/>
  <c r="D519" i="3"/>
  <c r="C519" i="3"/>
  <c r="L519" i="3" s="1"/>
  <c r="M519" i="3" s="1"/>
  <c r="B519" i="3"/>
  <c r="A519" i="3"/>
  <c r="AB518" i="3"/>
  <c r="AA518" i="3"/>
  <c r="Z518" i="3"/>
  <c r="Y518" i="3"/>
  <c r="X518" i="3"/>
  <c r="W518" i="3"/>
  <c r="V518" i="3"/>
  <c r="T518" i="3"/>
  <c r="S518" i="3"/>
  <c r="R518" i="3"/>
  <c r="Q518" i="3"/>
  <c r="P518" i="3"/>
  <c r="O518" i="3"/>
  <c r="N518" i="3"/>
  <c r="K518" i="3"/>
  <c r="J518" i="3"/>
  <c r="I518" i="3"/>
  <c r="H518" i="3"/>
  <c r="G518" i="3"/>
  <c r="F518" i="3"/>
  <c r="E518" i="3"/>
  <c r="D518" i="3"/>
  <c r="C518" i="3"/>
  <c r="L518" i="3" s="1"/>
  <c r="M518" i="3" s="1"/>
  <c r="B518" i="3"/>
  <c r="A518" i="3"/>
  <c r="AB517" i="3"/>
  <c r="AA517" i="3"/>
  <c r="Z517" i="3"/>
  <c r="Y517" i="3"/>
  <c r="X517" i="3"/>
  <c r="W517" i="3"/>
  <c r="V517" i="3"/>
  <c r="T517" i="3"/>
  <c r="S517" i="3"/>
  <c r="R517" i="3"/>
  <c r="Q517" i="3"/>
  <c r="P517" i="3"/>
  <c r="O517" i="3"/>
  <c r="N517" i="3"/>
  <c r="K517" i="3"/>
  <c r="J517" i="3"/>
  <c r="I517" i="3"/>
  <c r="H517" i="3"/>
  <c r="G517" i="3"/>
  <c r="F517" i="3"/>
  <c r="E517" i="3"/>
  <c r="D517" i="3"/>
  <c r="C517" i="3"/>
  <c r="L517" i="3" s="1"/>
  <c r="M517" i="3" s="1"/>
  <c r="B517" i="3"/>
  <c r="A517" i="3"/>
  <c r="AB516" i="3"/>
  <c r="AC516" i="3" s="1"/>
  <c r="AA516" i="3"/>
  <c r="Z516" i="3"/>
  <c r="Y516" i="3"/>
  <c r="X516" i="3"/>
  <c r="W516" i="3"/>
  <c r="V516" i="3"/>
  <c r="T516" i="3"/>
  <c r="S516" i="3"/>
  <c r="R516" i="3"/>
  <c r="Q516" i="3"/>
  <c r="P516" i="3"/>
  <c r="O516" i="3"/>
  <c r="N516" i="3"/>
  <c r="K516" i="3"/>
  <c r="J516" i="3"/>
  <c r="I516" i="3"/>
  <c r="H516" i="3"/>
  <c r="G516" i="3"/>
  <c r="F516" i="3"/>
  <c r="E516" i="3"/>
  <c r="D516" i="3"/>
  <c r="C516" i="3"/>
  <c r="L516" i="3" s="1"/>
  <c r="M516" i="3" s="1"/>
  <c r="B516" i="3"/>
  <c r="A516" i="3"/>
  <c r="AB515" i="3"/>
  <c r="AA515" i="3"/>
  <c r="Z515" i="3"/>
  <c r="Y515" i="3"/>
  <c r="X515" i="3"/>
  <c r="W515" i="3"/>
  <c r="V515" i="3"/>
  <c r="T515" i="3"/>
  <c r="S515" i="3"/>
  <c r="R515" i="3"/>
  <c r="Q515" i="3"/>
  <c r="P515" i="3"/>
  <c r="O515" i="3"/>
  <c r="N515" i="3"/>
  <c r="K515" i="3"/>
  <c r="J515" i="3"/>
  <c r="I515" i="3"/>
  <c r="H515" i="3"/>
  <c r="G515" i="3"/>
  <c r="F515" i="3"/>
  <c r="E515" i="3"/>
  <c r="D515" i="3"/>
  <c r="C515" i="3"/>
  <c r="L515" i="3" s="1"/>
  <c r="M515" i="3" s="1"/>
  <c r="B515" i="3"/>
  <c r="A515" i="3"/>
  <c r="AB514" i="3"/>
  <c r="AA514" i="3"/>
  <c r="Z514" i="3"/>
  <c r="Y514" i="3"/>
  <c r="X514" i="3"/>
  <c r="W514" i="3"/>
  <c r="V514" i="3"/>
  <c r="T514" i="3"/>
  <c r="S514" i="3"/>
  <c r="R514" i="3"/>
  <c r="Q514" i="3"/>
  <c r="P514" i="3"/>
  <c r="O514" i="3"/>
  <c r="N514" i="3"/>
  <c r="K514" i="3"/>
  <c r="J514" i="3"/>
  <c r="I514" i="3"/>
  <c r="H514" i="3"/>
  <c r="G514" i="3"/>
  <c r="F514" i="3"/>
  <c r="E514" i="3"/>
  <c r="D514" i="3"/>
  <c r="C514" i="3"/>
  <c r="L514" i="3" s="1"/>
  <c r="M514" i="3" s="1"/>
  <c r="B514" i="3"/>
  <c r="A514" i="3"/>
  <c r="AB513" i="3"/>
  <c r="AA513" i="3"/>
  <c r="Z513" i="3"/>
  <c r="Y513" i="3"/>
  <c r="X513" i="3"/>
  <c r="W513" i="3"/>
  <c r="V513" i="3"/>
  <c r="T513" i="3"/>
  <c r="S513" i="3"/>
  <c r="R513" i="3"/>
  <c r="Q513" i="3"/>
  <c r="P513" i="3"/>
  <c r="O513" i="3"/>
  <c r="N513" i="3"/>
  <c r="K513" i="3"/>
  <c r="J513" i="3"/>
  <c r="I513" i="3"/>
  <c r="H513" i="3"/>
  <c r="G513" i="3"/>
  <c r="F513" i="3"/>
  <c r="E513" i="3"/>
  <c r="D513" i="3"/>
  <c r="C513" i="3"/>
  <c r="L513" i="3" s="1"/>
  <c r="M513" i="3" s="1"/>
  <c r="B513" i="3"/>
  <c r="A513" i="3"/>
  <c r="AB512" i="3"/>
  <c r="AA512" i="3"/>
  <c r="Z512" i="3"/>
  <c r="Y512" i="3"/>
  <c r="X512" i="3"/>
  <c r="W512" i="3"/>
  <c r="V512" i="3"/>
  <c r="T512" i="3"/>
  <c r="S512" i="3"/>
  <c r="R512" i="3"/>
  <c r="Q512" i="3"/>
  <c r="P512" i="3"/>
  <c r="O512" i="3"/>
  <c r="N512" i="3"/>
  <c r="K512" i="3"/>
  <c r="J512" i="3"/>
  <c r="I512" i="3"/>
  <c r="H512" i="3"/>
  <c r="G512" i="3"/>
  <c r="F512" i="3"/>
  <c r="E512" i="3"/>
  <c r="D512" i="3"/>
  <c r="C512" i="3"/>
  <c r="L512" i="3" s="1"/>
  <c r="M512" i="3" s="1"/>
  <c r="B512" i="3"/>
  <c r="A512" i="3"/>
  <c r="AB511" i="3"/>
  <c r="AA511" i="3"/>
  <c r="Z511" i="3"/>
  <c r="Y511" i="3"/>
  <c r="X511" i="3"/>
  <c r="W511" i="3"/>
  <c r="V511" i="3"/>
  <c r="T511" i="3"/>
  <c r="S511" i="3"/>
  <c r="R511" i="3"/>
  <c r="Q511" i="3"/>
  <c r="P511" i="3"/>
  <c r="O511" i="3"/>
  <c r="N511" i="3"/>
  <c r="K511" i="3"/>
  <c r="J511" i="3"/>
  <c r="I511" i="3"/>
  <c r="H511" i="3"/>
  <c r="G511" i="3"/>
  <c r="F511" i="3"/>
  <c r="E511" i="3"/>
  <c r="D511" i="3"/>
  <c r="C511" i="3"/>
  <c r="L511" i="3" s="1"/>
  <c r="M511" i="3" s="1"/>
  <c r="B511" i="3"/>
  <c r="A511" i="3"/>
  <c r="AB510" i="3"/>
  <c r="AA510" i="3"/>
  <c r="Z510" i="3"/>
  <c r="Y510" i="3"/>
  <c r="X510" i="3"/>
  <c r="W510" i="3"/>
  <c r="V510" i="3"/>
  <c r="T510" i="3"/>
  <c r="S510" i="3"/>
  <c r="R510" i="3"/>
  <c r="Q510" i="3"/>
  <c r="P510" i="3"/>
  <c r="O510" i="3"/>
  <c r="N510" i="3"/>
  <c r="K510" i="3"/>
  <c r="J510" i="3"/>
  <c r="I510" i="3"/>
  <c r="H510" i="3"/>
  <c r="G510" i="3"/>
  <c r="F510" i="3"/>
  <c r="E510" i="3"/>
  <c r="D510" i="3"/>
  <c r="C510" i="3"/>
  <c r="L510" i="3" s="1"/>
  <c r="M510" i="3" s="1"/>
  <c r="B510" i="3"/>
  <c r="A510" i="3"/>
  <c r="AB509" i="3"/>
  <c r="AA509" i="3"/>
  <c r="Z509" i="3"/>
  <c r="Y509" i="3"/>
  <c r="X509" i="3"/>
  <c r="W509" i="3"/>
  <c r="V509" i="3"/>
  <c r="T509" i="3"/>
  <c r="S509" i="3"/>
  <c r="R509" i="3"/>
  <c r="Q509" i="3"/>
  <c r="P509" i="3"/>
  <c r="O509" i="3"/>
  <c r="N509" i="3"/>
  <c r="K509" i="3"/>
  <c r="J509" i="3"/>
  <c r="I509" i="3"/>
  <c r="H509" i="3"/>
  <c r="G509" i="3"/>
  <c r="F509" i="3"/>
  <c r="E509" i="3"/>
  <c r="D509" i="3"/>
  <c r="C509" i="3"/>
  <c r="L509" i="3" s="1"/>
  <c r="M509" i="3" s="1"/>
  <c r="B509" i="3"/>
  <c r="A509" i="3"/>
  <c r="AB508" i="3"/>
  <c r="AA508" i="3"/>
  <c r="Z508" i="3"/>
  <c r="Y508" i="3"/>
  <c r="X508" i="3"/>
  <c r="W508" i="3"/>
  <c r="V508" i="3"/>
  <c r="T508" i="3"/>
  <c r="S508" i="3"/>
  <c r="R508" i="3"/>
  <c r="Q508" i="3"/>
  <c r="P508" i="3"/>
  <c r="O508" i="3"/>
  <c r="N508" i="3"/>
  <c r="K508" i="3"/>
  <c r="J508" i="3"/>
  <c r="I508" i="3"/>
  <c r="H508" i="3"/>
  <c r="G508" i="3"/>
  <c r="F508" i="3"/>
  <c r="E508" i="3"/>
  <c r="D508" i="3"/>
  <c r="C508" i="3"/>
  <c r="L508" i="3" s="1"/>
  <c r="M508" i="3" s="1"/>
  <c r="B508" i="3"/>
  <c r="A508" i="3"/>
  <c r="AB507" i="3"/>
  <c r="AA507" i="3"/>
  <c r="Z507" i="3"/>
  <c r="Y507" i="3"/>
  <c r="X507" i="3"/>
  <c r="W507" i="3"/>
  <c r="V507" i="3"/>
  <c r="T507" i="3"/>
  <c r="S507" i="3"/>
  <c r="R507" i="3"/>
  <c r="Q507" i="3"/>
  <c r="P507" i="3"/>
  <c r="O507" i="3"/>
  <c r="N507" i="3"/>
  <c r="K507" i="3"/>
  <c r="J507" i="3"/>
  <c r="I507" i="3"/>
  <c r="H507" i="3"/>
  <c r="G507" i="3"/>
  <c r="F507" i="3"/>
  <c r="E507" i="3"/>
  <c r="D507" i="3"/>
  <c r="C507" i="3"/>
  <c r="L507" i="3" s="1"/>
  <c r="M507" i="3" s="1"/>
  <c r="B507" i="3"/>
  <c r="A507" i="3"/>
  <c r="AB506" i="3"/>
  <c r="AA506" i="3"/>
  <c r="Z506" i="3"/>
  <c r="Y506" i="3"/>
  <c r="X506" i="3"/>
  <c r="W506" i="3"/>
  <c r="V506" i="3"/>
  <c r="T506" i="3"/>
  <c r="S506" i="3"/>
  <c r="R506" i="3"/>
  <c r="Q506" i="3"/>
  <c r="P506" i="3"/>
  <c r="O506" i="3"/>
  <c r="N506" i="3"/>
  <c r="K506" i="3"/>
  <c r="J506" i="3"/>
  <c r="I506" i="3"/>
  <c r="H506" i="3"/>
  <c r="G506" i="3"/>
  <c r="F506" i="3"/>
  <c r="E506" i="3"/>
  <c r="D506" i="3"/>
  <c r="C506" i="3"/>
  <c r="L506" i="3" s="1"/>
  <c r="M506" i="3" s="1"/>
  <c r="B506" i="3"/>
  <c r="A506" i="3"/>
  <c r="AB505" i="3"/>
  <c r="AA505" i="3"/>
  <c r="Z505" i="3"/>
  <c r="Y505" i="3"/>
  <c r="X505" i="3"/>
  <c r="W505" i="3"/>
  <c r="V505" i="3"/>
  <c r="T505" i="3"/>
  <c r="S505" i="3"/>
  <c r="R505" i="3"/>
  <c r="Q505" i="3"/>
  <c r="P505" i="3"/>
  <c r="O505" i="3"/>
  <c r="N505" i="3"/>
  <c r="K505" i="3"/>
  <c r="J505" i="3"/>
  <c r="I505" i="3"/>
  <c r="H505" i="3"/>
  <c r="G505" i="3"/>
  <c r="F505" i="3"/>
  <c r="E505" i="3"/>
  <c r="D505" i="3"/>
  <c r="C505" i="3"/>
  <c r="L505" i="3" s="1"/>
  <c r="M505" i="3" s="1"/>
  <c r="B505" i="3"/>
  <c r="A505" i="3"/>
  <c r="AB504" i="3"/>
  <c r="AA504" i="3"/>
  <c r="Z504" i="3"/>
  <c r="Y504" i="3"/>
  <c r="X504" i="3"/>
  <c r="W504" i="3"/>
  <c r="V504" i="3"/>
  <c r="T504" i="3"/>
  <c r="S504" i="3"/>
  <c r="R504" i="3"/>
  <c r="Q504" i="3"/>
  <c r="P504" i="3"/>
  <c r="O504" i="3"/>
  <c r="N504" i="3"/>
  <c r="K504" i="3"/>
  <c r="J504" i="3"/>
  <c r="I504" i="3"/>
  <c r="H504" i="3"/>
  <c r="G504" i="3"/>
  <c r="F504" i="3"/>
  <c r="E504" i="3"/>
  <c r="D504" i="3"/>
  <c r="C504" i="3"/>
  <c r="L504" i="3" s="1"/>
  <c r="M504" i="3" s="1"/>
  <c r="B504" i="3"/>
  <c r="A504" i="3"/>
  <c r="AB503" i="3"/>
  <c r="AA503" i="3"/>
  <c r="Z503" i="3"/>
  <c r="Y503" i="3"/>
  <c r="X503" i="3"/>
  <c r="W503" i="3"/>
  <c r="V503" i="3"/>
  <c r="T503" i="3"/>
  <c r="S503" i="3"/>
  <c r="R503" i="3"/>
  <c r="Q503" i="3"/>
  <c r="P503" i="3"/>
  <c r="O503" i="3"/>
  <c r="N503" i="3"/>
  <c r="K503" i="3"/>
  <c r="J503" i="3"/>
  <c r="I503" i="3"/>
  <c r="H503" i="3"/>
  <c r="G503" i="3"/>
  <c r="F503" i="3"/>
  <c r="E503" i="3"/>
  <c r="D503" i="3"/>
  <c r="C503" i="3"/>
  <c r="L503" i="3" s="1"/>
  <c r="M503" i="3" s="1"/>
  <c r="B503" i="3"/>
  <c r="A503" i="3"/>
  <c r="AB502" i="3"/>
  <c r="AA502" i="3"/>
  <c r="Z502" i="3"/>
  <c r="Y502" i="3"/>
  <c r="X502" i="3"/>
  <c r="W502" i="3"/>
  <c r="V502" i="3"/>
  <c r="T502" i="3"/>
  <c r="S502" i="3"/>
  <c r="R502" i="3"/>
  <c r="Q502" i="3"/>
  <c r="P502" i="3"/>
  <c r="O502" i="3"/>
  <c r="N502" i="3"/>
  <c r="K502" i="3"/>
  <c r="J502" i="3"/>
  <c r="I502" i="3"/>
  <c r="H502" i="3"/>
  <c r="G502" i="3"/>
  <c r="F502" i="3"/>
  <c r="E502" i="3"/>
  <c r="D502" i="3"/>
  <c r="C502" i="3"/>
  <c r="L502" i="3" s="1"/>
  <c r="M502" i="3" s="1"/>
  <c r="B502" i="3"/>
  <c r="A502" i="3"/>
  <c r="AB501" i="3"/>
  <c r="AA501" i="3"/>
  <c r="Z501" i="3"/>
  <c r="Y501" i="3"/>
  <c r="X501" i="3"/>
  <c r="W501" i="3"/>
  <c r="V501" i="3"/>
  <c r="T501" i="3"/>
  <c r="S501" i="3"/>
  <c r="R501" i="3"/>
  <c r="Q501" i="3"/>
  <c r="P501" i="3"/>
  <c r="O501" i="3"/>
  <c r="N501" i="3"/>
  <c r="K501" i="3"/>
  <c r="J501" i="3"/>
  <c r="I501" i="3"/>
  <c r="H501" i="3"/>
  <c r="G501" i="3"/>
  <c r="F501" i="3"/>
  <c r="E501" i="3"/>
  <c r="D501" i="3"/>
  <c r="C501" i="3"/>
  <c r="L501" i="3" s="1"/>
  <c r="M501" i="3" s="1"/>
  <c r="B501" i="3"/>
  <c r="A501" i="3"/>
  <c r="AB500" i="3"/>
  <c r="AA500" i="3"/>
  <c r="Z500" i="3"/>
  <c r="Y500" i="3"/>
  <c r="X500" i="3"/>
  <c r="W500" i="3"/>
  <c r="V500" i="3"/>
  <c r="T500" i="3"/>
  <c r="S500" i="3"/>
  <c r="R500" i="3"/>
  <c r="Q500" i="3"/>
  <c r="P500" i="3"/>
  <c r="O500" i="3"/>
  <c r="N500" i="3"/>
  <c r="K500" i="3"/>
  <c r="J500" i="3"/>
  <c r="I500" i="3"/>
  <c r="H500" i="3"/>
  <c r="G500" i="3"/>
  <c r="F500" i="3"/>
  <c r="E500" i="3"/>
  <c r="D500" i="3"/>
  <c r="C500" i="3"/>
  <c r="L500" i="3" s="1"/>
  <c r="M500" i="3" s="1"/>
  <c r="B500" i="3"/>
  <c r="A500" i="3"/>
  <c r="AB499" i="3"/>
  <c r="AA499" i="3"/>
  <c r="Z499" i="3"/>
  <c r="Y499" i="3"/>
  <c r="X499" i="3"/>
  <c r="W499" i="3"/>
  <c r="V499" i="3"/>
  <c r="T499" i="3"/>
  <c r="S499" i="3"/>
  <c r="R499" i="3"/>
  <c r="Q499" i="3"/>
  <c r="P499" i="3"/>
  <c r="O499" i="3"/>
  <c r="N499" i="3"/>
  <c r="K499" i="3"/>
  <c r="J499" i="3"/>
  <c r="I499" i="3"/>
  <c r="H499" i="3"/>
  <c r="G499" i="3"/>
  <c r="F499" i="3"/>
  <c r="E499" i="3"/>
  <c r="D499" i="3"/>
  <c r="C499" i="3"/>
  <c r="L499" i="3" s="1"/>
  <c r="M499" i="3" s="1"/>
  <c r="B499" i="3"/>
  <c r="A499" i="3"/>
  <c r="AB498" i="3"/>
  <c r="AA498" i="3"/>
  <c r="Z498" i="3"/>
  <c r="Y498" i="3"/>
  <c r="X498" i="3"/>
  <c r="W498" i="3"/>
  <c r="V498" i="3"/>
  <c r="T498" i="3"/>
  <c r="S498" i="3"/>
  <c r="R498" i="3"/>
  <c r="Q498" i="3"/>
  <c r="P498" i="3"/>
  <c r="O498" i="3"/>
  <c r="N498" i="3"/>
  <c r="K498" i="3"/>
  <c r="J498" i="3"/>
  <c r="I498" i="3"/>
  <c r="H498" i="3"/>
  <c r="G498" i="3"/>
  <c r="F498" i="3"/>
  <c r="E498" i="3"/>
  <c r="D498" i="3"/>
  <c r="C498" i="3"/>
  <c r="L498" i="3" s="1"/>
  <c r="M498" i="3" s="1"/>
  <c r="B498" i="3"/>
  <c r="A498" i="3"/>
  <c r="AB497" i="3"/>
  <c r="AA497" i="3"/>
  <c r="Z497" i="3"/>
  <c r="Y497" i="3"/>
  <c r="X497" i="3"/>
  <c r="W497" i="3"/>
  <c r="V497" i="3"/>
  <c r="T497" i="3"/>
  <c r="S497" i="3"/>
  <c r="R497" i="3"/>
  <c r="Q497" i="3"/>
  <c r="P497" i="3"/>
  <c r="O497" i="3"/>
  <c r="N497" i="3"/>
  <c r="K497" i="3"/>
  <c r="J497" i="3"/>
  <c r="I497" i="3"/>
  <c r="H497" i="3"/>
  <c r="G497" i="3"/>
  <c r="F497" i="3"/>
  <c r="E497" i="3"/>
  <c r="D497" i="3"/>
  <c r="C497" i="3"/>
  <c r="L497" i="3" s="1"/>
  <c r="M497" i="3" s="1"/>
  <c r="B497" i="3"/>
  <c r="A497" i="3"/>
  <c r="AB496" i="3"/>
  <c r="AA496" i="3"/>
  <c r="Z496" i="3"/>
  <c r="Y496" i="3"/>
  <c r="X496" i="3"/>
  <c r="W496" i="3"/>
  <c r="V496" i="3"/>
  <c r="T496" i="3"/>
  <c r="S496" i="3"/>
  <c r="R496" i="3"/>
  <c r="Q496" i="3"/>
  <c r="P496" i="3"/>
  <c r="O496" i="3"/>
  <c r="N496" i="3"/>
  <c r="K496" i="3"/>
  <c r="J496" i="3"/>
  <c r="I496" i="3"/>
  <c r="H496" i="3"/>
  <c r="G496" i="3"/>
  <c r="F496" i="3"/>
  <c r="E496" i="3"/>
  <c r="D496" i="3"/>
  <c r="C496" i="3"/>
  <c r="L496" i="3" s="1"/>
  <c r="M496" i="3" s="1"/>
  <c r="B496" i="3"/>
  <c r="A496" i="3"/>
  <c r="AB495" i="3"/>
  <c r="AA495" i="3"/>
  <c r="Z495" i="3"/>
  <c r="Y495" i="3"/>
  <c r="X495" i="3"/>
  <c r="W495" i="3"/>
  <c r="V495" i="3"/>
  <c r="T495" i="3"/>
  <c r="S495" i="3"/>
  <c r="R495" i="3"/>
  <c r="Q495" i="3"/>
  <c r="P495" i="3"/>
  <c r="O495" i="3"/>
  <c r="N495" i="3"/>
  <c r="K495" i="3"/>
  <c r="J495" i="3"/>
  <c r="I495" i="3"/>
  <c r="H495" i="3"/>
  <c r="G495" i="3"/>
  <c r="F495" i="3"/>
  <c r="E495" i="3"/>
  <c r="D495" i="3"/>
  <c r="C495" i="3"/>
  <c r="L495" i="3" s="1"/>
  <c r="M495" i="3" s="1"/>
  <c r="B495" i="3"/>
  <c r="A495" i="3"/>
  <c r="AB494" i="3"/>
  <c r="AA494" i="3"/>
  <c r="Z494" i="3"/>
  <c r="Y494" i="3"/>
  <c r="X494" i="3"/>
  <c r="W494" i="3"/>
  <c r="V494" i="3"/>
  <c r="T494" i="3"/>
  <c r="S494" i="3"/>
  <c r="R494" i="3"/>
  <c r="Q494" i="3"/>
  <c r="P494" i="3"/>
  <c r="O494" i="3"/>
  <c r="N494" i="3"/>
  <c r="K494" i="3"/>
  <c r="J494" i="3"/>
  <c r="I494" i="3"/>
  <c r="H494" i="3"/>
  <c r="G494" i="3"/>
  <c r="F494" i="3"/>
  <c r="E494" i="3"/>
  <c r="D494" i="3"/>
  <c r="C494" i="3"/>
  <c r="L494" i="3" s="1"/>
  <c r="M494" i="3" s="1"/>
  <c r="B494" i="3"/>
  <c r="A494" i="3"/>
  <c r="AB493" i="3"/>
  <c r="AA493" i="3"/>
  <c r="Z493" i="3"/>
  <c r="Y493" i="3"/>
  <c r="X493" i="3"/>
  <c r="W493" i="3"/>
  <c r="V493" i="3"/>
  <c r="T493" i="3"/>
  <c r="S493" i="3"/>
  <c r="R493" i="3"/>
  <c r="Q493" i="3"/>
  <c r="P493" i="3"/>
  <c r="O493" i="3"/>
  <c r="N493" i="3"/>
  <c r="K493" i="3"/>
  <c r="J493" i="3"/>
  <c r="I493" i="3"/>
  <c r="H493" i="3"/>
  <c r="G493" i="3"/>
  <c r="F493" i="3"/>
  <c r="E493" i="3"/>
  <c r="D493" i="3"/>
  <c r="C493" i="3"/>
  <c r="L493" i="3" s="1"/>
  <c r="M493" i="3" s="1"/>
  <c r="B493" i="3"/>
  <c r="A493" i="3"/>
  <c r="AB492" i="3"/>
  <c r="AA492" i="3"/>
  <c r="Z492" i="3"/>
  <c r="Y492" i="3"/>
  <c r="X492" i="3"/>
  <c r="W492" i="3"/>
  <c r="V492" i="3"/>
  <c r="T492" i="3"/>
  <c r="S492" i="3"/>
  <c r="R492" i="3"/>
  <c r="Q492" i="3"/>
  <c r="P492" i="3"/>
  <c r="O492" i="3"/>
  <c r="N492" i="3"/>
  <c r="K492" i="3"/>
  <c r="J492" i="3"/>
  <c r="I492" i="3"/>
  <c r="H492" i="3"/>
  <c r="G492" i="3"/>
  <c r="F492" i="3"/>
  <c r="E492" i="3"/>
  <c r="D492" i="3"/>
  <c r="C492" i="3"/>
  <c r="L492" i="3" s="1"/>
  <c r="M492" i="3" s="1"/>
  <c r="B492" i="3"/>
  <c r="A492" i="3"/>
  <c r="AB491" i="3"/>
  <c r="AA491" i="3"/>
  <c r="Z491" i="3"/>
  <c r="Y491" i="3"/>
  <c r="X491" i="3"/>
  <c r="W491" i="3"/>
  <c r="V491" i="3"/>
  <c r="T491" i="3"/>
  <c r="S491" i="3"/>
  <c r="R491" i="3"/>
  <c r="Q491" i="3"/>
  <c r="P491" i="3"/>
  <c r="O491" i="3"/>
  <c r="N491" i="3"/>
  <c r="K491" i="3"/>
  <c r="J491" i="3"/>
  <c r="I491" i="3"/>
  <c r="H491" i="3"/>
  <c r="G491" i="3"/>
  <c r="F491" i="3"/>
  <c r="E491" i="3"/>
  <c r="D491" i="3"/>
  <c r="C491" i="3"/>
  <c r="L491" i="3" s="1"/>
  <c r="M491" i="3" s="1"/>
  <c r="B491" i="3"/>
  <c r="A491" i="3"/>
  <c r="AB490" i="3"/>
  <c r="AA490" i="3"/>
  <c r="Z490" i="3"/>
  <c r="Y490" i="3"/>
  <c r="X490" i="3"/>
  <c r="W490" i="3"/>
  <c r="V490" i="3"/>
  <c r="T490" i="3"/>
  <c r="S490" i="3"/>
  <c r="R490" i="3"/>
  <c r="Q490" i="3"/>
  <c r="P490" i="3"/>
  <c r="O490" i="3"/>
  <c r="N490" i="3"/>
  <c r="K490" i="3"/>
  <c r="J490" i="3"/>
  <c r="I490" i="3"/>
  <c r="H490" i="3"/>
  <c r="G490" i="3"/>
  <c r="F490" i="3"/>
  <c r="E490" i="3"/>
  <c r="D490" i="3"/>
  <c r="C490" i="3"/>
  <c r="L490" i="3" s="1"/>
  <c r="M490" i="3" s="1"/>
  <c r="B490" i="3"/>
  <c r="A490" i="3"/>
  <c r="AB489" i="3"/>
  <c r="AA489" i="3"/>
  <c r="Z489" i="3"/>
  <c r="Y489" i="3"/>
  <c r="X489" i="3"/>
  <c r="W489" i="3"/>
  <c r="V489" i="3"/>
  <c r="T489" i="3"/>
  <c r="S489" i="3"/>
  <c r="R489" i="3"/>
  <c r="Q489" i="3"/>
  <c r="P489" i="3"/>
  <c r="O489" i="3"/>
  <c r="N489" i="3"/>
  <c r="K489" i="3"/>
  <c r="J489" i="3"/>
  <c r="I489" i="3"/>
  <c r="H489" i="3"/>
  <c r="G489" i="3"/>
  <c r="F489" i="3"/>
  <c r="E489" i="3"/>
  <c r="D489" i="3"/>
  <c r="C489" i="3"/>
  <c r="L489" i="3" s="1"/>
  <c r="M489" i="3" s="1"/>
  <c r="B489" i="3"/>
  <c r="A489" i="3"/>
  <c r="AB488" i="3"/>
  <c r="AA488" i="3"/>
  <c r="Z488" i="3"/>
  <c r="Y488" i="3"/>
  <c r="X488" i="3"/>
  <c r="W488" i="3"/>
  <c r="V488" i="3"/>
  <c r="T488" i="3"/>
  <c r="S488" i="3"/>
  <c r="R488" i="3"/>
  <c r="Q488" i="3"/>
  <c r="P488" i="3"/>
  <c r="O488" i="3"/>
  <c r="N488" i="3"/>
  <c r="K488" i="3"/>
  <c r="J488" i="3"/>
  <c r="I488" i="3"/>
  <c r="H488" i="3"/>
  <c r="G488" i="3"/>
  <c r="F488" i="3"/>
  <c r="E488" i="3"/>
  <c r="D488" i="3"/>
  <c r="C488" i="3"/>
  <c r="L488" i="3" s="1"/>
  <c r="M488" i="3" s="1"/>
  <c r="B488" i="3"/>
  <c r="A488" i="3"/>
  <c r="AB487" i="3"/>
  <c r="AA487" i="3"/>
  <c r="Z487" i="3"/>
  <c r="Y487" i="3"/>
  <c r="X487" i="3"/>
  <c r="W487" i="3"/>
  <c r="V487" i="3"/>
  <c r="T487" i="3"/>
  <c r="S487" i="3"/>
  <c r="R487" i="3"/>
  <c r="Q487" i="3"/>
  <c r="P487" i="3"/>
  <c r="O487" i="3"/>
  <c r="N487" i="3"/>
  <c r="K487" i="3"/>
  <c r="J487" i="3"/>
  <c r="I487" i="3"/>
  <c r="H487" i="3"/>
  <c r="G487" i="3"/>
  <c r="F487" i="3"/>
  <c r="E487" i="3"/>
  <c r="D487" i="3"/>
  <c r="C487" i="3"/>
  <c r="L487" i="3" s="1"/>
  <c r="M487" i="3" s="1"/>
  <c r="B487" i="3"/>
  <c r="A487" i="3"/>
  <c r="AB486" i="3"/>
  <c r="AA486" i="3"/>
  <c r="Z486" i="3"/>
  <c r="Y486" i="3"/>
  <c r="X486" i="3"/>
  <c r="W486" i="3"/>
  <c r="V486" i="3"/>
  <c r="T486" i="3"/>
  <c r="S486" i="3"/>
  <c r="R486" i="3"/>
  <c r="Q486" i="3"/>
  <c r="P486" i="3"/>
  <c r="O486" i="3"/>
  <c r="N486" i="3"/>
  <c r="K486" i="3"/>
  <c r="J486" i="3"/>
  <c r="I486" i="3"/>
  <c r="H486" i="3"/>
  <c r="G486" i="3"/>
  <c r="F486" i="3"/>
  <c r="E486" i="3"/>
  <c r="D486" i="3"/>
  <c r="C486" i="3"/>
  <c r="L486" i="3" s="1"/>
  <c r="M486" i="3" s="1"/>
  <c r="B486" i="3"/>
  <c r="A486" i="3"/>
  <c r="AB485" i="3"/>
  <c r="AA485" i="3"/>
  <c r="Z485" i="3"/>
  <c r="Y485" i="3"/>
  <c r="X485" i="3"/>
  <c r="W485" i="3"/>
  <c r="V485" i="3"/>
  <c r="T485" i="3"/>
  <c r="S485" i="3"/>
  <c r="R485" i="3"/>
  <c r="Q485" i="3"/>
  <c r="P485" i="3"/>
  <c r="O485" i="3"/>
  <c r="N485" i="3"/>
  <c r="K485" i="3"/>
  <c r="J485" i="3"/>
  <c r="I485" i="3"/>
  <c r="H485" i="3"/>
  <c r="G485" i="3"/>
  <c r="F485" i="3"/>
  <c r="E485" i="3"/>
  <c r="D485" i="3"/>
  <c r="C485" i="3"/>
  <c r="L485" i="3" s="1"/>
  <c r="M485" i="3" s="1"/>
  <c r="B485" i="3"/>
  <c r="A485" i="3"/>
  <c r="AB484" i="3"/>
  <c r="AA484" i="3"/>
  <c r="Z484" i="3"/>
  <c r="Y484" i="3"/>
  <c r="X484" i="3"/>
  <c r="W484" i="3"/>
  <c r="V484" i="3"/>
  <c r="T484" i="3"/>
  <c r="S484" i="3"/>
  <c r="R484" i="3"/>
  <c r="Q484" i="3"/>
  <c r="P484" i="3"/>
  <c r="O484" i="3"/>
  <c r="N484" i="3"/>
  <c r="K484" i="3"/>
  <c r="J484" i="3"/>
  <c r="I484" i="3"/>
  <c r="H484" i="3"/>
  <c r="G484" i="3"/>
  <c r="F484" i="3"/>
  <c r="E484" i="3"/>
  <c r="D484" i="3"/>
  <c r="C484" i="3"/>
  <c r="L484" i="3" s="1"/>
  <c r="M484" i="3" s="1"/>
  <c r="B484" i="3"/>
  <c r="A484" i="3"/>
  <c r="AB483" i="3"/>
  <c r="AA483" i="3"/>
  <c r="Z483" i="3"/>
  <c r="Y483" i="3"/>
  <c r="X483" i="3"/>
  <c r="W483" i="3"/>
  <c r="V483" i="3"/>
  <c r="T483" i="3"/>
  <c r="S483" i="3"/>
  <c r="R483" i="3"/>
  <c r="Q483" i="3"/>
  <c r="P483" i="3"/>
  <c r="O483" i="3"/>
  <c r="N483" i="3"/>
  <c r="K483" i="3"/>
  <c r="J483" i="3"/>
  <c r="I483" i="3"/>
  <c r="H483" i="3"/>
  <c r="G483" i="3"/>
  <c r="F483" i="3"/>
  <c r="E483" i="3"/>
  <c r="D483" i="3"/>
  <c r="C483" i="3"/>
  <c r="L483" i="3" s="1"/>
  <c r="M483" i="3" s="1"/>
  <c r="B483" i="3"/>
  <c r="A483" i="3"/>
  <c r="AB482" i="3"/>
  <c r="AA482" i="3"/>
  <c r="Z482" i="3"/>
  <c r="Y482" i="3"/>
  <c r="X482" i="3"/>
  <c r="W482" i="3"/>
  <c r="V482" i="3"/>
  <c r="T482" i="3"/>
  <c r="S482" i="3"/>
  <c r="R482" i="3"/>
  <c r="Q482" i="3"/>
  <c r="P482" i="3"/>
  <c r="O482" i="3"/>
  <c r="N482" i="3"/>
  <c r="K482" i="3"/>
  <c r="J482" i="3"/>
  <c r="I482" i="3"/>
  <c r="H482" i="3"/>
  <c r="G482" i="3"/>
  <c r="F482" i="3"/>
  <c r="E482" i="3"/>
  <c r="D482" i="3"/>
  <c r="C482" i="3"/>
  <c r="L482" i="3" s="1"/>
  <c r="M482" i="3" s="1"/>
  <c r="B482" i="3"/>
  <c r="A482" i="3"/>
  <c r="AB481" i="3"/>
  <c r="AA481" i="3"/>
  <c r="Z481" i="3"/>
  <c r="Y481" i="3"/>
  <c r="X481" i="3"/>
  <c r="W481" i="3"/>
  <c r="V481" i="3"/>
  <c r="T481" i="3"/>
  <c r="S481" i="3"/>
  <c r="R481" i="3"/>
  <c r="Q481" i="3"/>
  <c r="P481" i="3"/>
  <c r="O481" i="3"/>
  <c r="N481" i="3"/>
  <c r="K481" i="3"/>
  <c r="J481" i="3"/>
  <c r="I481" i="3"/>
  <c r="H481" i="3"/>
  <c r="G481" i="3"/>
  <c r="F481" i="3"/>
  <c r="E481" i="3"/>
  <c r="D481" i="3"/>
  <c r="C481" i="3"/>
  <c r="L481" i="3" s="1"/>
  <c r="M481" i="3" s="1"/>
  <c r="B481" i="3"/>
  <c r="A481" i="3"/>
  <c r="AB480" i="3"/>
  <c r="AA480" i="3"/>
  <c r="Z480" i="3"/>
  <c r="Y480" i="3"/>
  <c r="X480" i="3"/>
  <c r="W480" i="3"/>
  <c r="V480" i="3"/>
  <c r="T480" i="3"/>
  <c r="S480" i="3"/>
  <c r="R480" i="3"/>
  <c r="Q480" i="3"/>
  <c r="P480" i="3"/>
  <c r="O480" i="3"/>
  <c r="N480" i="3"/>
  <c r="K480" i="3"/>
  <c r="J480" i="3"/>
  <c r="I480" i="3"/>
  <c r="H480" i="3"/>
  <c r="G480" i="3"/>
  <c r="F480" i="3"/>
  <c r="E480" i="3"/>
  <c r="D480" i="3"/>
  <c r="C480" i="3"/>
  <c r="L480" i="3" s="1"/>
  <c r="M480" i="3" s="1"/>
  <c r="B480" i="3"/>
  <c r="A480" i="3"/>
  <c r="AB479" i="3"/>
  <c r="AA479" i="3"/>
  <c r="Z479" i="3"/>
  <c r="Y479" i="3"/>
  <c r="X479" i="3"/>
  <c r="W479" i="3"/>
  <c r="V479" i="3"/>
  <c r="T479" i="3"/>
  <c r="S479" i="3"/>
  <c r="R479" i="3"/>
  <c r="Q479" i="3"/>
  <c r="P479" i="3"/>
  <c r="O479" i="3"/>
  <c r="N479" i="3"/>
  <c r="K479" i="3"/>
  <c r="J479" i="3"/>
  <c r="I479" i="3"/>
  <c r="H479" i="3"/>
  <c r="G479" i="3"/>
  <c r="F479" i="3"/>
  <c r="E479" i="3"/>
  <c r="D479" i="3"/>
  <c r="C479" i="3"/>
  <c r="L479" i="3" s="1"/>
  <c r="M479" i="3" s="1"/>
  <c r="B479" i="3"/>
  <c r="A479" i="3"/>
  <c r="AB478" i="3"/>
  <c r="AA478" i="3"/>
  <c r="Z478" i="3"/>
  <c r="Y478" i="3"/>
  <c r="X478" i="3"/>
  <c r="W478" i="3"/>
  <c r="V478" i="3"/>
  <c r="T478" i="3"/>
  <c r="S478" i="3"/>
  <c r="R478" i="3"/>
  <c r="Q478" i="3"/>
  <c r="P478" i="3"/>
  <c r="O478" i="3"/>
  <c r="N478" i="3"/>
  <c r="K478" i="3"/>
  <c r="J478" i="3"/>
  <c r="I478" i="3"/>
  <c r="H478" i="3"/>
  <c r="G478" i="3"/>
  <c r="F478" i="3"/>
  <c r="E478" i="3"/>
  <c r="D478" i="3"/>
  <c r="C478" i="3"/>
  <c r="L478" i="3" s="1"/>
  <c r="M478" i="3" s="1"/>
  <c r="B478" i="3"/>
  <c r="A478" i="3"/>
  <c r="AB477" i="3"/>
  <c r="AA477" i="3"/>
  <c r="Z477" i="3"/>
  <c r="Y477" i="3"/>
  <c r="X477" i="3"/>
  <c r="W477" i="3"/>
  <c r="V477" i="3"/>
  <c r="T477" i="3"/>
  <c r="S477" i="3"/>
  <c r="R477" i="3"/>
  <c r="Q477" i="3"/>
  <c r="P477" i="3"/>
  <c r="O477" i="3"/>
  <c r="N477" i="3"/>
  <c r="K477" i="3"/>
  <c r="J477" i="3"/>
  <c r="I477" i="3"/>
  <c r="H477" i="3"/>
  <c r="G477" i="3"/>
  <c r="F477" i="3"/>
  <c r="E477" i="3"/>
  <c r="D477" i="3"/>
  <c r="C477" i="3"/>
  <c r="L477" i="3" s="1"/>
  <c r="M477" i="3" s="1"/>
  <c r="B477" i="3"/>
  <c r="A477" i="3"/>
  <c r="AB476" i="3"/>
  <c r="AA476" i="3"/>
  <c r="Z476" i="3"/>
  <c r="Y476" i="3"/>
  <c r="X476" i="3"/>
  <c r="W476" i="3"/>
  <c r="V476" i="3"/>
  <c r="T476" i="3"/>
  <c r="S476" i="3"/>
  <c r="R476" i="3"/>
  <c r="Q476" i="3"/>
  <c r="P476" i="3"/>
  <c r="O476" i="3"/>
  <c r="N476" i="3"/>
  <c r="K476" i="3"/>
  <c r="J476" i="3"/>
  <c r="I476" i="3"/>
  <c r="H476" i="3"/>
  <c r="G476" i="3"/>
  <c r="F476" i="3"/>
  <c r="E476" i="3"/>
  <c r="D476" i="3"/>
  <c r="C476" i="3"/>
  <c r="L476" i="3" s="1"/>
  <c r="M476" i="3" s="1"/>
  <c r="B476" i="3"/>
  <c r="A476" i="3"/>
  <c r="AB475" i="3"/>
  <c r="AA475" i="3"/>
  <c r="Z475" i="3"/>
  <c r="Y475" i="3"/>
  <c r="X475" i="3"/>
  <c r="W475" i="3"/>
  <c r="V475" i="3"/>
  <c r="T475" i="3"/>
  <c r="S475" i="3"/>
  <c r="R475" i="3"/>
  <c r="Q475" i="3"/>
  <c r="P475" i="3"/>
  <c r="O475" i="3"/>
  <c r="N475" i="3"/>
  <c r="K475" i="3"/>
  <c r="J475" i="3"/>
  <c r="I475" i="3"/>
  <c r="H475" i="3"/>
  <c r="G475" i="3"/>
  <c r="F475" i="3"/>
  <c r="E475" i="3"/>
  <c r="D475" i="3"/>
  <c r="C475" i="3"/>
  <c r="L475" i="3" s="1"/>
  <c r="M475" i="3" s="1"/>
  <c r="B475" i="3"/>
  <c r="A475" i="3"/>
  <c r="AB474" i="3"/>
  <c r="AA474" i="3"/>
  <c r="Z474" i="3"/>
  <c r="Y474" i="3"/>
  <c r="X474" i="3"/>
  <c r="W474" i="3"/>
  <c r="V474" i="3"/>
  <c r="T474" i="3"/>
  <c r="S474" i="3"/>
  <c r="R474" i="3"/>
  <c r="Q474" i="3"/>
  <c r="P474" i="3"/>
  <c r="O474" i="3"/>
  <c r="N474" i="3"/>
  <c r="K474" i="3"/>
  <c r="J474" i="3"/>
  <c r="I474" i="3"/>
  <c r="H474" i="3"/>
  <c r="G474" i="3"/>
  <c r="F474" i="3"/>
  <c r="E474" i="3"/>
  <c r="D474" i="3"/>
  <c r="C474" i="3"/>
  <c r="L474" i="3" s="1"/>
  <c r="M474" i="3" s="1"/>
  <c r="B474" i="3"/>
  <c r="A474" i="3"/>
  <c r="AB473" i="3"/>
  <c r="AA473" i="3"/>
  <c r="Z473" i="3"/>
  <c r="Y473" i="3"/>
  <c r="X473" i="3"/>
  <c r="W473" i="3"/>
  <c r="V473" i="3"/>
  <c r="T473" i="3"/>
  <c r="S473" i="3"/>
  <c r="R473" i="3"/>
  <c r="Q473" i="3"/>
  <c r="P473" i="3"/>
  <c r="O473" i="3"/>
  <c r="N473" i="3"/>
  <c r="K473" i="3"/>
  <c r="J473" i="3"/>
  <c r="I473" i="3"/>
  <c r="H473" i="3"/>
  <c r="G473" i="3"/>
  <c r="F473" i="3"/>
  <c r="E473" i="3"/>
  <c r="D473" i="3"/>
  <c r="AC473" i="3" s="1"/>
  <c r="C473" i="3"/>
  <c r="L473" i="3" s="1"/>
  <c r="M473" i="3" s="1"/>
  <c r="B473" i="3"/>
  <c r="A473" i="3"/>
  <c r="AB472" i="3"/>
  <c r="AA472" i="3"/>
  <c r="Z472" i="3"/>
  <c r="Y472" i="3"/>
  <c r="X472" i="3"/>
  <c r="W472" i="3"/>
  <c r="V472" i="3"/>
  <c r="T472" i="3"/>
  <c r="S472" i="3"/>
  <c r="R472" i="3"/>
  <c r="Q472" i="3"/>
  <c r="P472" i="3"/>
  <c r="O472" i="3"/>
  <c r="N472" i="3"/>
  <c r="K472" i="3"/>
  <c r="J472" i="3"/>
  <c r="I472" i="3"/>
  <c r="H472" i="3"/>
  <c r="G472" i="3"/>
  <c r="F472" i="3"/>
  <c r="E472" i="3"/>
  <c r="D472" i="3"/>
  <c r="C472" i="3"/>
  <c r="L472" i="3" s="1"/>
  <c r="M472" i="3" s="1"/>
  <c r="B472" i="3"/>
  <c r="A472" i="3"/>
  <c r="AB471" i="3"/>
  <c r="AA471" i="3"/>
  <c r="Z471" i="3"/>
  <c r="Y471" i="3"/>
  <c r="X471" i="3"/>
  <c r="W471" i="3"/>
  <c r="V471" i="3"/>
  <c r="T471" i="3"/>
  <c r="S471" i="3"/>
  <c r="R471" i="3"/>
  <c r="Q471" i="3"/>
  <c r="P471" i="3"/>
  <c r="O471" i="3"/>
  <c r="N471" i="3"/>
  <c r="L471" i="3"/>
  <c r="M471" i="3" s="1"/>
  <c r="K471" i="3"/>
  <c r="J471" i="3"/>
  <c r="I471" i="3"/>
  <c r="H471" i="3"/>
  <c r="G471" i="3"/>
  <c r="F471" i="3"/>
  <c r="E471" i="3"/>
  <c r="D471" i="3"/>
  <c r="C471" i="3"/>
  <c r="B471" i="3"/>
  <c r="A471" i="3"/>
  <c r="AB470" i="3"/>
  <c r="AA470" i="3"/>
  <c r="Z470" i="3"/>
  <c r="Y470" i="3"/>
  <c r="X470" i="3"/>
  <c r="W470" i="3"/>
  <c r="V470" i="3"/>
  <c r="T470" i="3"/>
  <c r="S470" i="3"/>
  <c r="R470" i="3"/>
  <c r="Q470" i="3"/>
  <c r="P470" i="3"/>
  <c r="O470" i="3"/>
  <c r="N470" i="3"/>
  <c r="K470" i="3"/>
  <c r="J470" i="3"/>
  <c r="I470" i="3"/>
  <c r="H470" i="3"/>
  <c r="G470" i="3"/>
  <c r="F470" i="3"/>
  <c r="E470" i="3"/>
  <c r="D470" i="3"/>
  <c r="C470" i="3"/>
  <c r="L470" i="3" s="1"/>
  <c r="M470" i="3" s="1"/>
  <c r="B470" i="3"/>
  <c r="A470" i="3"/>
  <c r="AB469" i="3"/>
  <c r="AA469" i="3"/>
  <c r="Z469" i="3"/>
  <c r="Y469" i="3"/>
  <c r="X469" i="3"/>
  <c r="W469" i="3"/>
  <c r="V469" i="3"/>
  <c r="T469" i="3"/>
  <c r="S469" i="3"/>
  <c r="R469" i="3"/>
  <c r="Q469" i="3"/>
  <c r="P469" i="3"/>
  <c r="O469" i="3"/>
  <c r="N469" i="3"/>
  <c r="K469" i="3"/>
  <c r="J469" i="3"/>
  <c r="I469" i="3"/>
  <c r="H469" i="3"/>
  <c r="G469" i="3"/>
  <c r="F469" i="3"/>
  <c r="E469" i="3"/>
  <c r="D469" i="3"/>
  <c r="C469" i="3"/>
  <c r="L469" i="3" s="1"/>
  <c r="M469" i="3" s="1"/>
  <c r="B469" i="3"/>
  <c r="A469" i="3"/>
  <c r="AB468" i="3"/>
  <c r="AC468" i="3" s="1"/>
  <c r="AA468" i="3"/>
  <c r="Z468" i="3"/>
  <c r="Y468" i="3"/>
  <c r="X468" i="3"/>
  <c r="W468" i="3"/>
  <c r="V468" i="3"/>
  <c r="T468" i="3"/>
  <c r="S468" i="3"/>
  <c r="R468" i="3"/>
  <c r="Q468" i="3"/>
  <c r="P468" i="3"/>
  <c r="O468" i="3"/>
  <c r="N468" i="3"/>
  <c r="K468" i="3"/>
  <c r="J468" i="3"/>
  <c r="I468" i="3"/>
  <c r="H468" i="3"/>
  <c r="G468" i="3"/>
  <c r="F468" i="3"/>
  <c r="E468" i="3"/>
  <c r="D468" i="3"/>
  <c r="C468" i="3"/>
  <c r="L468" i="3" s="1"/>
  <c r="M468" i="3" s="1"/>
  <c r="B468" i="3"/>
  <c r="A468" i="3"/>
  <c r="AB467" i="3"/>
  <c r="AA467" i="3"/>
  <c r="Z467" i="3"/>
  <c r="Y467" i="3"/>
  <c r="X467" i="3"/>
  <c r="W467" i="3"/>
  <c r="V467" i="3"/>
  <c r="T467" i="3"/>
  <c r="S467" i="3"/>
  <c r="R467" i="3"/>
  <c r="Q467" i="3"/>
  <c r="P467" i="3"/>
  <c r="O467" i="3"/>
  <c r="N467" i="3"/>
  <c r="K467" i="3"/>
  <c r="J467" i="3"/>
  <c r="I467" i="3"/>
  <c r="H467" i="3"/>
  <c r="G467" i="3"/>
  <c r="F467" i="3"/>
  <c r="E467" i="3"/>
  <c r="D467" i="3"/>
  <c r="C467" i="3"/>
  <c r="L467" i="3" s="1"/>
  <c r="M467" i="3" s="1"/>
  <c r="B467" i="3"/>
  <c r="A467" i="3"/>
  <c r="AB466" i="3"/>
  <c r="AA466" i="3"/>
  <c r="Z466" i="3"/>
  <c r="Y466" i="3"/>
  <c r="X466" i="3"/>
  <c r="W466" i="3"/>
  <c r="V466" i="3"/>
  <c r="T466" i="3"/>
  <c r="S466" i="3"/>
  <c r="R466" i="3"/>
  <c r="Q466" i="3"/>
  <c r="P466" i="3"/>
  <c r="O466" i="3"/>
  <c r="N466" i="3"/>
  <c r="K466" i="3"/>
  <c r="J466" i="3"/>
  <c r="I466" i="3"/>
  <c r="H466" i="3"/>
  <c r="G466" i="3"/>
  <c r="F466" i="3"/>
  <c r="E466" i="3"/>
  <c r="D466" i="3"/>
  <c r="C466" i="3"/>
  <c r="L466" i="3" s="1"/>
  <c r="M466" i="3" s="1"/>
  <c r="B466" i="3"/>
  <c r="A466" i="3"/>
  <c r="AB465" i="3"/>
  <c r="AA465" i="3"/>
  <c r="Z465" i="3"/>
  <c r="Y465" i="3"/>
  <c r="X465" i="3"/>
  <c r="W465" i="3"/>
  <c r="V465" i="3"/>
  <c r="T465" i="3"/>
  <c r="S465" i="3"/>
  <c r="R465" i="3"/>
  <c r="Q465" i="3"/>
  <c r="P465" i="3"/>
  <c r="O465" i="3"/>
  <c r="N465" i="3"/>
  <c r="K465" i="3"/>
  <c r="J465" i="3"/>
  <c r="I465" i="3"/>
  <c r="H465" i="3"/>
  <c r="G465" i="3"/>
  <c r="F465" i="3"/>
  <c r="E465" i="3"/>
  <c r="D465" i="3"/>
  <c r="AC465" i="3" s="1"/>
  <c r="C465" i="3"/>
  <c r="L465" i="3" s="1"/>
  <c r="M465" i="3" s="1"/>
  <c r="B465" i="3"/>
  <c r="A465" i="3"/>
  <c r="AB464" i="3"/>
  <c r="AA464" i="3"/>
  <c r="Z464" i="3"/>
  <c r="Y464" i="3"/>
  <c r="X464" i="3"/>
  <c r="W464" i="3"/>
  <c r="V464" i="3"/>
  <c r="T464" i="3"/>
  <c r="S464" i="3"/>
  <c r="R464" i="3"/>
  <c r="Q464" i="3"/>
  <c r="P464" i="3"/>
  <c r="O464" i="3"/>
  <c r="N464" i="3"/>
  <c r="K464" i="3"/>
  <c r="J464" i="3"/>
  <c r="I464" i="3"/>
  <c r="H464" i="3"/>
  <c r="G464" i="3"/>
  <c r="F464" i="3"/>
  <c r="E464" i="3"/>
  <c r="D464" i="3"/>
  <c r="C464" i="3"/>
  <c r="L464" i="3" s="1"/>
  <c r="M464" i="3" s="1"/>
  <c r="B464" i="3"/>
  <c r="A464" i="3"/>
  <c r="AB463" i="3"/>
  <c r="AA463" i="3"/>
  <c r="Z463" i="3"/>
  <c r="Y463" i="3"/>
  <c r="X463" i="3"/>
  <c r="W463" i="3"/>
  <c r="V463" i="3"/>
  <c r="T463" i="3"/>
  <c r="S463" i="3"/>
  <c r="R463" i="3"/>
  <c r="Q463" i="3"/>
  <c r="P463" i="3"/>
  <c r="O463" i="3"/>
  <c r="N463" i="3"/>
  <c r="K463" i="3"/>
  <c r="J463" i="3"/>
  <c r="I463" i="3"/>
  <c r="H463" i="3"/>
  <c r="G463" i="3"/>
  <c r="F463" i="3"/>
  <c r="E463" i="3"/>
  <c r="D463" i="3"/>
  <c r="C463" i="3"/>
  <c r="L463" i="3" s="1"/>
  <c r="M463" i="3" s="1"/>
  <c r="B463" i="3"/>
  <c r="A463" i="3"/>
  <c r="AB462" i="3"/>
  <c r="AA462" i="3"/>
  <c r="Z462" i="3"/>
  <c r="Y462" i="3"/>
  <c r="X462" i="3"/>
  <c r="W462" i="3"/>
  <c r="V462" i="3"/>
  <c r="T462" i="3"/>
  <c r="S462" i="3"/>
  <c r="R462" i="3"/>
  <c r="Q462" i="3"/>
  <c r="P462" i="3"/>
  <c r="O462" i="3"/>
  <c r="N462" i="3"/>
  <c r="K462" i="3"/>
  <c r="J462" i="3"/>
  <c r="I462" i="3"/>
  <c r="H462" i="3"/>
  <c r="G462" i="3"/>
  <c r="F462" i="3"/>
  <c r="E462" i="3"/>
  <c r="D462" i="3"/>
  <c r="C462" i="3"/>
  <c r="L462" i="3" s="1"/>
  <c r="M462" i="3" s="1"/>
  <c r="B462" i="3"/>
  <c r="A462" i="3"/>
  <c r="AB461" i="3"/>
  <c r="AA461" i="3"/>
  <c r="Z461" i="3"/>
  <c r="Y461" i="3"/>
  <c r="X461" i="3"/>
  <c r="W461" i="3"/>
  <c r="V461" i="3"/>
  <c r="T461" i="3"/>
  <c r="S461" i="3"/>
  <c r="R461" i="3"/>
  <c r="Q461" i="3"/>
  <c r="P461" i="3"/>
  <c r="O461" i="3"/>
  <c r="N461" i="3"/>
  <c r="K461" i="3"/>
  <c r="J461" i="3"/>
  <c r="I461" i="3"/>
  <c r="H461" i="3"/>
  <c r="G461" i="3"/>
  <c r="F461" i="3"/>
  <c r="E461" i="3"/>
  <c r="D461" i="3"/>
  <c r="C461" i="3"/>
  <c r="L461" i="3" s="1"/>
  <c r="M461" i="3" s="1"/>
  <c r="B461" i="3"/>
  <c r="A461" i="3"/>
  <c r="AB460" i="3"/>
  <c r="AA460" i="3"/>
  <c r="Z460" i="3"/>
  <c r="Y460" i="3"/>
  <c r="X460" i="3"/>
  <c r="W460" i="3"/>
  <c r="V460" i="3"/>
  <c r="T460" i="3"/>
  <c r="S460" i="3"/>
  <c r="R460" i="3"/>
  <c r="Q460" i="3"/>
  <c r="P460" i="3"/>
  <c r="O460" i="3"/>
  <c r="N460" i="3"/>
  <c r="K460" i="3"/>
  <c r="J460" i="3"/>
  <c r="I460" i="3"/>
  <c r="H460" i="3"/>
  <c r="G460" i="3"/>
  <c r="F460" i="3"/>
  <c r="E460" i="3"/>
  <c r="D460" i="3"/>
  <c r="C460" i="3"/>
  <c r="L460" i="3" s="1"/>
  <c r="M460" i="3" s="1"/>
  <c r="B460" i="3"/>
  <c r="A460" i="3"/>
  <c r="AB459" i="3"/>
  <c r="AA459" i="3"/>
  <c r="Z459" i="3"/>
  <c r="Y459" i="3"/>
  <c r="X459" i="3"/>
  <c r="W459" i="3"/>
  <c r="V459" i="3"/>
  <c r="T459" i="3"/>
  <c r="S459" i="3"/>
  <c r="R459" i="3"/>
  <c r="Q459" i="3"/>
  <c r="P459" i="3"/>
  <c r="O459" i="3"/>
  <c r="N459" i="3"/>
  <c r="K459" i="3"/>
  <c r="J459" i="3"/>
  <c r="I459" i="3"/>
  <c r="H459" i="3"/>
  <c r="G459" i="3"/>
  <c r="F459" i="3"/>
  <c r="E459" i="3"/>
  <c r="D459" i="3"/>
  <c r="C459" i="3"/>
  <c r="L459" i="3" s="1"/>
  <c r="M459" i="3" s="1"/>
  <c r="B459" i="3"/>
  <c r="A459" i="3"/>
  <c r="AB458" i="3"/>
  <c r="AA458" i="3"/>
  <c r="Z458" i="3"/>
  <c r="Y458" i="3"/>
  <c r="X458" i="3"/>
  <c r="W458" i="3"/>
  <c r="V458" i="3"/>
  <c r="T458" i="3"/>
  <c r="S458" i="3"/>
  <c r="R458" i="3"/>
  <c r="Q458" i="3"/>
  <c r="P458" i="3"/>
  <c r="O458" i="3"/>
  <c r="N458" i="3"/>
  <c r="K458" i="3"/>
  <c r="J458" i="3"/>
  <c r="I458" i="3"/>
  <c r="H458" i="3"/>
  <c r="G458" i="3"/>
  <c r="F458" i="3"/>
  <c r="E458" i="3"/>
  <c r="D458" i="3"/>
  <c r="C458" i="3"/>
  <c r="L458" i="3" s="1"/>
  <c r="M458" i="3" s="1"/>
  <c r="B458" i="3"/>
  <c r="A458" i="3"/>
  <c r="AB457" i="3"/>
  <c r="AA457" i="3"/>
  <c r="Z457" i="3"/>
  <c r="Y457" i="3"/>
  <c r="X457" i="3"/>
  <c r="W457" i="3"/>
  <c r="V457" i="3"/>
  <c r="T457" i="3"/>
  <c r="S457" i="3"/>
  <c r="R457" i="3"/>
  <c r="Q457" i="3"/>
  <c r="P457" i="3"/>
  <c r="O457" i="3"/>
  <c r="N457" i="3"/>
  <c r="K457" i="3"/>
  <c r="J457" i="3"/>
  <c r="I457" i="3"/>
  <c r="H457" i="3"/>
  <c r="G457" i="3"/>
  <c r="F457" i="3"/>
  <c r="E457" i="3"/>
  <c r="D457" i="3"/>
  <c r="AC457" i="3" s="1"/>
  <c r="C457" i="3"/>
  <c r="L457" i="3" s="1"/>
  <c r="M457" i="3" s="1"/>
  <c r="B457" i="3"/>
  <c r="A457" i="3"/>
  <c r="AB456" i="3"/>
  <c r="AA456" i="3"/>
  <c r="Z456" i="3"/>
  <c r="Y456" i="3"/>
  <c r="X456" i="3"/>
  <c r="W456" i="3"/>
  <c r="V456" i="3"/>
  <c r="T456" i="3"/>
  <c r="S456" i="3"/>
  <c r="R456" i="3"/>
  <c r="Q456" i="3"/>
  <c r="P456" i="3"/>
  <c r="O456" i="3"/>
  <c r="N456" i="3"/>
  <c r="K456" i="3"/>
  <c r="J456" i="3"/>
  <c r="I456" i="3"/>
  <c r="H456" i="3"/>
  <c r="G456" i="3"/>
  <c r="F456" i="3"/>
  <c r="E456" i="3"/>
  <c r="D456" i="3"/>
  <c r="C456" i="3"/>
  <c r="L456" i="3" s="1"/>
  <c r="M456" i="3" s="1"/>
  <c r="B456" i="3"/>
  <c r="A456" i="3"/>
  <c r="AB455" i="3"/>
  <c r="AA455" i="3"/>
  <c r="Z455" i="3"/>
  <c r="Y455" i="3"/>
  <c r="X455" i="3"/>
  <c r="W455" i="3"/>
  <c r="V455" i="3"/>
  <c r="T455" i="3"/>
  <c r="S455" i="3"/>
  <c r="R455" i="3"/>
  <c r="Q455" i="3"/>
  <c r="P455" i="3"/>
  <c r="O455" i="3"/>
  <c r="N455" i="3"/>
  <c r="K455" i="3"/>
  <c r="J455" i="3"/>
  <c r="I455" i="3"/>
  <c r="H455" i="3"/>
  <c r="G455" i="3"/>
  <c r="F455" i="3"/>
  <c r="E455" i="3"/>
  <c r="D455" i="3"/>
  <c r="C455" i="3"/>
  <c r="L455" i="3" s="1"/>
  <c r="M455" i="3" s="1"/>
  <c r="B455" i="3"/>
  <c r="A455" i="3"/>
  <c r="AB454" i="3"/>
  <c r="AA454" i="3"/>
  <c r="Z454" i="3"/>
  <c r="Y454" i="3"/>
  <c r="X454" i="3"/>
  <c r="W454" i="3"/>
  <c r="V454" i="3"/>
  <c r="T454" i="3"/>
  <c r="S454" i="3"/>
  <c r="R454" i="3"/>
  <c r="Q454" i="3"/>
  <c r="P454" i="3"/>
  <c r="O454" i="3"/>
  <c r="N454" i="3"/>
  <c r="K454" i="3"/>
  <c r="J454" i="3"/>
  <c r="I454" i="3"/>
  <c r="H454" i="3"/>
  <c r="G454" i="3"/>
  <c r="F454" i="3"/>
  <c r="E454" i="3"/>
  <c r="D454" i="3"/>
  <c r="C454" i="3"/>
  <c r="L454" i="3" s="1"/>
  <c r="M454" i="3" s="1"/>
  <c r="B454" i="3"/>
  <c r="A454" i="3"/>
  <c r="AB453" i="3"/>
  <c r="AA453" i="3"/>
  <c r="Z453" i="3"/>
  <c r="Y453" i="3"/>
  <c r="X453" i="3"/>
  <c r="W453" i="3"/>
  <c r="V453" i="3"/>
  <c r="T453" i="3"/>
  <c r="S453" i="3"/>
  <c r="R453" i="3"/>
  <c r="Q453" i="3"/>
  <c r="P453" i="3"/>
  <c r="O453" i="3"/>
  <c r="N453" i="3"/>
  <c r="K453" i="3"/>
  <c r="J453" i="3"/>
  <c r="I453" i="3"/>
  <c r="H453" i="3"/>
  <c r="G453" i="3"/>
  <c r="F453" i="3"/>
  <c r="E453" i="3"/>
  <c r="D453" i="3"/>
  <c r="C453" i="3"/>
  <c r="L453" i="3" s="1"/>
  <c r="M453" i="3" s="1"/>
  <c r="B453" i="3"/>
  <c r="A453" i="3"/>
  <c r="AB452" i="3"/>
  <c r="AA452" i="3"/>
  <c r="Z452" i="3"/>
  <c r="Y452" i="3"/>
  <c r="X452" i="3"/>
  <c r="W452" i="3"/>
  <c r="V452" i="3"/>
  <c r="T452" i="3"/>
  <c r="S452" i="3"/>
  <c r="R452" i="3"/>
  <c r="Q452" i="3"/>
  <c r="P452" i="3"/>
  <c r="O452" i="3"/>
  <c r="N452" i="3"/>
  <c r="K452" i="3"/>
  <c r="J452" i="3"/>
  <c r="I452" i="3"/>
  <c r="H452" i="3"/>
  <c r="G452" i="3"/>
  <c r="F452" i="3"/>
  <c r="E452" i="3"/>
  <c r="D452" i="3"/>
  <c r="C452" i="3"/>
  <c r="L452" i="3" s="1"/>
  <c r="M452" i="3" s="1"/>
  <c r="B452" i="3"/>
  <c r="A452" i="3"/>
  <c r="AB451" i="3"/>
  <c r="AA451" i="3"/>
  <c r="Z451" i="3"/>
  <c r="Y451" i="3"/>
  <c r="X451" i="3"/>
  <c r="W451" i="3"/>
  <c r="V451" i="3"/>
  <c r="T451" i="3"/>
  <c r="S451" i="3"/>
  <c r="R451" i="3"/>
  <c r="Q451" i="3"/>
  <c r="P451" i="3"/>
  <c r="O451" i="3"/>
  <c r="N451" i="3"/>
  <c r="K451" i="3"/>
  <c r="J451" i="3"/>
  <c r="I451" i="3"/>
  <c r="H451" i="3"/>
  <c r="G451" i="3"/>
  <c r="F451" i="3"/>
  <c r="E451" i="3"/>
  <c r="D451" i="3"/>
  <c r="C451" i="3"/>
  <c r="L451" i="3" s="1"/>
  <c r="M451" i="3" s="1"/>
  <c r="B451" i="3"/>
  <c r="A451" i="3"/>
  <c r="AB450" i="3"/>
  <c r="AA450" i="3"/>
  <c r="Z450" i="3"/>
  <c r="Y450" i="3"/>
  <c r="X450" i="3"/>
  <c r="W450" i="3"/>
  <c r="V450" i="3"/>
  <c r="T450" i="3"/>
  <c r="S450" i="3"/>
  <c r="R450" i="3"/>
  <c r="Q450" i="3"/>
  <c r="P450" i="3"/>
  <c r="O450" i="3"/>
  <c r="N450" i="3"/>
  <c r="K450" i="3"/>
  <c r="J450" i="3"/>
  <c r="I450" i="3"/>
  <c r="H450" i="3"/>
  <c r="G450" i="3"/>
  <c r="F450" i="3"/>
  <c r="E450" i="3"/>
  <c r="D450" i="3"/>
  <c r="C450" i="3"/>
  <c r="L450" i="3" s="1"/>
  <c r="M450" i="3" s="1"/>
  <c r="B450" i="3"/>
  <c r="A450" i="3"/>
  <c r="AB449" i="3"/>
  <c r="AA449" i="3"/>
  <c r="Z449" i="3"/>
  <c r="Y449" i="3"/>
  <c r="X449" i="3"/>
  <c r="W449" i="3"/>
  <c r="V449" i="3"/>
  <c r="T449" i="3"/>
  <c r="S449" i="3"/>
  <c r="R449" i="3"/>
  <c r="Q449" i="3"/>
  <c r="P449" i="3"/>
  <c r="O449" i="3"/>
  <c r="N449" i="3"/>
  <c r="K449" i="3"/>
  <c r="J449" i="3"/>
  <c r="I449" i="3"/>
  <c r="H449" i="3"/>
  <c r="G449" i="3"/>
  <c r="F449" i="3"/>
  <c r="E449" i="3"/>
  <c r="D449" i="3"/>
  <c r="C449" i="3"/>
  <c r="L449" i="3" s="1"/>
  <c r="M449" i="3" s="1"/>
  <c r="B449" i="3"/>
  <c r="A449" i="3"/>
  <c r="AB448" i="3"/>
  <c r="AA448" i="3"/>
  <c r="Z448" i="3"/>
  <c r="Y448" i="3"/>
  <c r="X448" i="3"/>
  <c r="W448" i="3"/>
  <c r="V448" i="3"/>
  <c r="T448" i="3"/>
  <c r="S448" i="3"/>
  <c r="R448" i="3"/>
  <c r="Q448" i="3"/>
  <c r="P448" i="3"/>
  <c r="O448" i="3"/>
  <c r="N448" i="3"/>
  <c r="K448" i="3"/>
  <c r="J448" i="3"/>
  <c r="I448" i="3"/>
  <c r="H448" i="3"/>
  <c r="G448" i="3"/>
  <c r="F448" i="3"/>
  <c r="E448" i="3"/>
  <c r="D448" i="3"/>
  <c r="C448" i="3"/>
  <c r="L448" i="3" s="1"/>
  <c r="M448" i="3" s="1"/>
  <c r="B448" i="3"/>
  <c r="A448" i="3"/>
  <c r="AB447" i="3"/>
  <c r="AA447" i="3"/>
  <c r="Z447" i="3"/>
  <c r="Y447" i="3"/>
  <c r="X447" i="3"/>
  <c r="W447" i="3"/>
  <c r="V447" i="3"/>
  <c r="T447" i="3"/>
  <c r="S447" i="3"/>
  <c r="R447" i="3"/>
  <c r="Q447" i="3"/>
  <c r="P447" i="3"/>
  <c r="O447" i="3"/>
  <c r="N447" i="3"/>
  <c r="K447" i="3"/>
  <c r="J447" i="3"/>
  <c r="I447" i="3"/>
  <c r="H447" i="3"/>
  <c r="G447" i="3"/>
  <c r="F447" i="3"/>
  <c r="E447" i="3"/>
  <c r="D447" i="3"/>
  <c r="C447" i="3"/>
  <c r="L447" i="3" s="1"/>
  <c r="M447" i="3" s="1"/>
  <c r="B447" i="3"/>
  <c r="A447" i="3"/>
  <c r="AB446" i="3"/>
  <c r="AA446" i="3"/>
  <c r="Z446" i="3"/>
  <c r="Y446" i="3"/>
  <c r="X446" i="3"/>
  <c r="W446" i="3"/>
  <c r="V446" i="3"/>
  <c r="T446" i="3"/>
  <c r="S446" i="3"/>
  <c r="R446" i="3"/>
  <c r="Q446" i="3"/>
  <c r="P446" i="3"/>
  <c r="O446" i="3"/>
  <c r="N446" i="3"/>
  <c r="K446" i="3"/>
  <c r="J446" i="3"/>
  <c r="I446" i="3"/>
  <c r="H446" i="3"/>
  <c r="G446" i="3"/>
  <c r="F446" i="3"/>
  <c r="E446" i="3"/>
  <c r="D446" i="3"/>
  <c r="C446" i="3"/>
  <c r="L446" i="3" s="1"/>
  <c r="M446" i="3" s="1"/>
  <c r="B446" i="3"/>
  <c r="A446" i="3"/>
  <c r="AB445" i="3"/>
  <c r="AA445" i="3"/>
  <c r="Z445" i="3"/>
  <c r="Y445" i="3"/>
  <c r="X445" i="3"/>
  <c r="W445" i="3"/>
  <c r="V445" i="3"/>
  <c r="T445" i="3"/>
  <c r="S445" i="3"/>
  <c r="R445" i="3"/>
  <c r="Q445" i="3"/>
  <c r="P445" i="3"/>
  <c r="O445" i="3"/>
  <c r="N445" i="3"/>
  <c r="K445" i="3"/>
  <c r="J445" i="3"/>
  <c r="I445" i="3"/>
  <c r="H445" i="3"/>
  <c r="G445" i="3"/>
  <c r="F445" i="3"/>
  <c r="E445" i="3"/>
  <c r="D445" i="3"/>
  <c r="C445" i="3"/>
  <c r="L445" i="3" s="1"/>
  <c r="M445" i="3" s="1"/>
  <c r="B445" i="3"/>
  <c r="A445" i="3"/>
  <c r="AB444" i="3"/>
  <c r="AA444" i="3"/>
  <c r="Z444" i="3"/>
  <c r="Y444" i="3"/>
  <c r="X444" i="3"/>
  <c r="W444" i="3"/>
  <c r="V444" i="3"/>
  <c r="T444" i="3"/>
  <c r="S444" i="3"/>
  <c r="R444" i="3"/>
  <c r="Q444" i="3"/>
  <c r="P444" i="3"/>
  <c r="O444" i="3"/>
  <c r="N444" i="3"/>
  <c r="K444" i="3"/>
  <c r="J444" i="3"/>
  <c r="I444" i="3"/>
  <c r="H444" i="3"/>
  <c r="G444" i="3"/>
  <c r="F444" i="3"/>
  <c r="E444" i="3"/>
  <c r="D444" i="3"/>
  <c r="C444" i="3"/>
  <c r="L444" i="3" s="1"/>
  <c r="M444" i="3" s="1"/>
  <c r="B444" i="3"/>
  <c r="A444" i="3"/>
  <c r="AB443" i="3"/>
  <c r="AA443" i="3"/>
  <c r="Z443" i="3"/>
  <c r="Y443" i="3"/>
  <c r="X443" i="3"/>
  <c r="W443" i="3"/>
  <c r="V443" i="3"/>
  <c r="T443" i="3"/>
  <c r="S443" i="3"/>
  <c r="R443" i="3"/>
  <c r="Q443" i="3"/>
  <c r="P443" i="3"/>
  <c r="O443" i="3"/>
  <c r="N443" i="3"/>
  <c r="K443" i="3"/>
  <c r="J443" i="3"/>
  <c r="I443" i="3"/>
  <c r="H443" i="3"/>
  <c r="G443" i="3"/>
  <c r="F443" i="3"/>
  <c r="E443" i="3"/>
  <c r="D443" i="3"/>
  <c r="C443" i="3"/>
  <c r="L443" i="3" s="1"/>
  <c r="M443" i="3" s="1"/>
  <c r="B443" i="3"/>
  <c r="A443" i="3"/>
  <c r="AB442" i="3"/>
  <c r="AA442" i="3"/>
  <c r="Z442" i="3"/>
  <c r="Y442" i="3"/>
  <c r="X442" i="3"/>
  <c r="W442" i="3"/>
  <c r="V442" i="3"/>
  <c r="T442" i="3"/>
  <c r="S442" i="3"/>
  <c r="R442" i="3"/>
  <c r="Q442" i="3"/>
  <c r="P442" i="3"/>
  <c r="O442" i="3"/>
  <c r="N442" i="3"/>
  <c r="K442" i="3"/>
  <c r="J442" i="3"/>
  <c r="I442" i="3"/>
  <c r="H442" i="3"/>
  <c r="G442" i="3"/>
  <c r="F442" i="3"/>
  <c r="E442" i="3"/>
  <c r="D442" i="3"/>
  <c r="C442" i="3"/>
  <c r="L442" i="3" s="1"/>
  <c r="M442" i="3" s="1"/>
  <c r="B442" i="3"/>
  <c r="A442" i="3"/>
  <c r="AB441" i="3"/>
  <c r="AA441" i="3"/>
  <c r="Z441" i="3"/>
  <c r="Y441" i="3"/>
  <c r="X441" i="3"/>
  <c r="W441" i="3"/>
  <c r="V441" i="3"/>
  <c r="T441" i="3"/>
  <c r="S441" i="3"/>
  <c r="R441" i="3"/>
  <c r="Q441" i="3"/>
  <c r="P441" i="3"/>
  <c r="O441" i="3"/>
  <c r="N441" i="3"/>
  <c r="K441" i="3"/>
  <c r="J441" i="3"/>
  <c r="I441" i="3"/>
  <c r="H441" i="3"/>
  <c r="G441" i="3"/>
  <c r="F441" i="3"/>
  <c r="E441" i="3"/>
  <c r="D441" i="3"/>
  <c r="C441" i="3"/>
  <c r="L441" i="3" s="1"/>
  <c r="M441" i="3" s="1"/>
  <c r="B441" i="3"/>
  <c r="A441" i="3"/>
  <c r="AB440" i="3"/>
  <c r="AA440" i="3"/>
  <c r="Z440" i="3"/>
  <c r="Y440" i="3"/>
  <c r="X440" i="3"/>
  <c r="W440" i="3"/>
  <c r="V440" i="3"/>
  <c r="T440" i="3"/>
  <c r="S440" i="3"/>
  <c r="R440" i="3"/>
  <c r="Q440" i="3"/>
  <c r="P440" i="3"/>
  <c r="O440" i="3"/>
  <c r="N440" i="3"/>
  <c r="K440" i="3"/>
  <c r="J440" i="3"/>
  <c r="I440" i="3"/>
  <c r="H440" i="3"/>
  <c r="G440" i="3"/>
  <c r="F440" i="3"/>
  <c r="E440" i="3"/>
  <c r="D440" i="3"/>
  <c r="C440" i="3"/>
  <c r="L440" i="3" s="1"/>
  <c r="M440" i="3" s="1"/>
  <c r="B440" i="3"/>
  <c r="A440" i="3"/>
  <c r="AB439" i="3"/>
  <c r="AA439" i="3"/>
  <c r="Z439" i="3"/>
  <c r="Y439" i="3"/>
  <c r="X439" i="3"/>
  <c r="W439" i="3"/>
  <c r="V439" i="3"/>
  <c r="T439" i="3"/>
  <c r="S439" i="3"/>
  <c r="R439" i="3"/>
  <c r="Q439" i="3"/>
  <c r="P439" i="3"/>
  <c r="O439" i="3"/>
  <c r="N439" i="3"/>
  <c r="K439" i="3"/>
  <c r="J439" i="3"/>
  <c r="I439" i="3"/>
  <c r="H439" i="3"/>
  <c r="G439" i="3"/>
  <c r="F439" i="3"/>
  <c r="E439" i="3"/>
  <c r="D439" i="3"/>
  <c r="C439" i="3"/>
  <c r="L439" i="3" s="1"/>
  <c r="M439" i="3" s="1"/>
  <c r="B439" i="3"/>
  <c r="A439" i="3"/>
  <c r="AB438" i="3"/>
  <c r="AA438" i="3"/>
  <c r="Z438" i="3"/>
  <c r="Y438" i="3"/>
  <c r="X438" i="3"/>
  <c r="W438" i="3"/>
  <c r="V438" i="3"/>
  <c r="T438" i="3"/>
  <c r="S438" i="3"/>
  <c r="R438" i="3"/>
  <c r="Q438" i="3"/>
  <c r="P438" i="3"/>
  <c r="O438" i="3"/>
  <c r="N438" i="3"/>
  <c r="K438" i="3"/>
  <c r="J438" i="3"/>
  <c r="I438" i="3"/>
  <c r="H438" i="3"/>
  <c r="G438" i="3"/>
  <c r="F438" i="3"/>
  <c r="E438" i="3"/>
  <c r="D438" i="3"/>
  <c r="C438" i="3"/>
  <c r="L438" i="3" s="1"/>
  <c r="M438" i="3" s="1"/>
  <c r="B438" i="3"/>
  <c r="A438" i="3"/>
  <c r="AB437" i="3"/>
  <c r="AA437" i="3"/>
  <c r="Z437" i="3"/>
  <c r="Y437" i="3"/>
  <c r="X437" i="3"/>
  <c r="W437" i="3"/>
  <c r="V437" i="3"/>
  <c r="T437" i="3"/>
  <c r="S437" i="3"/>
  <c r="R437" i="3"/>
  <c r="Q437" i="3"/>
  <c r="P437" i="3"/>
  <c r="O437" i="3"/>
  <c r="N437" i="3"/>
  <c r="K437" i="3"/>
  <c r="J437" i="3"/>
  <c r="I437" i="3"/>
  <c r="H437" i="3"/>
  <c r="G437" i="3"/>
  <c r="F437" i="3"/>
  <c r="E437" i="3"/>
  <c r="D437" i="3"/>
  <c r="C437" i="3"/>
  <c r="L437" i="3" s="1"/>
  <c r="M437" i="3" s="1"/>
  <c r="B437" i="3"/>
  <c r="A437" i="3"/>
  <c r="AB436" i="3"/>
  <c r="AA436" i="3"/>
  <c r="Z436" i="3"/>
  <c r="Y436" i="3"/>
  <c r="X436" i="3"/>
  <c r="W436" i="3"/>
  <c r="V436" i="3"/>
  <c r="T436" i="3"/>
  <c r="S436" i="3"/>
  <c r="R436" i="3"/>
  <c r="Q436" i="3"/>
  <c r="P436" i="3"/>
  <c r="O436" i="3"/>
  <c r="N436" i="3"/>
  <c r="K436" i="3"/>
  <c r="J436" i="3"/>
  <c r="I436" i="3"/>
  <c r="H436" i="3"/>
  <c r="G436" i="3"/>
  <c r="F436" i="3"/>
  <c r="E436" i="3"/>
  <c r="D436" i="3"/>
  <c r="C436" i="3"/>
  <c r="L436" i="3" s="1"/>
  <c r="M436" i="3" s="1"/>
  <c r="B436" i="3"/>
  <c r="A436" i="3"/>
  <c r="AB435" i="3"/>
  <c r="AA435" i="3"/>
  <c r="Z435" i="3"/>
  <c r="Y435" i="3"/>
  <c r="X435" i="3"/>
  <c r="W435" i="3"/>
  <c r="V435" i="3"/>
  <c r="T435" i="3"/>
  <c r="S435" i="3"/>
  <c r="R435" i="3"/>
  <c r="Q435" i="3"/>
  <c r="P435" i="3"/>
  <c r="O435" i="3"/>
  <c r="N435" i="3"/>
  <c r="K435" i="3"/>
  <c r="J435" i="3"/>
  <c r="I435" i="3"/>
  <c r="H435" i="3"/>
  <c r="G435" i="3"/>
  <c r="F435" i="3"/>
  <c r="E435" i="3"/>
  <c r="D435" i="3"/>
  <c r="C435" i="3"/>
  <c r="L435" i="3" s="1"/>
  <c r="M435" i="3" s="1"/>
  <c r="B435" i="3"/>
  <c r="A435" i="3"/>
  <c r="AB434" i="3"/>
  <c r="AA434" i="3"/>
  <c r="Z434" i="3"/>
  <c r="Y434" i="3"/>
  <c r="X434" i="3"/>
  <c r="W434" i="3"/>
  <c r="V434" i="3"/>
  <c r="T434" i="3"/>
  <c r="S434" i="3"/>
  <c r="R434" i="3"/>
  <c r="Q434" i="3"/>
  <c r="P434" i="3"/>
  <c r="O434" i="3"/>
  <c r="N434" i="3"/>
  <c r="K434" i="3"/>
  <c r="J434" i="3"/>
  <c r="I434" i="3"/>
  <c r="H434" i="3"/>
  <c r="G434" i="3"/>
  <c r="F434" i="3"/>
  <c r="E434" i="3"/>
  <c r="D434" i="3"/>
  <c r="C434" i="3"/>
  <c r="L434" i="3" s="1"/>
  <c r="M434" i="3" s="1"/>
  <c r="B434" i="3"/>
  <c r="A434" i="3"/>
  <c r="AB433" i="3"/>
  <c r="AA433" i="3"/>
  <c r="Z433" i="3"/>
  <c r="Y433" i="3"/>
  <c r="X433" i="3"/>
  <c r="W433" i="3"/>
  <c r="V433" i="3"/>
  <c r="T433" i="3"/>
  <c r="S433" i="3"/>
  <c r="R433" i="3"/>
  <c r="Q433" i="3"/>
  <c r="P433" i="3"/>
  <c r="O433" i="3"/>
  <c r="N433" i="3"/>
  <c r="K433" i="3"/>
  <c r="J433" i="3"/>
  <c r="I433" i="3"/>
  <c r="H433" i="3"/>
  <c r="G433" i="3"/>
  <c r="F433" i="3"/>
  <c r="E433" i="3"/>
  <c r="D433" i="3"/>
  <c r="C433" i="3"/>
  <c r="L433" i="3" s="1"/>
  <c r="M433" i="3" s="1"/>
  <c r="B433" i="3"/>
  <c r="A433" i="3"/>
  <c r="AB432" i="3"/>
  <c r="AA432" i="3"/>
  <c r="Z432" i="3"/>
  <c r="Y432" i="3"/>
  <c r="X432" i="3"/>
  <c r="W432" i="3"/>
  <c r="V432" i="3"/>
  <c r="T432" i="3"/>
  <c r="S432" i="3"/>
  <c r="R432" i="3"/>
  <c r="Q432" i="3"/>
  <c r="P432" i="3"/>
  <c r="O432" i="3"/>
  <c r="N432" i="3"/>
  <c r="K432" i="3"/>
  <c r="J432" i="3"/>
  <c r="I432" i="3"/>
  <c r="H432" i="3"/>
  <c r="G432" i="3"/>
  <c r="F432" i="3"/>
  <c r="E432" i="3"/>
  <c r="D432" i="3"/>
  <c r="C432" i="3"/>
  <c r="L432" i="3" s="1"/>
  <c r="M432" i="3" s="1"/>
  <c r="B432" i="3"/>
  <c r="A432" i="3"/>
  <c r="AB431" i="3"/>
  <c r="AA431" i="3"/>
  <c r="Z431" i="3"/>
  <c r="Y431" i="3"/>
  <c r="X431" i="3"/>
  <c r="W431" i="3"/>
  <c r="V431" i="3"/>
  <c r="T431" i="3"/>
  <c r="S431" i="3"/>
  <c r="R431" i="3"/>
  <c r="Q431" i="3"/>
  <c r="P431" i="3"/>
  <c r="O431" i="3"/>
  <c r="N431" i="3"/>
  <c r="K431" i="3"/>
  <c r="J431" i="3"/>
  <c r="I431" i="3"/>
  <c r="H431" i="3"/>
  <c r="G431" i="3"/>
  <c r="F431" i="3"/>
  <c r="E431" i="3"/>
  <c r="D431" i="3"/>
  <c r="C431" i="3"/>
  <c r="L431" i="3" s="1"/>
  <c r="M431" i="3" s="1"/>
  <c r="B431" i="3"/>
  <c r="A431" i="3"/>
  <c r="AB430" i="3"/>
  <c r="AA430" i="3"/>
  <c r="Z430" i="3"/>
  <c r="Y430" i="3"/>
  <c r="X430" i="3"/>
  <c r="W430" i="3"/>
  <c r="V430" i="3"/>
  <c r="T430" i="3"/>
  <c r="S430" i="3"/>
  <c r="R430" i="3"/>
  <c r="Q430" i="3"/>
  <c r="P430" i="3"/>
  <c r="O430" i="3"/>
  <c r="N430" i="3"/>
  <c r="K430" i="3"/>
  <c r="J430" i="3"/>
  <c r="I430" i="3"/>
  <c r="H430" i="3"/>
  <c r="G430" i="3"/>
  <c r="F430" i="3"/>
  <c r="E430" i="3"/>
  <c r="D430" i="3"/>
  <c r="C430" i="3"/>
  <c r="L430" i="3" s="1"/>
  <c r="M430" i="3" s="1"/>
  <c r="B430" i="3"/>
  <c r="A430" i="3"/>
  <c r="AB429" i="3"/>
  <c r="AA429" i="3"/>
  <c r="Z429" i="3"/>
  <c r="Y429" i="3"/>
  <c r="X429" i="3"/>
  <c r="W429" i="3"/>
  <c r="V429" i="3"/>
  <c r="T429" i="3"/>
  <c r="S429" i="3"/>
  <c r="R429" i="3"/>
  <c r="Q429" i="3"/>
  <c r="P429" i="3"/>
  <c r="O429" i="3"/>
  <c r="N429" i="3"/>
  <c r="K429" i="3"/>
  <c r="J429" i="3"/>
  <c r="I429" i="3"/>
  <c r="H429" i="3"/>
  <c r="G429" i="3"/>
  <c r="F429" i="3"/>
  <c r="E429" i="3"/>
  <c r="D429" i="3"/>
  <c r="C429" i="3"/>
  <c r="L429" i="3" s="1"/>
  <c r="M429" i="3" s="1"/>
  <c r="B429" i="3"/>
  <c r="A429" i="3"/>
  <c r="AB428" i="3"/>
  <c r="AA428" i="3"/>
  <c r="Z428" i="3"/>
  <c r="Y428" i="3"/>
  <c r="X428" i="3"/>
  <c r="W428" i="3"/>
  <c r="V428" i="3"/>
  <c r="T428" i="3"/>
  <c r="S428" i="3"/>
  <c r="R428" i="3"/>
  <c r="Q428" i="3"/>
  <c r="P428" i="3"/>
  <c r="O428" i="3"/>
  <c r="N428" i="3"/>
  <c r="K428" i="3"/>
  <c r="J428" i="3"/>
  <c r="I428" i="3"/>
  <c r="H428" i="3"/>
  <c r="G428" i="3"/>
  <c r="F428" i="3"/>
  <c r="E428" i="3"/>
  <c r="D428" i="3"/>
  <c r="C428" i="3"/>
  <c r="L428" i="3" s="1"/>
  <c r="M428" i="3" s="1"/>
  <c r="B428" i="3"/>
  <c r="A428" i="3"/>
  <c r="AB427" i="3"/>
  <c r="AA427" i="3"/>
  <c r="Z427" i="3"/>
  <c r="Y427" i="3"/>
  <c r="X427" i="3"/>
  <c r="W427" i="3"/>
  <c r="V427" i="3"/>
  <c r="T427" i="3"/>
  <c r="S427" i="3"/>
  <c r="R427" i="3"/>
  <c r="Q427" i="3"/>
  <c r="P427" i="3"/>
  <c r="O427" i="3"/>
  <c r="N427" i="3"/>
  <c r="K427" i="3"/>
  <c r="J427" i="3"/>
  <c r="I427" i="3"/>
  <c r="H427" i="3"/>
  <c r="G427" i="3"/>
  <c r="F427" i="3"/>
  <c r="E427" i="3"/>
  <c r="D427" i="3"/>
  <c r="C427" i="3"/>
  <c r="L427" i="3" s="1"/>
  <c r="M427" i="3" s="1"/>
  <c r="B427" i="3"/>
  <c r="A427" i="3"/>
  <c r="AB426" i="3"/>
  <c r="AA426" i="3"/>
  <c r="Z426" i="3"/>
  <c r="Y426" i="3"/>
  <c r="X426" i="3"/>
  <c r="W426" i="3"/>
  <c r="V426" i="3"/>
  <c r="T426" i="3"/>
  <c r="S426" i="3"/>
  <c r="R426" i="3"/>
  <c r="Q426" i="3"/>
  <c r="P426" i="3"/>
  <c r="O426" i="3"/>
  <c r="N426" i="3"/>
  <c r="K426" i="3"/>
  <c r="J426" i="3"/>
  <c r="I426" i="3"/>
  <c r="H426" i="3"/>
  <c r="G426" i="3"/>
  <c r="F426" i="3"/>
  <c r="E426" i="3"/>
  <c r="D426" i="3"/>
  <c r="C426" i="3"/>
  <c r="L426" i="3" s="1"/>
  <c r="M426" i="3" s="1"/>
  <c r="B426" i="3"/>
  <c r="A426" i="3"/>
  <c r="AB425" i="3"/>
  <c r="AA425" i="3"/>
  <c r="Z425" i="3"/>
  <c r="Y425" i="3"/>
  <c r="X425" i="3"/>
  <c r="W425" i="3"/>
  <c r="V425" i="3"/>
  <c r="T425" i="3"/>
  <c r="S425" i="3"/>
  <c r="R425" i="3"/>
  <c r="Q425" i="3"/>
  <c r="P425" i="3"/>
  <c r="O425" i="3"/>
  <c r="N425" i="3"/>
  <c r="K425" i="3"/>
  <c r="J425" i="3"/>
  <c r="I425" i="3"/>
  <c r="H425" i="3"/>
  <c r="G425" i="3"/>
  <c r="F425" i="3"/>
  <c r="E425" i="3"/>
  <c r="D425" i="3"/>
  <c r="C425" i="3"/>
  <c r="L425" i="3" s="1"/>
  <c r="M425" i="3" s="1"/>
  <c r="B425" i="3"/>
  <c r="A425" i="3"/>
  <c r="AB424" i="3"/>
  <c r="AA424" i="3"/>
  <c r="Z424" i="3"/>
  <c r="Y424" i="3"/>
  <c r="X424" i="3"/>
  <c r="W424" i="3"/>
  <c r="V424" i="3"/>
  <c r="T424" i="3"/>
  <c r="S424" i="3"/>
  <c r="R424" i="3"/>
  <c r="Q424" i="3"/>
  <c r="P424" i="3"/>
  <c r="O424" i="3"/>
  <c r="N424" i="3"/>
  <c r="K424" i="3"/>
  <c r="J424" i="3"/>
  <c r="I424" i="3"/>
  <c r="H424" i="3"/>
  <c r="G424" i="3"/>
  <c r="F424" i="3"/>
  <c r="E424" i="3"/>
  <c r="D424" i="3"/>
  <c r="C424" i="3"/>
  <c r="L424" i="3" s="1"/>
  <c r="M424" i="3" s="1"/>
  <c r="B424" i="3"/>
  <c r="A424" i="3"/>
  <c r="AB423" i="3"/>
  <c r="AA423" i="3"/>
  <c r="Z423" i="3"/>
  <c r="Y423" i="3"/>
  <c r="X423" i="3"/>
  <c r="W423" i="3"/>
  <c r="V423" i="3"/>
  <c r="T423" i="3"/>
  <c r="S423" i="3"/>
  <c r="R423" i="3"/>
  <c r="Q423" i="3"/>
  <c r="P423" i="3"/>
  <c r="O423" i="3"/>
  <c r="N423" i="3"/>
  <c r="K423" i="3"/>
  <c r="J423" i="3"/>
  <c r="I423" i="3"/>
  <c r="H423" i="3"/>
  <c r="G423" i="3"/>
  <c r="F423" i="3"/>
  <c r="E423" i="3"/>
  <c r="D423" i="3"/>
  <c r="C423" i="3"/>
  <c r="L423" i="3" s="1"/>
  <c r="M423" i="3" s="1"/>
  <c r="B423" i="3"/>
  <c r="A423" i="3"/>
  <c r="AB422" i="3"/>
  <c r="AA422" i="3"/>
  <c r="Z422" i="3"/>
  <c r="Y422" i="3"/>
  <c r="X422" i="3"/>
  <c r="W422" i="3"/>
  <c r="V422" i="3"/>
  <c r="T422" i="3"/>
  <c r="S422" i="3"/>
  <c r="R422" i="3"/>
  <c r="Q422" i="3"/>
  <c r="P422" i="3"/>
  <c r="O422" i="3"/>
  <c r="N422" i="3"/>
  <c r="K422" i="3"/>
  <c r="J422" i="3"/>
  <c r="I422" i="3"/>
  <c r="H422" i="3"/>
  <c r="G422" i="3"/>
  <c r="F422" i="3"/>
  <c r="E422" i="3"/>
  <c r="D422" i="3"/>
  <c r="C422" i="3"/>
  <c r="L422" i="3" s="1"/>
  <c r="M422" i="3" s="1"/>
  <c r="B422" i="3"/>
  <c r="A422" i="3"/>
  <c r="AB421" i="3"/>
  <c r="AA421" i="3"/>
  <c r="Z421" i="3"/>
  <c r="Y421" i="3"/>
  <c r="X421" i="3"/>
  <c r="W421" i="3"/>
  <c r="V421" i="3"/>
  <c r="T421" i="3"/>
  <c r="S421" i="3"/>
  <c r="R421" i="3"/>
  <c r="Q421" i="3"/>
  <c r="P421" i="3"/>
  <c r="O421" i="3"/>
  <c r="N421" i="3"/>
  <c r="K421" i="3"/>
  <c r="J421" i="3"/>
  <c r="I421" i="3"/>
  <c r="H421" i="3"/>
  <c r="G421" i="3"/>
  <c r="F421" i="3"/>
  <c r="E421" i="3"/>
  <c r="D421" i="3"/>
  <c r="C421" i="3"/>
  <c r="L421" i="3" s="1"/>
  <c r="M421" i="3" s="1"/>
  <c r="B421" i="3"/>
  <c r="A421" i="3"/>
  <c r="AB420" i="3"/>
  <c r="AA420" i="3"/>
  <c r="Z420" i="3"/>
  <c r="Y420" i="3"/>
  <c r="X420" i="3"/>
  <c r="W420" i="3"/>
  <c r="V420" i="3"/>
  <c r="T420" i="3"/>
  <c r="S420" i="3"/>
  <c r="R420" i="3"/>
  <c r="Q420" i="3"/>
  <c r="P420" i="3"/>
  <c r="O420" i="3"/>
  <c r="N420" i="3"/>
  <c r="K420" i="3"/>
  <c r="J420" i="3"/>
  <c r="I420" i="3"/>
  <c r="H420" i="3"/>
  <c r="G420" i="3"/>
  <c r="F420" i="3"/>
  <c r="E420" i="3"/>
  <c r="D420" i="3"/>
  <c r="C420" i="3"/>
  <c r="L420" i="3" s="1"/>
  <c r="M420" i="3" s="1"/>
  <c r="B420" i="3"/>
  <c r="A420" i="3"/>
  <c r="AB419" i="3"/>
  <c r="AA419" i="3"/>
  <c r="Z419" i="3"/>
  <c r="Y419" i="3"/>
  <c r="X419" i="3"/>
  <c r="W419" i="3"/>
  <c r="V419" i="3"/>
  <c r="T419" i="3"/>
  <c r="S419" i="3"/>
  <c r="R419" i="3"/>
  <c r="Q419" i="3"/>
  <c r="P419" i="3"/>
  <c r="O419" i="3"/>
  <c r="N419" i="3"/>
  <c r="K419" i="3"/>
  <c r="J419" i="3"/>
  <c r="I419" i="3"/>
  <c r="H419" i="3"/>
  <c r="G419" i="3"/>
  <c r="F419" i="3"/>
  <c r="E419" i="3"/>
  <c r="D419" i="3"/>
  <c r="C419" i="3"/>
  <c r="L419" i="3" s="1"/>
  <c r="M419" i="3" s="1"/>
  <c r="B419" i="3"/>
  <c r="A419" i="3"/>
  <c r="AB418" i="3"/>
  <c r="AA418" i="3"/>
  <c r="Z418" i="3"/>
  <c r="Y418" i="3"/>
  <c r="X418" i="3"/>
  <c r="W418" i="3"/>
  <c r="V418" i="3"/>
  <c r="T418" i="3"/>
  <c r="S418" i="3"/>
  <c r="R418" i="3"/>
  <c r="Q418" i="3"/>
  <c r="P418" i="3"/>
  <c r="O418" i="3"/>
  <c r="N418" i="3"/>
  <c r="K418" i="3"/>
  <c r="J418" i="3"/>
  <c r="I418" i="3"/>
  <c r="H418" i="3"/>
  <c r="G418" i="3"/>
  <c r="F418" i="3"/>
  <c r="E418" i="3"/>
  <c r="D418" i="3"/>
  <c r="C418" i="3"/>
  <c r="L418" i="3" s="1"/>
  <c r="M418" i="3" s="1"/>
  <c r="B418" i="3"/>
  <c r="A418" i="3"/>
  <c r="AB417" i="3"/>
  <c r="AA417" i="3"/>
  <c r="Z417" i="3"/>
  <c r="Y417" i="3"/>
  <c r="X417" i="3"/>
  <c r="W417" i="3"/>
  <c r="V417" i="3"/>
  <c r="T417" i="3"/>
  <c r="S417" i="3"/>
  <c r="R417" i="3"/>
  <c r="Q417" i="3"/>
  <c r="P417" i="3"/>
  <c r="O417" i="3"/>
  <c r="N417" i="3"/>
  <c r="K417" i="3"/>
  <c r="J417" i="3"/>
  <c r="I417" i="3"/>
  <c r="H417" i="3"/>
  <c r="G417" i="3"/>
  <c r="F417" i="3"/>
  <c r="E417" i="3"/>
  <c r="D417" i="3"/>
  <c r="C417" i="3"/>
  <c r="L417" i="3" s="1"/>
  <c r="M417" i="3" s="1"/>
  <c r="B417" i="3"/>
  <c r="A417" i="3"/>
  <c r="AB416" i="3"/>
  <c r="AA416" i="3"/>
  <c r="Z416" i="3"/>
  <c r="Y416" i="3"/>
  <c r="X416" i="3"/>
  <c r="W416" i="3"/>
  <c r="V416" i="3"/>
  <c r="T416" i="3"/>
  <c r="S416" i="3"/>
  <c r="R416" i="3"/>
  <c r="Q416" i="3"/>
  <c r="P416" i="3"/>
  <c r="O416" i="3"/>
  <c r="N416" i="3"/>
  <c r="K416" i="3"/>
  <c r="J416" i="3"/>
  <c r="I416" i="3"/>
  <c r="H416" i="3"/>
  <c r="G416" i="3"/>
  <c r="F416" i="3"/>
  <c r="E416" i="3"/>
  <c r="D416" i="3"/>
  <c r="C416" i="3"/>
  <c r="L416" i="3" s="1"/>
  <c r="M416" i="3" s="1"/>
  <c r="B416" i="3"/>
  <c r="A416" i="3"/>
  <c r="AB415" i="3"/>
  <c r="AA415" i="3"/>
  <c r="Z415" i="3"/>
  <c r="Y415" i="3"/>
  <c r="X415" i="3"/>
  <c r="W415" i="3"/>
  <c r="V415" i="3"/>
  <c r="T415" i="3"/>
  <c r="S415" i="3"/>
  <c r="R415" i="3"/>
  <c r="Q415" i="3"/>
  <c r="P415" i="3"/>
  <c r="O415" i="3"/>
  <c r="N415" i="3"/>
  <c r="K415" i="3"/>
  <c r="J415" i="3"/>
  <c r="I415" i="3"/>
  <c r="H415" i="3"/>
  <c r="G415" i="3"/>
  <c r="F415" i="3"/>
  <c r="E415" i="3"/>
  <c r="D415" i="3"/>
  <c r="C415" i="3"/>
  <c r="L415" i="3" s="1"/>
  <c r="M415" i="3" s="1"/>
  <c r="B415" i="3"/>
  <c r="A415" i="3"/>
  <c r="AB414" i="3"/>
  <c r="AA414" i="3"/>
  <c r="Z414" i="3"/>
  <c r="Y414" i="3"/>
  <c r="X414" i="3"/>
  <c r="W414" i="3"/>
  <c r="V414" i="3"/>
  <c r="T414" i="3"/>
  <c r="S414" i="3"/>
  <c r="R414" i="3"/>
  <c r="Q414" i="3"/>
  <c r="P414" i="3"/>
  <c r="O414" i="3"/>
  <c r="N414" i="3"/>
  <c r="K414" i="3"/>
  <c r="J414" i="3"/>
  <c r="I414" i="3"/>
  <c r="H414" i="3"/>
  <c r="G414" i="3"/>
  <c r="F414" i="3"/>
  <c r="E414" i="3"/>
  <c r="D414" i="3"/>
  <c r="C414" i="3"/>
  <c r="L414" i="3" s="1"/>
  <c r="M414" i="3" s="1"/>
  <c r="B414" i="3"/>
  <c r="A414" i="3"/>
  <c r="AB413" i="3"/>
  <c r="AA413" i="3"/>
  <c r="Z413" i="3"/>
  <c r="Y413" i="3"/>
  <c r="X413" i="3"/>
  <c r="W413" i="3"/>
  <c r="V413" i="3"/>
  <c r="T413" i="3"/>
  <c r="S413" i="3"/>
  <c r="R413" i="3"/>
  <c r="Q413" i="3"/>
  <c r="P413" i="3"/>
  <c r="O413" i="3"/>
  <c r="N413" i="3"/>
  <c r="K413" i="3"/>
  <c r="J413" i="3"/>
  <c r="I413" i="3"/>
  <c r="H413" i="3"/>
  <c r="G413" i="3"/>
  <c r="F413" i="3"/>
  <c r="E413" i="3"/>
  <c r="D413" i="3"/>
  <c r="C413" i="3"/>
  <c r="L413" i="3" s="1"/>
  <c r="M413" i="3" s="1"/>
  <c r="B413" i="3"/>
  <c r="A413" i="3"/>
  <c r="AB412" i="3"/>
  <c r="AA412" i="3"/>
  <c r="Z412" i="3"/>
  <c r="Y412" i="3"/>
  <c r="X412" i="3"/>
  <c r="W412" i="3"/>
  <c r="V412" i="3"/>
  <c r="T412" i="3"/>
  <c r="S412" i="3"/>
  <c r="R412" i="3"/>
  <c r="Q412" i="3"/>
  <c r="P412" i="3"/>
  <c r="O412" i="3"/>
  <c r="N412" i="3"/>
  <c r="K412" i="3"/>
  <c r="J412" i="3"/>
  <c r="I412" i="3"/>
  <c r="H412" i="3"/>
  <c r="G412" i="3"/>
  <c r="F412" i="3"/>
  <c r="E412" i="3"/>
  <c r="D412" i="3"/>
  <c r="C412" i="3"/>
  <c r="L412" i="3" s="1"/>
  <c r="M412" i="3" s="1"/>
  <c r="B412" i="3"/>
  <c r="A412" i="3"/>
  <c r="AB411" i="3"/>
  <c r="AA411" i="3"/>
  <c r="Z411" i="3"/>
  <c r="Y411" i="3"/>
  <c r="X411" i="3"/>
  <c r="W411" i="3"/>
  <c r="V411" i="3"/>
  <c r="T411" i="3"/>
  <c r="S411" i="3"/>
  <c r="R411" i="3"/>
  <c r="Q411" i="3"/>
  <c r="P411" i="3"/>
  <c r="O411" i="3"/>
  <c r="N411" i="3"/>
  <c r="K411" i="3"/>
  <c r="J411" i="3"/>
  <c r="I411" i="3"/>
  <c r="H411" i="3"/>
  <c r="G411" i="3"/>
  <c r="F411" i="3"/>
  <c r="E411" i="3"/>
  <c r="D411" i="3"/>
  <c r="C411" i="3"/>
  <c r="L411" i="3" s="1"/>
  <c r="M411" i="3" s="1"/>
  <c r="B411" i="3"/>
  <c r="A411" i="3"/>
  <c r="AB410" i="3"/>
  <c r="AA410" i="3"/>
  <c r="Z410" i="3"/>
  <c r="Y410" i="3"/>
  <c r="X410" i="3"/>
  <c r="W410" i="3"/>
  <c r="V410" i="3"/>
  <c r="T410" i="3"/>
  <c r="S410" i="3"/>
  <c r="R410" i="3"/>
  <c r="Q410" i="3"/>
  <c r="P410" i="3"/>
  <c r="O410" i="3"/>
  <c r="N410" i="3"/>
  <c r="K410" i="3"/>
  <c r="J410" i="3"/>
  <c r="I410" i="3"/>
  <c r="H410" i="3"/>
  <c r="G410" i="3"/>
  <c r="F410" i="3"/>
  <c r="E410" i="3"/>
  <c r="D410" i="3"/>
  <c r="C410" i="3"/>
  <c r="L410" i="3" s="1"/>
  <c r="M410" i="3" s="1"/>
  <c r="B410" i="3"/>
  <c r="A410" i="3"/>
  <c r="AB409" i="3"/>
  <c r="AA409" i="3"/>
  <c r="Z409" i="3"/>
  <c r="Y409" i="3"/>
  <c r="X409" i="3"/>
  <c r="W409" i="3"/>
  <c r="V409" i="3"/>
  <c r="T409" i="3"/>
  <c r="S409" i="3"/>
  <c r="R409" i="3"/>
  <c r="Q409" i="3"/>
  <c r="P409" i="3"/>
  <c r="O409" i="3"/>
  <c r="N409" i="3"/>
  <c r="K409" i="3"/>
  <c r="J409" i="3"/>
  <c r="I409" i="3"/>
  <c r="H409" i="3"/>
  <c r="G409" i="3"/>
  <c r="F409" i="3"/>
  <c r="E409" i="3"/>
  <c r="D409" i="3"/>
  <c r="C409" i="3"/>
  <c r="L409" i="3" s="1"/>
  <c r="M409" i="3" s="1"/>
  <c r="B409" i="3"/>
  <c r="A409" i="3"/>
  <c r="AB408" i="3"/>
  <c r="AA408" i="3"/>
  <c r="Z408" i="3"/>
  <c r="Y408" i="3"/>
  <c r="X408" i="3"/>
  <c r="W408" i="3"/>
  <c r="V408" i="3"/>
  <c r="T408" i="3"/>
  <c r="S408" i="3"/>
  <c r="R408" i="3"/>
  <c r="Q408" i="3"/>
  <c r="P408" i="3"/>
  <c r="O408" i="3"/>
  <c r="N408" i="3"/>
  <c r="K408" i="3"/>
  <c r="J408" i="3"/>
  <c r="I408" i="3"/>
  <c r="H408" i="3"/>
  <c r="G408" i="3"/>
  <c r="F408" i="3"/>
  <c r="E408" i="3"/>
  <c r="D408" i="3"/>
  <c r="C408" i="3"/>
  <c r="L408" i="3" s="1"/>
  <c r="M408" i="3" s="1"/>
  <c r="B408" i="3"/>
  <c r="A408" i="3"/>
  <c r="AB407" i="3"/>
  <c r="AA407" i="3"/>
  <c r="Z407" i="3"/>
  <c r="Y407" i="3"/>
  <c r="X407" i="3"/>
  <c r="W407" i="3"/>
  <c r="V407" i="3"/>
  <c r="T407" i="3"/>
  <c r="S407" i="3"/>
  <c r="R407" i="3"/>
  <c r="Q407" i="3"/>
  <c r="P407" i="3"/>
  <c r="O407" i="3"/>
  <c r="N407" i="3"/>
  <c r="K407" i="3"/>
  <c r="J407" i="3"/>
  <c r="I407" i="3"/>
  <c r="H407" i="3"/>
  <c r="G407" i="3"/>
  <c r="F407" i="3"/>
  <c r="E407" i="3"/>
  <c r="D407" i="3"/>
  <c r="C407" i="3"/>
  <c r="L407" i="3" s="1"/>
  <c r="M407" i="3" s="1"/>
  <c r="B407" i="3"/>
  <c r="A407" i="3"/>
  <c r="AB406" i="3"/>
  <c r="AA406" i="3"/>
  <c r="Z406" i="3"/>
  <c r="Y406" i="3"/>
  <c r="X406" i="3"/>
  <c r="W406" i="3"/>
  <c r="V406" i="3"/>
  <c r="T406" i="3"/>
  <c r="S406" i="3"/>
  <c r="R406" i="3"/>
  <c r="Q406" i="3"/>
  <c r="P406" i="3"/>
  <c r="O406" i="3"/>
  <c r="N406" i="3"/>
  <c r="K406" i="3"/>
  <c r="J406" i="3"/>
  <c r="I406" i="3"/>
  <c r="H406" i="3"/>
  <c r="G406" i="3"/>
  <c r="F406" i="3"/>
  <c r="E406" i="3"/>
  <c r="D406" i="3"/>
  <c r="C406" i="3"/>
  <c r="L406" i="3" s="1"/>
  <c r="M406" i="3" s="1"/>
  <c r="B406" i="3"/>
  <c r="A406" i="3"/>
  <c r="AB405" i="3"/>
  <c r="AA405" i="3"/>
  <c r="Z405" i="3"/>
  <c r="Y405" i="3"/>
  <c r="X405" i="3"/>
  <c r="W405" i="3"/>
  <c r="V405" i="3"/>
  <c r="T405" i="3"/>
  <c r="S405" i="3"/>
  <c r="R405" i="3"/>
  <c r="Q405" i="3"/>
  <c r="P405" i="3"/>
  <c r="O405" i="3"/>
  <c r="N405" i="3"/>
  <c r="K405" i="3"/>
  <c r="J405" i="3"/>
  <c r="I405" i="3"/>
  <c r="H405" i="3"/>
  <c r="G405" i="3"/>
  <c r="F405" i="3"/>
  <c r="E405" i="3"/>
  <c r="D405" i="3"/>
  <c r="C405" i="3"/>
  <c r="L405" i="3" s="1"/>
  <c r="M405" i="3" s="1"/>
  <c r="B405" i="3"/>
  <c r="A405" i="3"/>
  <c r="AB404" i="3"/>
  <c r="AA404" i="3"/>
  <c r="Z404" i="3"/>
  <c r="Y404" i="3"/>
  <c r="X404" i="3"/>
  <c r="W404" i="3"/>
  <c r="V404" i="3"/>
  <c r="T404" i="3"/>
  <c r="S404" i="3"/>
  <c r="R404" i="3"/>
  <c r="Q404" i="3"/>
  <c r="P404" i="3"/>
  <c r="O404" i="3"/>
  <c r="N404" i="3"/>
  <c r="K404" i="3"/>
  <c r="J404" i="3"/>
  <c r="I404" i="3"/>
  <c r="H404" i="3"/>
  <c r="G404" i="3"/>
  <c r="F404" i="3"/>
  <c r="E404" i="3"/>
  <c r="D404" i="3"/>
  <c r="C404" i="3"/>
  <c r="L404" i="3" s="1"/>
  <c r="M404" i="3" s="1"/>
  <c r="B404" i="3"/>
  <c r="A404" i="3"/>
  <c r="AB403" i="3"/>
  <c r="AA403" i="3"/>
  <c r="Z403" i="3"/>
  <c r="Y403" i="3"/>
  <c r="X403" i="3"/>
  <c r="W403" i="3"/>
  <c r="V403" i="3"/>
  <c r="T403" i="3"/>
  <c r="S403" i="3"/>
  <c r="R403" i="3"/>
  <c r="Q403" i="3"/>
  <c r="P403" i="3"/>
  <c r="O403" i="3"/>
  <c r="N403" i="3"/>
  <c r="K403" i="3"/>
  <c r="J403" i="3"/>
  <c r="I403" i="3"/>
  <c r="H403" i="3"/>
  <c r="G403" i="3"/>
  <c r="F403" i="3"/>
  <c r="E403" i="3"/>
  <c r="D403" i="3"/>
  <c r="C403" i="3"/>
  <c r="L403" i="3" s="1"/>
  <c r="M403" i="3" s="1"/>
  <c r="B403" i="3"/>
  <c r="A403" i="3"/>
  <c r="AB402" i="3"/>
  <c r="AA402" i="3"/>
  <c r="Z402" i="3"/>
  <c r="Y402" i="3"/>
  <c r="X402" i="3"/>
  <c r="W402" i="3"/>
  <c r="V402" i="3"/>
  <c r="T402" i="3"/>
  <c r="S402" i="3"/>
  <c r="R402" i="3"/>
  <c r="Q402" i="3"/>
  <c r="P402" i="3"/>
  <c r="O402" i="3"/>
  <c r="N402" i="3"/>
  <c r="K402" i="3"/>
  <c r="J402" i="3"/>
  <c r="I402" i="3"/>
  <c r="H402" i="3"/>
  <c r="G402" i="3"/>
  <c r="F402" i="3"/>
  <c r="E402" i="3"/>
  <c r="D402" i="3"/>
  <c r="C402" i="3"/>
  <c r="L402" i="3" s="1"/>
  <c r="M402" i="3" s="1"/>
  <c r="B402" i="3"/>
  <c r="A402" i="3"/>
  <c r="AB401" i="3"/>
  <c r="AA401" i="3"/>
  <c r="Z401" i="3"/>
  <c r="Y401" i="3"/>
  <c r="X401" i="3"/>
  <c r="W401" i="3"/>
  <c r="V401" i="3"/>
  <c r="T401" i="3"/>
  <c r="S401" i="3"/>
  <c r="R401" i="3"/>
  <c r="Q401" i="3"/>
  <c r="P401" i="3"/>
  <c r="O401" i="3"/>
  <c r="N401" i="3"/>
  <c r="K401" i="3"/>
  <c r="J401" i="3"/>
  <c r="I401" i="3"/>
  <c r="H401" i="3"/>
  <c r="G401" i="3"/>
  <c r="F401" i="3"/>
  <c r="E401" i="3"/>
  <c r="D401" i="3"/>
  <c r="C401" i="3"/>
  <c r="L401" i="3" s="1"/>
  <c r="M401" i="3" s="1"/>
  <c r="B401" i="3"/>
  <c r="A401" i="3"/>
  <c r="AB400" i="3"/>
  <c r="AA400" i="3"/>
  <c r="Z400" i="3"/>
  <c r="Y400" i="3"/>
  <c r="X400" i="3"/>
  <c r="W400" i="3"/>
  <c r="V400" i="3"/>
  <c r="T400" i="3"/>
  <c r="S400" i="3"/>
  <c r="R400" i="3"/>
  <c r="Q400" i="3"/>
  <c r="P400" i="3"/>
  <c r="O400" i="3"/>
  <c r="N400" i="3"/>
  <c r="K400" i="3"/>
  <c r="J400" i="3"/>
  <c r="I400" i="3"/>
  <c r="H400" i="3"/>
  <c r="G400" i="3"/>
  <c r="F400" i="3"/>
  <c r="E400" i="3"/>
  <c r="D400" i="3"/>
  <c r="C400" i="3"/>
  <c r="L400" i="3" s="1"/>
  <c r="M400" i="3" s="1"/>
  <c r="B400" i="3"/>
  <c r="A400" i="3"/>
  <c r="AB399" i="3"/>
  <c r="AA399" i="3"/>
  <c r="Z399" i="3"/>
  <c r="Y399" i="3"/>
  <c r="X399" i="3"/>
  <c r="W399" i="3"/>
  <c r="V399" i="3"/>
  <c r="T399" i="3"/>
  <c r="S399" i="3"/>
  <c r="R399" i="3"/>
  <c r="Q399" i="3"/>
  <c r="P399" i="3"/>
  <c r="O399" i="3"/>
  <c r="N399" i="3"/>
  <c r="K399" i="3"/>
  <c r="J399" i="3"/>
  <c r="I399" i="3"/>
  <c r="H399" i="3"/>
  <c r="G399" i="3"/>
  <c r="F399" i="3"/>
  <c r="E399" i="3"/>
  <c r="D399" i="3"/>
  <c r="C399" i="3"/>
  <c r="L399" i="3" s="1"/>
  <c r="M399" i="3" s="1"/>
  <c r="B399" i="3"/>
  <c r="A399" i="3"/>
  <c r="AB398" i="3"/>
  <c r="AA398" i="3"/>
  <c r="Z398" i="3"/>
  <c r="Y398" i="3"/>
  <c r="X398" i="3"/>
  <c r="W398" i="3"/>
  <c r="V398" i="3"/>
  <c r="T398" i="3"/>
  <c r="S398" i="3"/>
  <c r="R398" i="3"/>
  <c r="Q398" i="3"/>
  <c r="P398" i="3"/>
  <c r="O398" i="3"/>
  <c r="N398" i="3"/>
  <c r="K398" i="3"/>
  <c r="J398" i="3"/>
  <c r="I398" i="3"/>
  <c r="H398" i="3"/>
  <c r="G398" i="3"/>
  <c r="F398" i="3"/>
  <c r="E398" i="3"/>
  <c r="D398" i="3"/>
  <c r="C398" i="3"/>
  <c r="L398" i="3" s="1"/>
  <c r="M398" i="3" s="1"/>
  <c r="B398" i="3"/>
  <c r="A398" i="3"/>
  <c r="AB397" i="3"/>
  <c r="AA397" i="3"/>
  <c r="Z397" i="3"/>
  <c r="Y397" i="3"/>
  <c r="X397" i="3"/>
  <c r="W397" i="3"/>
  <c r="V397" i="3"/>
  <c r="T397" i="3"/>
  <c r="S397" i="3"/>
  <c r="R397" i="3"/>
  <c r="Q397" i="3"/>
  <c r="P397" i="3"/>
  <c r="O397" i="3"/>
  <c r="N397" i="3"/>
  <c r="K397" i="3"/>
  <c r="J397" i="3"/>
  <c r="I397" i="3"/>
  <c r="H397" i="3"/>
  <c r="G397" i="3"/>
  <c r="F397" i="3"/>
  <c r="E397" i="3"/>
  <c r="D397" i="3"/>
  <c r="C397" i="3"/>
  <c r="L397" i="3" s="1"/>
  <c r="M397" i="3" s="1"/>
  <c r="B397" i="3"/>
  <c r="A397" i="3"/>
  <c r="AB396" i="3"/>
  <c r="AA396" i="3"/>
  <c r="Z396" i="3"/>
  <c r="Y396" i="3"/>
  <c r="X396" i="3"/>
  <c r="W396" i="3"/>
  <c r="V396" i="3"/>
  <c r="T396" i="3"/>
  <c r="S396" i="3"/>
  <c r="R396" i="3"/>
  <c r="Q396" i="3"/>
  <c r="P396" i="3"/>
  <c r="O396" i="3"/>
  <c r="N396" i="3"/>
  <c r="K396" i="3"/>
  <c r="J396" i="3"/>
  <c r="I396" i="3"/>
  <c r="H396" i="3"/>
  <c r="G396" i="3"/>
  <c r="F396" i="3"/>
  <c r="E396" i="3"/>
  <c r="D396" i="3"/>
  <c r="C396" i="3"/>
  <c r="L396" i="3" s="1"/>
  <c r="M396" i="3" s="1"/>
  <c r="B396" i="3"/>
  <c r="A396" i="3"/>
  <c r="AB395" i="3"/>
  <c r="AA395" i="3"/>
  <c r="Z395" i="3"/>
  <c r="Y395" i="3"/>
  <c r="X395" i="3"/>
  <c r="W395" i="3"/>
  <c r="V395" i="3"/>
  <c r="T395" i="3"/>
  <c r="S395" i="3"/>
  <c r="R395" i="3"/>
  <c r="Q395" i="3"/>
  <c r="P395" i="3"/>
  <c r="O395" i="3"/>
  <c r="N395" i="3"/>
  <c r="K395" i="3"/>
  <c r="J395" i="3"/>
  <c r="I395" i="3"/>
  <c r="H395" i="3"/>
  <c r="G395" i="3"/>
  <c r="F395" i="3"/>
  <c r="E395" i="3"/>
  <c r="D395" i="3"/>
  <c r="C395" i="3"/>
  <c r="L395" i="3" s="1"/>
  <c r="M395" i="3" s="1"/>
  <c r="B395" i="3"/>
  <c r="A395" i="3"/>
  <c r="AB394" i="3"/>
  <c r="AA394" i="3"/>
  <c r="Z394" i="3"/>
  <c r="Y394" i="3"/>
  <c r="X394" i="3"/>
  <c r="W394" i="3"/>
  <c r="V394" i="3"/>
  <c r="T394" i="3"/>
  <c r="S394" i="3"/>
  <c r="R394" i="3"/>
  <c r="Q394" i="3"/>
  <c r="P394" i="3"/>
  <c r="O394" i="3"/>
  <c r="N394" i="3"/>
  <c r="K394" i="3"/>
  <c r="J394" i="3"/>
  <c r="I394" i="3"/>
  <c r="H394" i="3"/>
  <c r="G394" i="3"/>
  <c r="F394" i="3"/>
  <c r="E394" i="3"/>
  <c r="D394" i="3"/>
  <c r="C394" i="3"/>
  <c r="L394" i="3" s="1"/>
  <c r="M394" i="3" s="1"/>
  <c r="B394" i="3"/>
  <c r="A394" i="3"/>
  <c r="AB393" i="3"/>
  <c r="AA393" i="3"/>
  <c r="Z393" i="3"/>
  <c r="Y393" i="3"/>
  <c r="X393" i="3"/>
  <c r="W393" i="3"/>
  <c r="V393" i="3"/>
  <c r="T393" i="3"/>
  <c r="S393" i="3"/>
  <c r="R393" i="3"/>
  <c r="Q393" i="3"/>
  <c r="P393" i="3"/>
  <c r="O393" i="3"/>
  <c r="N393" i="3"/>
  <c r="K393" i="3"/>
  <c r="J393" i="3"/>
  <c r="I393" i="3"/>
  <c r="H393" i="3"/>
  <c r="G393" i="3"/>
  <c r="F393" i="3"/>
  <c r="E393" i="3"/>
  <c r="D393" i="3"/>
  <c r="C393" i="3"/>
  <c r="L393" i="3" s="1"/>
  <c r="M393" i="3" s="1"/>
  <c r="B393" i="3"/>
  <c r="A393" i="3"/>
  <c r="AB392" i="3"/>
  <c r="AA392" i="3"/>
  <c r="Z392" i="3"/>
  <c r="Y392" i="3"/>
  <c r="X392" i="3"/>
  <c r="W392" i="3"/>
  <c r="V392" i="3"/>
  <c r="T392" i="3"/>
  <c r="S392" i="3"/>
  <c r="R392" i="3"/>
  <c r="Q392" i="3"/>
  <c r="P392" i="3"/>
  <c r="O392" i="3"/>
  <c r="N392" i="3"/>
  <c r="K392" i="3"/>
  <c r="J392" i="3"/>
  <c r="I392" i="3"/>
  <c r="H392" i="3"/>
  <c r="G392" i="3"/>
  <c r="F392" i="3"/>
  <c r="E392" i="3"/>
  <c r="D392" i="3"/>
  <c r="C392" i="3"/>
  <c r="L392" i="3" s="1"/>
  <c r="M392" i="3" s="1"/>
  <c r="B392" i="3"/>
  <c r="A392" i="3"/>
  <c r="AB391" i="3"/>
  <c r="AA391" i="3"/>
  <c r="Z391" i="3"/>
  <c r="Y391" i="3"/>
  <c r="X391" i="3"/>
  <c r="W391" i="3"/>
  <c r="V391" i="3"/>
  <c r="T391" i="3"/>
  <c r="S391" i="3"/>
  <c r="R391" i="3"/>
  <c r="Q391" i="3"/>
  <c r="P391" i="3"/>
  <c r="O391" i="3"/>
  <c r="N391" i="3"/>
  <c r="K391" i="3"/>
  <c r="J391" i="3"/>
  <c r="I391" i="3"/>
  <c r="H391" i="3"/>
  <c r="G391" i="3"/>
  <c r="F391" i="3"/>
  <c r="E391" i="3"/>
  <c r="D391" i="3"/>
  <c r="C391" i="3"/>
  <c r="L391" i="3" s="1"/>
  <c r="M391" i="3" s="1"/>
  <c r="B391" i="3"/>
  <c r="A391" i="3"/>
  <c r="AB390" i="3"/>
  <c r="AA390" i="3"/>
  <c r="Z390" i="3"/>
  <c r="Y390" i="3"/>
  <c r="X390" i="3"/>
  <c r="W390" i="3"/>
  <c r="V390" i="3"/>
  <c r="T390" i="3"/>
  <c r="S390" i="3"/>
  <c r="R390" i="3"/>
  <c r="Q390" i="3"/>
  <c r="P390" i="3"/>
  <c r="O390" i="3"/>
  <c r="N390" i="3"/>
  <c r="K390" i="3"/>
  <c r="J390" i="3"/>
  <c r="I390" i="3"/>
  <c r="H390" i="3"/>
  <c r="G390" i="3"/>
  <c r="F390" i="3"/>
  <c r="E390" i="3"/>
  <c r="D390" i="3"/>
  <c r="C390" i="3"/>
  <c r="L390" i="3" s="1"/>
  <c r="M390" i="3" s="1"/>
  <c r="B390" i="3"/>
  <c r="A390" i="3"/>
  <c r="AB389" i="3"/>
  <c r="AA389" i="3"/>
  <c r="Z389" i="3"/>
  <c r="Y389" i="3"/>
  <c r="X389" i="3"/>
  <c r="W389" i="3"/>
  <c r="V389" i="3"/>
  <c r="T389" i="3"/>
  <c r="S389" i="3"/>
  <c r="R389" i="3"/>
  <c r="Q389" i="3"/>
  <c r="P389" i="3"/>
  <c r="O389" i="3"/>
  <c r="N389" i="3"/>
  <c r="K389" i="3"/>
  <c r="J389" i="3"/>
  <c r="I389" i="3"/>
  <c r="H389" i="3"/>
  <c r="G389" i="3"/>
  <c r="F389" i="3"/>
  <c r="E389" i="3"/>
  <c r="D389" i="3"/>
  <c r="C389" i="3"/>
  <c r="L389" i="3" s="1"/>
  <c r="M389" i="3" s="1"/>
  <c r="B389" i="3"/>
  <c r="A389" i="3"/>
  <c r="AB388" i="3"/>
  <c r="AA388" i="3"/>
  <c r="Z388" i="3"/>
  <c r="Y388" i="3"/>
  <c r="X388" i="3"/>
  <c r="W388" i="3"/>
  <c r="V388" i="3"/>
  <c r="T388" i="3"/>
  <c r="S388" i="3"/>
  <c r="R388" i="3"/>
  <c r="Q388" i="3"/>
  <c r="P388" i="3"/>
  <c r="O388" i="3"/>
  <c r="N388" i="3"/>
  <c r="K388" i="3"/>
  <c r="J388" i="3"/>
  <c r="I388" i="3"/>
  <c r="H388" i="3"/>
  <c r="G388" i="3"/>
  <c r="F388" i="3"/>
  <c r="E388" i="3"/>
  <c r="D388" i="3"/>
  <c r="C388" i="3"/>
  <c r="L388" i="3" s="1"/>
  <c r="M388" i="3" s="1"/>
  <c r="B388" i="3"/>
  <c r="A388" i="3"/>
  <c r="AB387" i="3"/>
  <c r="AA387" i="3"/>
  <c r="Z387" i="3"/>
  <c r="Y387" i="3"/>
  <c r="X387" i="3"/>
  <c r="W387" i="3"/>
  <c r="V387" i="3"/>
  <c r="T387" i="3"/>
  <c r="S387" i="3"/>
  <c r="R387" i="3"/>
  <c r="Q387" i="3"/>
  <c r="P387" i="3"/>
  <c r="O387" i="3"/>
  <c r="N387" i="3"/>
  <c r="K387" i="3"/>
  <c r="J387" i="3"/>
  <c r="I387" i="3"/>
  <c r="H387" i="3"/>
  <c r="G387" i="3"/>
  <c r="F387" i="3"/>
  <c r="E387" i="3"/>
  <c r="D387" i="3"/>
  <c r="C387" i="3"/>
  <c r="L387" i="3" s="1"/>
  <c r="M387" i="3" s="1"/>
  <c r="B387" i="3"/>
  <c r="A387" i="3"/>
  <c r="AB386" i="3"/>
  <c r="AA386" i="3"/>
  <c r="Z386" i="3"/>
  <c r="Y386" i="3"/>
  <c r="X386" i="3"/>
  <c r="W386" i="3"/>
  <c r="V386" i="3"/>
  <c r="T386" i="3"/>
  <c r="S386" i="3"/>
  <c r="R386" i="3"/>
  <c r="Q386" i="3"/>
  <c r="P386" i="3"/>
  <c r="O386" i="3"/>
  <c r="N386" i="3"/>
  <c r="K386" i="3"/>
  <c r="J386" i="3"/>
  <c r="I386" i="3"/>
  <c r="H386" i="3"/>
  <c r="G386" i="3"/>
  <c r="F386" i="3"/>
  <c r="E386" i="3"/>
  <c r="D386" i="3"/>
  <c r="C386" i="3"/>
  <c r="L386" i="3" s="1"/>
  <c r="M386" i="3" s="1"/>
  <c r="B386" i="3"/>
  <c r="A386" i="3"/>
  <c r="AB385" i="3"/>
  <c r="AA385" i="3"/>
  <c r="Z385" i="3"/>
  <c r="Y385" i="3"/>
  <c r="X385" i="3"/>
  <c r="W385" i="3"/>
  <c r="V385" i="3"/>
  <c r="T385" i="3"/>
  <c r="S385" i="3"/>
  <c r="R385" i="3"/>
  <c r="Q385" i="3"/>
  <c r="P385" i="3"/>
  <c r="O385" i="3"/>
  <c r="N385" i="3"/>
  <c r="K385" i="3"/>
  <c r="J385" i="3"/>
  <c r="I385" i="3"/>
  <c r="H385" i="3"/>
  <c r="G385" i="3"/>
  <c r="F385" i="3"/>
  <c r="E385" i="3"/>
  <c r="D385" i="3"/>
  <c r="C385" i="3"/>
  <c r="L385" i="3" s="1"/>
  <c r="M385" i="3" s="1"/>
  <c r="B385" i="3"/>
  <c r="A385" i="3"/>
  <c r="AB384" i="3"/>
  <c r="AA384" i="3"/>
  <c r="Z384" i="3"/>
  <c r="Y384" i="3"/>
  <c r="X384" i="3"/>
  <c r="W384" i="3"/>
  <c r="V384" i="3"/>
  <c r="T384" i="3"/>
  <c r="S384" i="3"/>
  <c r="R384" i="3"/>
  <c r="Q384" i="3"/>
  <c r="P384" i="3"/>
  <c r="O384" i="3"/>
  <c r="N384" i="3"/>
  <c r="K384" i="3"/>
  <c r="J384" i="3"/>
  <c r="I384" i="3"/>
  <c r="H384" i="3"/>
  <c r="G384" i="3"/>
  <c r="F384" i="3"/>
  <c r="E384" i="3"/>
  <c r="D384" i="3"/>
  <c r="C384" i="3"/>
  <c r="L384" i="3" s="1"/>
  <c r="M384" i="3" s="1"/>
  <c r="B384" i="3"/>
  <c r="A384" i="3"/>
  <c r="AB383" i="3"/>
  <c r="AA383" i="3"/>
  <c r="Z383" i="3"/>
  <c r="Y383" i="3"/>
  <c r="X383" i="3"/>
  <c r="W383" i="3"/>
  <c r="V383" i="3"/>
  <c r="T383" i="3"/>
  <c r="S383" i="3"/>
  <c r="R383" i="3"/>
  <c r="Q383" i="3"/>
  <c r="P383" i="3"/>
  <c r="O383" i="3"/>
  <c r="N383" i="3"/>
  <c r="K383" i="3"/>
  <c r="J383" i="3"/>
  <c r="I383" i="3"/>
  <c r="H383" i="3"/>
  <c r="G383" i="3"/>
  <c r="F383" i="3"/>
  <c r="E383" i="3"/>
  <c r="D383" i="3"/>
  <c r="C383" i="3"/>
  <c r="L383" i="3" s="1"/>
  <c r="M383" i="3" s="1"/>
  <c r="B383" i="3"/>
  <c r="A383" i="3"/>
  <c r="AB382" i="3"/>
  <c r="AA382" i="3"/>
  <c r="Z382" i="3"/>
  <c r="Y382" i="3"/>
  <c r="X382" i="3"/>
  <c r="W382" i="3"/>
  <c r="V382" i="3"/>
  <c r="T382" i="3"/>
  <c r="S382" i="3"/>
  <c r="R382" i="3"/>
  <c r="Q382" i="3"/>
  <c r="P382" i="3"/>
  <c r="O382" i="3"/>
  <c r="N382" i="3"/>
  <c r="K382" i="3"/>
  <c r="J382" i="3"/>
  <c r="I382" i="3"/>
  <c r="H382" i="3"/>
  <c r="G382" i="3"/>
  <c r="F382" i="3"/>
  <c r="E382" i="3"/>
  <c r="D382" i="3"/>
  <c r="C382" i="3"/>
  <c r="L382" i="3" s="1"/>
  <c r="M382" i="3" s="1"/>
  <c r="B382" i="3"/>
  <c r="A382" i="3"/>
  <c r="AB381" i="3"/>
  <c r="AA381" i="3"/>
  <c r="Z381" i="3"/>
  <c r="Y381" i="3"/>
  <c r="X381" i="3"/>
  <c r="W381" i="3"/>
  <c r="V381" i="3"/>
  <c r="T381" i="3"/>
  <c r="S381" i="3"/>
  <c r="R381" i="3"/>
  <c r="Q381" i="3"/>
  <c r="P381" i="3"/>
  <c r="O381" i="3"/>
  <c r="N381" i="3"/>
  <c r="K381" i="3"/>
  <c r="J381" i="3"/>
  <c r="I381" i="3"/>
  <c r="H381" i="3"/>
  <c r="G381" i="3"/>
  <c r="F381" i="3"/>
  <c r="E381" i="3"/>
  <c r="D381" i="3"/>
  <c r="C381" i="3"/>
  <c r="L381" i="3" s="1"/>
  <c r="M381" i="3" s="1"/>
  <c r="B381" i="3"/>
  <c r="A381" i="3"/>
  <c r="AB380" i="3"/>
  <c r="AA380" i="3"/>
  <c r="Z380" i="3"/>
  <c r="Y380" i="3"/>
  <c r="X380" i="3"/>
  <c r="W380" i="3"/>
  <c r="V380" i="3"/>
  <c r="T380" i="3"/>
  <c r="S380" i="3"/>
  <c r="R380" i="3"/>
  <c r="Q380" i="3"/>
  <c r="P380" i="3"/>
  <c r="O380" i="3"/>
  <c r="N380" i="3"/>
  <c r="K380" i="3"/>
  <c r="J380" i="3"/>
  <c r="I380" i="3"/>
  <c r="H380" i="3"/>
  <c r="G380" i="3"/>
  <c r="F380" i="3"/>
  <c r="E380" i="3"/>
  <c r="D380" i="3"/>
  <c r="C380" i="3"/>
  <c r="L380" i="3" s="1"/>
  <c r="M380" i="3" s="1"/>
  <c r="B380" i="3"/>
  <c r="A380" i="3"/>
  <c r="AB379" i="3"/>
  <c r="AA379" i="3"/>
  <c r="Z379" i="3"/>
  <c r="Y379" i="3"/>
  <c r="X379" i="3"/>
  <c r="W379" i="3"/>
  <c r="V379" i="3"/>
  <c r="T379" i="3"/>
  <c r="S379" i="3"/>
  <c r="R379" i="3"/>
  <c r="Q379" i="3"/>
  <c r="P379" i="3"/>
  <c r="O379" i="3"/>
  <c r="N379" i="3"/>
  <c r="K379" i="3"/>
  <c r="J379" i="3"/>
  <c r="I379" i="3"/>
  <c r="H379" i="3"/>
  <c r="G379" i="3"/>
  <c r="F379" i="3"/>
  <c r="E379" i="3"/>
  <c r="D379" i="3"/>
  <c r="C379" i="3"/>
  <c r="L379" i="3" s="1"/>
  <c r="M379" i="3" s="1"/>
  <c r="B379" i="3"/>
  <c r="A379" i="3"/>
  <c r="AB378" i="3"/>
  <c r="AA378" i="3"/>
  <c r="Z378" i="3"/>
  <c r="Y378" i="3"/>
  <c r="X378" i="3"/>
  <c r="W378" i="3"/>
  <c r="V378" i="3"/>
  <c r="T378" i="3"/>
  <c r="S378" i="3"/>
  <c r="R378" i="3"/>
  <c r="Q378" i="3"/>
  <c r="P378" i="3"/>
  <c r="O378" i="3"/>
  <c r="N378" i="3"/>
  <c r="K378" i="3"/>
  <c r="J378" i="3"/>
  <c r="I378" i="3"/>
  <c r="H378" i="3"/>
  <c r="G378" i="3"/>
  <c r="F378" i="3"/>
  <c r="E378" i="3"/>
  <c r="D378" i="3"/>
  <c r="C378" i="3"/>
  <c r="L378" i="3" s="1"/>
  <c r="M378" i="3" s="1"/>
  <c r="B378" i="3"/>
  <c r="A378" i="3"/>
  <c r="AB377" i="3"/>
  <c r="AA377" i="3"/>
  <c r="Z377" i="3"/>
  <c r="Y377" i="3"/>
  <c r="X377" i="3"/>
  <c r="W377" i="3"/>
  <c r="V377" i="3"/>
  <c r="T377" i="3"/>
  <c r="S377" i="3"/>
  <c r="R377" i="3"/>
  <c r="Q377" i="3"/>
  <c r="P377" i="3"/>
  <c r="O377" i="3"/>
  <c r="N377" i="3"/>
  <c r="K377" i="3"/>
  <c r="J377" i="3"/>
  <c r="I377" i="3"/>
  <c r="H377" i="3"/>
  <c r="G377" i="3"/>
  <c r="F377" i="3"/>
  <c r="E377" i="3"/>
  <c r="D377" i="3"/>
  <c r="C377" i="3"/>
  <c r="L377" i="3" s="1"/>
  <c r="M377" i="3" s="1"/>
  <c r="B377" i="3"/>
  <c r="A377" i="3"/>
  <c r="AB376" i="3"/>
  <c r="AA376" i="3"/>
  <c r="Z376" i="3"/>
  <c r="Y376" i="3"/>
  <c r="X376" i="3"/>
  <c r="W376" i="3"/>
  <c r="V376" i="3"/>
  <c r="T376" i="3"/>
  <c r="S376" i="3"/>
  <c r="R376" i="3"/>
  <c r="Q376" i="3"/>
  <c r="P376" i="3"/>
  <c r="O376" i="3"/>
  <c r="N376" i="3"/>
  <c r="K376" i="3"/>
  <c r="J376" i="3"/>
  <c r="I376" i="3"/>
  <c r="H376" i="3"/>
  <c r="G376" i="3"/>
  <c r="F376" i="3"/>
  <c r="E376" i="3"/>
  <c r="D376" i="3"/>
  <c r="C376" i="3"/>
  <c r="L376" i="3" s="1"/>
  <c r="M376" i="3" s="1"/>
  <c r="B376" i="3"/>
  <c r="A376" i="3"/>
  <c r="AB375" i="3"/>
  <c r="AA375" i="3"/>
  <c r="Z375" i="3"/>
  <c r="Y375" i="3"/>
  <c r="X375" i="3"/>
  <c r="W375" i="3"/>
  <c r="V375" i="3"/>
  <c r="T375" i="3"/>
  <c r="S375" i="3"/>
  <c r="R375" i="3"/>
  <c r="Q375" i="3"/>
  <c r="P375" i="3"/>
  <c r="O375" i="3"/>
  <c r="N375" i="3"/>
  <c r="K375" i="3"/>
  <c r="J375" i="3"/>
  <c r="I375" i="3"/>
  <c r="H375" i="3"/>
  <c r="G375" i="3"/>
  <c r="F375" i="3"/>
  <c r="E375" i="3"/>
  <c r="D375" i="3"/>
  <c r="C375" i="3"/>
  <c r="L375" i="3" s="1"/>
  <c r="M375" i="3" s="1"/>
  <c r="B375" i="3"/>
  <c r="A375" i="3"/>
  <c r="AB374" i="3"/>
  <c r="AA374" i="3"/>
  <c r="Z374" i="3"/>
  <c r="Y374" i="3"/>
  <c r="X374" i="3"/>
  <c r="W374" i="3"/>
  <c r="V374" i="3"/>
  <c r="T374" i="3"/>
  <c r="S374" i="3"/>
  <c r="R374" i="3"/>
  <c r="Q374" i="3"/>
  <c r="P374" i="3"/>
  <c r="O374" i="3"/>
  <c r="N374" i="3"/>
  <c r="K374" i="3"/>
  <c r="J374" i="3"/>
  <c r="I374" i="3"/>
  <c r="H374" i="3"/>
  <c r="G374" i="3"/>
  <c r="F374" i="3"/>
  <c r="E374" i="3"/>
  <c r="D374" i="3"/>
  <c r="C374" i="3"/>
  <c r="L374" i="3" s="1"/>
  <c r="M374" i="3" s="1"/>
  <c r="B374" i="3"/>
  <c r="A374" i="3"/>
  <c r="AB373" i="3"/>
  <c r="AA373" i="3"/>
  <c r="Z373" i="3"/>
  <c r="Y373" i="3"/>
  <c r="X373" i="3"/>
  <c r="W373" i="3"/>
  <c r="V373" i="3"/>
  <c r="T373" i="3"/>
  <c r="S373" i="3"/>
  <c r="R373" i="3"/>
  <c r="Q373" i="3"/>
  <c r="P373" i="3"/>
  <c r="O373" i="3"/>
  <c r="N373" i="3"/>
  <c r="K373" i="3"/>
  <c r="J373" i="3"/>
  <c r="I373" i="3"/>
  <c r="H373" i="3"/>
  <c r="G373" i="3"/>
  <c r="F373" i="3"/>
  <c r="E373" i="3"/>
  <c r="D373" i="3"/>
  <c r="C373" i="3"/>
  <c r="L373" i="3" s="1"/>
  <c r="M373" i="3" s="1"/>
  <c r="B373" i="3"/>
  <c r="A373" i="3"/>
  <c r="AB372" i="3"/>
  <c r="AA372" i="3"/>
  <c r="Z372" i="3"/>
  <c r="Y372" i="3"/>
  <c r="X372" i="3"/>
  <c r="W372" i="3"/>
  <c r="V372" i="3"/>
  <c r="T372" i="3"/>
  <c r="S372" i="3"/>
  <c r="R372" i="3"/>
  <c r="Q372" i="3"/>
  <c r="P372" i="3"/>
  <c r="O372" i="3"/>
  <c r="N372" i="3"/>
  <c r="K372" i="3"/>
  <c r="J372" i="3"/>
  <c r="I372" i="3"/>
  <c r="H372" i="3"/>
  <c r="G372" i="3"/>
  <c r="F372" i="3"/>
  <c r="E372" i="3"/>
  <c r="D372" i="3"/>
  <c r="C372" i="3"/>
  <c r="L372" i="3" s="1"/>
  <c r="M372" i="3" s="1"/>
  <c r="B372" i="3"/>
  <c r="A372" i="3"/>
  <c r="AB371" i="3"/>
  <c r="AA371" i="3"/>
  <c r="Z371" i="3"/>
  <c r="Y371" i="3"/>
  <c r="X371" i="3"/>
  <c r="W371" i="3"/>
  <c r="V371" i="3"/>
  <c r="T371" i="3"/>
  <c r="S371" i="3"/>
  <c r="R371" i="3"/>
  <c r="Q371" i="3"/>
  <c r="P371" i="3"/>
  <c r="O371" i="3"/>
  <c r="N371" i="3"/>
  <c r="K371" i="3"/>
  <c r="J371" i="3"/>
  <c r="I371" i="3"/>
  <c r="H371" i="3"/>
  <c r="G371" i="3"/>
  <c r="F371" i="3"/>
  <c r="E371" i="3"/>
  <c r="D371" i="3"/>
  <c r="C371" i="3"/>
  <c r="L371" i="3" s="1"/>
  <c r="M371" i="3" s="1"/>
  <c r="B371" i="3"/>
  <c r="A371" i="3"/>
  <c r="AB370" i="3"/>
  <c r="AA370" i="3"/>
  <c r="Z370" i="3"/>
  <c r="Y370" i="3"/>
  <c r="X370" i="3"/>
  <c r="W370" i="3"/>
  <c r="V370" i="3"/>
  <c r="T370" i="3"/>
  <c r="S370" i="3"/>
  <c r="R370" i="3"/>
  <c r="Q370" i="3"/>
  <c r="P370" i="3"/>
  <c r="O370" i="3"/>
  <c r="N370" i="3"/>
  <c r="K370" i="3"/>
  <c r="J370" i="3"/>
  <c r="I370" i="3"/>
  <c r="H370" i="3"/>
  <c r="G370" i="3"/>
  <c r="F370" i="3"/>
  <c r="E370" i="3"/>
  <c r="D370" i="3"/>
  <c r="C370" i="3"/>
  <c r="L370" i="3" s="1"/>
  <c r="M370" i="3" s="1"/>
  <c r="B370" i="3"/>
  <c r="A370" i="3"/>
  <c r="AB369" i="3"/>
  <c r="AA369" i="3"/>
  <c r="Z369" i="3"/>
  <c r="Y369" i="3"/>
  <c r="X369" i="3"/>
  <c r="W369" i="3"/>
  <c r="V369" i="3"/>
  <c r="T369" i="3"/>
  <c r="S369" i="3"/>
  <c r="R369" i="3"/>
  <c r="Q369" i="3"/>
  <c r="P369" i="3"/>
  <c r="O369" i="3"/>
  <c r="N369" i="3"/>
  <c r="K369" i="3"/>
  <c r="J369" i="3"/>
  <c r="I369" i="3"/>
  <c r="H369" i="3"/>
  <c r="G369" i="3"/>
  <c r="F369" i="3"/>
  <c r="E369" i="3"/>
  <c r="D369" i="3"/>
  <c r="C369" i="3"/>
  <c r="L369" i="3" s="1"/>
  <c r="M369" i="3" s="1"/>
  <c r="B369" i="3"/>
  <c r="A369" i="3"/>
  <c r="AB368" i="3"/>
  <c r="AA368" i="3"/>
  <c r="Z368" i="3"/>
  <c r="Y368" i="3"/>
  <c r="X368" i="3"/>
  <c r="W368" i="3"/>
  <c r="V368" i="3"/>
  <c r="T368" i="3"/>
  <c r="S368" i="3"/>
  <c r="R368" i="3"/>
  <c r="Q368" i="3"/>
  <c r="P368" i="3"/>
  <c r="O368" i="3"/>
  <c r="N368" i="3"/>
  <c r="K368" i="3"/>
  <c r="J368" i="3"/>
  <c r="I368" i="3"/>
  <c r="H368" i="3"/>
  <c r="G368" i="3"/>
  <c r="F368" i="3"/>
  <c r="E368" i="3"/>
  <c r="D368" i="3"/>
  <c r="C368" i="3"/>
  <c r="L368" i="3" s="1"/>
  <c r="M368" i="3" s="1"/>
  <c r="B368" i="3"/>
  <c r="A368" i="3"/>
  <c r="AB367" i="3"/>
  <c r="AA367" i="3"/>
  <c r="Z367" i="3"/>
  <c r="Y367" i="3"/>
  <c r="X367" i="3"/>
  <c r="W367" i="3"/>
  <c r="V367" i="3"/>
  <c r="T367" i="3"/>
  <c r="S367" i="3"/>
  <c r="R367" i="3"/>
  <c r="Q367" i="3"/>
  <c r="P367" i="3"/>
  <c r="O367" i="3"/>
  <c r="N367" i="3"/>
  <c r="K367" i="3"/>
  <c r="J367" i="3"/>
  <c r="I367" i="3"/>
  <c r="H367" i="3"/>
  <c r="G367" i="3"/>
  <c r="F367" i="3"/>
  <c r="E367" i="3"/>
  <c r="D367" i="3"/>
  <c r="C367" i="3"/>
  <c r="L367" i="3" s="1"/>
  <c r="M367" i="3" s="1"/>
  <c r="B367" i="3"/>
  <c r="A367" i="3"/>
  <c r="AB366" i="3"/>
  <c r="AA366" i="3"/>
  <c r="Z366" i="3"/>
  <c r="Y366" i="3"/>
  <c r="X366" i="3"/>
  <c r="W366" i="3"/>
  <c r="V366" i="3"/>
  <c r="T366" i="3"/>
  <c r="S366" i="3"/>
  <c r="R366" i="3"/>
  <c r="Q366" i="3"/>
  <c r="P366" i="3"/>
  <c r="O366" i="3"/>
  <c r="N366" i="3"/>
  <c r="K366" i="3"/>
  <c r="J366" i="3"/>
  <c r="I366" i="3"/>
  <c r="H366" i="3"/>
  <c r="G366" i="3"/>
  <c r="F366" i="3"/>
  <c r="E366" i="3"/>
  <c r="D366" i="3"/>
  <c r="C366" i="3"/>
  <c r="L366" i="3" s="1"/>
  <c r="M366" i="3" s="1"/>
  <c r="B366" i="3"/>
  <c r="A366" i="3"/>
  <c r="AB365" i="3"/>
  <c r="AA365" i="3"/>
  <c r="Z365" i="3"/>
  <c r="Y365" i="3"/>
  <c r="X365" i="3"/>
  <c r="W365" i="3"/>
  <c r="V365" i="3"/>
  <c r="T365" i="3"/>
  <c r="S365" i="3"/>
  <c r="R365" i="3"/>
  <c r="Q365" i="3"/>
  <c r="P365" i="3"/>
  <c r="O365" i="3"/>
  <c r="N365" i="3"/>
  <c r="K365" i="3"/>
  <c r="J365" i="3"/>
  <c r="I365" i="3"/>
  <c r="H365" i="3"/>
  <c r="G365" i="3"/>
  <c r="F365" i="3"/>
  <c r="E365" i="3"/>
  <c r="D365" i="3"/>
  <c r="C365" i="3"/>
  <c r="L365" i="3" s="1"/>
  <c r="M365" i="3" s="1"/>
  <c r="B365" i="3"/>
  <c r="A365" i="3"/>
  <c r="AB364" i="3"/>
  <c r="AA364" i="3"/>
  <c r="Z364" i="3"/>
  <c r="Y364" i="3"/>
  <c r="X364" i="3"/>
  <c r="W364" i="3"/>
  <c r="V364" i="3"/>
  <c r="T364" i="3"/>
  <c r="S364" i="3"/>
  <c r="R364" i="3"/>
  <c r="Q364" i="3"/>
  <c r="P364" i="3"/>
  <c r="O364" i="3"/>
  <c r="N364" i="3"/>
  <c r="K364" i="3"/>
  <c r="J364" i="3"/>
  <c r="I364" i="3"/>
  <c r="H364" i="3"/>
  <c r="G364" i="3"/>
  <c r="F364" i="3"/>
  <c r="E364" i="3"/>
  <c r="D364" i="3"/>
  <c r="C364" i="3"/>
  <c r="L364" i="3" s="1"/>
  <c r="M364" i="3" s="1"/>
  <c r="B364" i="3"/>
  <c r="A364" i="3"/>
  <c r="AB363" i="3"/>
  <c r="AA363" i="3"/>
  <c r="Z363" i="3"/>
  <c r="Y363" i="3"/>
  <c r="X363" i="3"/>
  <c r="W363" i="3"/>
  <c r="V363" i="3"/>
  <c r="T363" i="3"/>
  <c r="S363" i="3"/>
  <c r="R363" i="3"/>
  <c r="Q363" i="3"/>
  <c r="P363" i="3"/>
  <c r="O363" i="3"/>
  <c r="N363" i="3"/>
  <c r="K363" i="3"/>
  <c r="J363" i="3"/>
  <c r="I363" i="3"/>
  <c r="H363" i="3"/>
  <c r="G363" i="3"/>
  <c r="F363" i="3"/>
  <c r="E363" i="3"/>
  <c r="D363" i="3"/>
  <c r="C363" i="3"/>
  <c r="L363" i="3" s="1"/>
  <c r="M363" i="3" s="1"/>
  <c r="B363" i="3"/>
  <c r="A363" i="3"/>
  <c r="AB362" i="3"/>
  <c r="AA362" i="3"/>
  <c r="Z362" i="3"/>
  <c r="Y362" i="3"/>
  <c r="X362" i="3"/>
  <c r="W362" i="3"/>
  <c r="V362" i="3"/>
  <c r="T362" i="3"/>
  <c r="S362" i="3"/>
  <c r="R362" i="3"/>
  <c r="Q362" i="3"/>
  <c r="P362" i="3"/>
  <c r="O362" i="3"/>
  <c r="N362" i="3"/>
  <c r="K362" i="3"/>
  <c r="J362" i="3"/>
  <c r="I362" i="3"/>
  <c r="H362" i="3"/>
  <c r="G362" i="3"/>
  <c r="F362" i="3"/>
  <c r="E362" i="3"/>
  <c r="D362" i="3"/>
  <c r="C362" i="3"/>
  <c r="L362" i="3" s="1"/>
  <c r="M362" i="3" s="1"/>
  <c r="B362" i="3"/>
  <c r="A362" i="3"/>
  <c r="AB361" i="3"/>
  <c r="AA361" i="3"/>
  <c r="Z361" i="3"/>
  <c r="Y361" i="3"/>
  <c r="X361" i="3"/>
  <c r="W361" i="3"/>
  <c r="V361" i="3"/>
  <c r="T361" i="3"/>
  <c r="S361" i="3"/>
  <c r="R361" i="3"/>
  <c r="Q361" i="3"/>
  <c r="P361" i="3"/>
  <c r="O361" i="3"/>
  <c r="N361" i="3"/>
  <c r="K361" i="3"/>
  <c r="J361" i="3"/>
  <c r="I361" i="3"/>
  <c r="H361" i="3"/>
  <c r="G361" i="3"/>
  <c r="F361" i="3"/>
  <c r="E361" i="3"/>
  <c r="D361" i="3"/>
  <c r="C361" i="3"/>
  <c r="L361" i="3" s="1"/>
  <c r="M361" i="3" s="1"/>
  <c r="B361" i="3"/>
  <c r="A361" i="3"/>
  <c r="AB360" i="3"/>
  <c r="AA360" i="3"/>
  <c r="Z360" i="3"/>
  <c r="Y360" i="3"/>
  <c r="X360" i="3"/>
  <c r="W360" i="3"/>
  <c r="V360" i="3"/>
  <c r="T360" i="3"/>
  <c r="S360" i="3"/>
  <c r="R360" i="3"/>
  <c r="Q360" i="3"/>
  <c r="P360" i="3"/>
  <c r="O360" i="3"/>
  <c r="N360" i="3"/>
  <c r="K360" i="3"/>
  <c r="J360" i="3"/>
  <c r="I360" i="3"/>
  <c r="H360" i="3"/>
  <c r="G360" i="3"/>
  <c r="F360" i="3"/>
  <c r="E360" i="3"/>
  <c r="D360" i="3"/>
  <c r="C360" i="3"/>
  <c r="L360" i="3" s="1"/>
  <c r="M360" i="3" s="1"/>
  <c r="B360" i="3"/>
  <c r="A360" i="3"/>
  <c r="AB359" i="3"/>
  <c r="AA359" i="3"/>
  <c r="Z359" i="3"/>
  <c r="Y359" i="3"/>
  <c r="X359" i="3"/>
  <c r="W359" i="3"/>
  <c r="V359" i="3"/>
  <c r="T359" i="3"/>
  <c r="S359" i="3"/>
  <c r="R359" i="3"/>
  <c r="Q359" i="3"/>
  <c r="P359" i="3"/>
  <c r="O359" i="3"/>
  <c r="N359" i="3"/>
  <c r="K359" i="3"/>
  <c r="J359" i="3"/>
  <c r="I359" i="3"/>
  <c r="H359" i="3"/>
  <c r="G359" i="3"/>
  <c r="F359" i="3"/>
  <c r="E359" i="3"/>
  <c r="D359" i="3"/>
  <c r="C359" i="3"/>
  <c r="L359" i="3" s="1"/>
  <c r="M359" i="3" s="1"/>
  <c r="B359" i="3"/>
  <c r="A359" i="3"/>
  <c r="AB358" i="3"/>
  <c r="AA358" i="3"/>
  <c r="Z358" i="3"/>
  <c r="Y358" i="3"/>
  <c r="X358" i="3"/>
  <c r="W358" i="3"/>
  <c r="V358" i="3"/>
  <c r="T358" i="3"/>
  <c r="S358" i="3"/>
  <c r="R358" i="3"/>
  <c r="Q358" i="3"/>
  <c r="P358" i="3"/>
  <c r="O358" i="3"/>
  <c r="N358" i="3"/>
  <c r="K358" i="3"/>
  <c r="J358" i="3"/>
  <c r="I358" i="3"/>
  <c r="H358" i="3"/>
  <c r="G358" i="3"/>
  <c r="F358" i="3"/>
  <c r="E358" i="3"/>
  <c r="D358" i="3"/>
  <c r="C358" i="3"/>
  <c r="L358" i="3" s="1"/>
  <c r="M358" i="3" s="1"/>
  <c r="B358" i="3"/>
  <c r="A358" i="3"/>
  <c r="AB357" i="3"/>
  <c r="AA357" i="3"/>
  <c r="Z357" i="3"/>
  <c r="Y357" i="3"/>
  <c r="X357" i="3"/>
  <c r="W357" i="3"/>
  <c r="V357" i="3"/>
  <c r="T357" i="3"/>
  <c r="S357" i="3"/>
  <c r="R357" i="3"/>
  <c r="Q357" i="3"/>
  <c r="P357" i="3"/>
  <c r="O357" i="3"/>
  <c r="N357" i="3"/>
  <c r="K357" i="3"/>
  <c r="J357" i="3"/>
  <c r="I357" i="3"/>
  <c r="H357" i="3"/>
  <c r="G357" i="3"/>
  <c r="F357" i="3"/>
  <c r="E357" i="3"/>
  <c r="D357" i="3"/>
  <c r="C357" i="3"/>
  <c r="L357" i="3" s="1"/>
  <c r="M357" i="3" s="1"/>
  <c r="B357" i="3"/>
  <c r="A357" i="3"/>
  <c r="AB356" i="3"/>
  <c r="AA356" i="3"/>
  <c r="Z356" i="3"/>
  <c r="Y356" i="3"/>
  <c r="X356" i="3"/>
  <c r="W356" i="3"/>
  <c r="V356" i="3"/>
  <c r="T356" i="3"/>
  <c r="S356" i="3"/>
  <c r="R356" i="3"/>
  <c r="Q356" i="3"/>
  <c r="P356" i="3"/>
  <c r="O356" i="3"/>
  <c r="N356" i="3"/>
  <c r="K356" i="3"/>
  <c r="J356" i="3"/>
  <c r="I356" i="3"/>
  <c r="H356" i="3"/>
  <c r="G356" i="3"/>
  <c r="F356" i="3"/>
  <c r="E356" i="3"/>
  <c r="D356" i="3"/>
  <c r="C356" i="3"/>
  <c r="L356" i="3" s="1"/>
  <c r="M356" i="3" s="1"/>
  <c r="B356" i="3"/>
  <c r="A356" i="3"/>
  <c r="AB355" i="3"/>
  <c r="AA355" i="3"/>
  <c r="Z355" i="3"/>
  <c r="Y355" i="3"/>
  <c r="X355" i="3"/>
  <c r="W355" i="3"/>
  <c r="V355" i="3"/>
  <c r="T355" i="3"/>
  <c r="S355" i="3"/>
  <c r="R355" i="3"/>
  <c r="Q355" i="3"/>
  <c r="P355" i="3"/>
  <c r="O355" i="3"/>
  <c r="N355" i="3"/>
  <c r="K355" i="3"/>
  <c r="J355" i="3"/>
  <c r="I355" i="3"/>
  <c r="H355" i="3"/>
  <c r="G355" i="3"/>
  <c r="F355" i="3"/>
  <c r="E355" i="3"/>
  <c r="D355" i="3"/>
  <c r="C355" i="3"/>
  <c r="L355" i="3" s="1"/>
  <c r="M355" i="3" s="1"/>
  <c r="B355" i="3"/>
  <c r="A355" i="3"/>
  <c r="AB354" i="3"/>
  <c r="AA354" i="3"/>
  <c r="Z354" i="3"/>
  <c r="Y354" i="3"/>
  <c r="X354" i="3"/>
  <c r="W354" i="3"/>
  <c r="V354" i="3"/>
  <c r="T354" i="3"/>
  <c r="S354" i="3"/>
  <c r="R354" i="3"/>
  <c r="Q354" i="3"/>
  <c r="P354" i="3"/>
  <c r="O354" i="3"/>
  <c r="N354" i="3"/>
  <c r="K354" i="3"/>
  <c r="J354" i="3"/>
  <c r="I354" i="3"/>
  <c r="H354" i="3"/>
  <c r="G354" i="3"/>
  <c r="F354" i="3"/>
  <c r="E354" i="3"/>
  <c r="D354" i="3"/>
  <c r="C354" i="3"/>
  <c r="L354" i="3" s="1"/>
  <c r="M354" i="3" s="1"/>
  <c r="B354" i="3"/>
  <c r="A354" i="3"/>
  <c r="AB353" i="3"/>
  <c r="AA353" i="3"/>
  <c r="Z353" i="3"/>
  <c r="Y353" i="3"/>
  <c r="X353" i="3"/>
  <c r="W353" i="3"/>
  <c r="V353" i="3"/>
  <c r="T353" i="3"/>
  <c r="S353" i="3"/>
  <c r="R353" i="3"/>
  <c r="Q353" i="3"/>
  <c r="P353" i="3"/>
  <c r="O353" i="3"/>
  <c r="N353" i="3"/>
  <c r="K353" i="3"/>
  <c r="J353" i="3"/>
  <c r="I353" i="3"/>
  <c r="H353" i="3"/>
  <c r="G353" i="3"/>
  <c r="F353" i="3"/>
  <c r="E353" i="3"/>
  <c r="D353" i="3"/>
  <c r="C353" i="3"/>
  <c r="L353" i="3" s="1"/>
  <c r="M353" i="3" s="1"/>
  <c r="B353" i="3"/>
  <c r="A353" i="3"/>
  <c r="AB352" i="3"/>
  <c r="AC352" i="3" s="1"/>
  <c r="AA352" i="3"/>
  <c r="Z352" i="3"/>
  <c r="Y352" i="3"/>
  <c r="X352" i="3"/>
  <c r="W352" i="3"/>
  <c r="V352" i="3"/>
  <c r="T352" i="3"/>
  <c r="S352" i="3"/>
  <c r="R352" i="3"/>
  <c r="Q352" i="3"/>
  <c r="P352" i="3"/>
  <c r="O352" i="3"/>
  <c r="N352" i="3"/>
  <c r="K352" i="3"/>
  <c r="J352" i="3"/>
  <c r="I352" i="3"/>
  <c r="H352" i="3"/>
  <c r="G352" i="3"/>
  <c r="F352" i="3"/>
  <c r="E352" i="3"/>
  <c r="D352" i="3"/>
  <c r="C352" i="3"/>
  <c r="L352" i="3" s="1"/>
  <c r="M352" i="3" s="1"/>
  <c r="B352" i="3"/>
  <c r="A352" i="3"/>
  <c r="AB351" i="3"/>
  <c r="AA351" i="3"/>
  <c r="Z351" i="3"/>
  <c r="Y351" i="3"/>
  <c r="X351" i="3"/>
  <c r="W351" i="3"/>
  <c r="V351" i="3"/>
  <c r="T351" i="3"/>
  <c r="S351" i="3"/>
  <c r="R351" i="3"/>
  <c r="Q351" i="3"/>
  <c r="P351" i="3"/>
  <c r="O351" i="3"/>
  <c r="N351" i="3"/>
  <c r="K351" i="3"/>
  <c r="J351" i="3"/>
  <c r="I351" i="3"/>
  <c r="H351" i="3"/>
  <c r="G351" i="3"/>
  <c r="F351" i="3"/>
  <c r="E351" i="3"/>
  <c r="D351" i="3"/>
  <c r="C351" i="3"/>
  <c r="L351" i="3" s="1"/>
  <c r="M351" i="3" s="1"/>
  <c r="B351" i="3"/>
  <c r="A351" i="3"/>
  <c r="AC350" i="3"/>
  <c r="AB350" i="3"/>
  <c r="AA350" i="3"/>
  <c r="Z350" i="3"/>
  <c r="Y350" i="3"/>
  <c r="X350" i="3"/>
  <c r="W350" i="3"/>
  <c r="V350" i="3"/>
  <c r="T350" i="3"/>
  <c r="S350" i="3"/>
  <c r="R350" i="3"/>
  <c r="Q350" i="3"/>
  <c r="P350" i="3"/>
  <c r="O350" i="3"/>
  <c r="N350" i="3"/>
  <c r="K350" i="3"/>
  <c r="J350" i="3"/>
  <c r="I350" i="3"/>
  <c r="H350" i="3"/>
  <c r="G350" i="3"/>
  <c r="F350" i="3"/>
  <c r="E350" i="3"/>
  <c r="D350" i="3"/>
  <c r="C350" i="3"/>
  <c r="L350" i="3" s="1"/>
  <c r="M350" i="3" s="1"/>
  <c r="B350" i="3"/>
  <c r="A350" i="3"/>
  <c r="AB349" i="3"/>
  <c r="AA349" i="3"/>
  <c r="Z349" i="3"/>
  <c r="Y349" i="3"/>
  <c r="X349" i="3"/>
  <c r="W349" i="3"/>
  <c r="V349" i="3"/>
  <c r="T349" i="3"/>
  <c r="S349" i="3"/>
  <c r="R349" i="3"/>
  <c r="Q349" i="3"/>
  <c r="P349" i="3"/>
  <c r="O349" i="3"/>
  <c r="N349" i="3"/>
  <c r="K349" i="3"/>
  <c r="J349" i="3"/>
  <c r="I349" i="3"/>
  <c r="H349" i="3"/>
  <c r="G349" i="3"/>
  <c r="F349" i="3"/>
  <c r="E349" i="3"/>
  <c r="D349" i="3"/>
  <c r="C349" i="3"/>
  <c r="L349" i="3" s="1"/>
  <c r="M349" i="3" s="1"/>
  <c r="B349" i="3"/>
  <c r="A349" i="3"/>
  <c r="AB348" i="3"/>
  <c r="AA348" i="3"/>
  <c r="Z348" i="3"/>
  <c r="Y348" i="3"/>
  <c r="X348" i="3"/>
  <c r="W348" i="3"/>
  <c r="V348" i="3"/>
  <c r="T348" i="3"/>
  <c r="S348" i="3"/>
  <c r="R348" i="3"/>
  <c r="Q348" i="3"/>
  <c r="P348" i="3"/>
  <c r="O348" i="3"/>
  <c r="N348" i="3"/>
  <c r="K348" i="3"/>
  <c r="J348" i="3"/>
  <c r="I348" i="3"/>
  <c r="H348" i="3"/>
  <c r="G348" i="3"/>
  <c r="F348" i="3"/>
  <c r="E348" i="3"/>
  <c r="D348" i="3"/>
  <c r="C348" i="3"/>
  <c r="L348" i="3" s="1"/>
  <c r="M348" i="3" s="1"/>
  <c r="B348" i="3"/>
  <c r="A348" i="3"/>
  <c r="AB347" i="3"/>
  <c r="AA347" i="3"/>
  <c r="Z347" i="3"/>
  <c r="Y347" i="3"/>
  <c r="X347" i="3"/>
  <c r="W347" i="3"/>
  <c r="V347" i="3"/>
  <c r="T347" i="3"/>
  <c r="S347" i="3"/>
  <c r="R347" i="3"/>
  <c r="Q347" i="3"/>
  <c r="P347" i="3"/>
  <c r="O347" i="3"/>
  <c r="N347" i="3"/>
  <c r="K347" i="3"/>
  <c r="J347" i="3"/>
  <c r="I347" i="3"/>
  <c r="H347" i="3"/>
  <c r="G347" i="3"/>
  <c r="F347" i="3"/>
  <c r="E347" i="3"/>
  <c r="D347" i="3"/>
  <c r="C347" i="3"/>
  <c r="L347" i="3" s="1"/>
  <c r="M347" i="3" s="1"/>
  <c r="B347" i="3"/>
  <c r="A347" i="3"/>
  <c r="AB346" i="3"/>
  <c r="AA346" i="3"/>
  <c r="Z346" i="3"/>
  <c r="Y346" i="3"/>
  <c r="X346" i="3"/>
  <c r="W346" i="3"/>
  <c r="V346" i="3"/>
  <c r="T346" i="3"/>
  <c r="S346" i="3"/>
  <c r="R346" i="3"/>
  <c r="Q346" i="3"/>
  <c r="P346" i="3"/>
  <c r="O346" i="3"/>
  <c r="N346" i="3"/>
  <c r="K346" i="3"/>
  <c r="J346" i="3"/>
  <c r="I346" i="3"/>
  <c r="H346" i="3"/>
  <c r="G346" i="3"/>
  <c r="F346" i="3"/>
  <c r="E346" i="3"/>
  <c r="D346" i="3"/>
  <c r="C346" i="3"/>
  <c r="L346" i="3" s="1"/>
  <c r="M346" i="3" s="1"/>
  <c r="B346" i="3"/>
  <c r="A346" i="3"/>
  <c r="AB345" i="3"/>
  <c r="AA345" i="3"/>
  <c r="Z345" i="3"/>
  <c r="Y345" i="3"/>
  <c r="X345" i="3"/>
  <c r="W345" i="3"/>
  <c r="V345" i="3"/>
  <c r="T345" i="3"/>
  <c r="S345" i="3"/>
  <c r="R345" i="3"/>
  <c r="Q345" i="3"/>
  <c r="P345" i="3"/>
  <c r="O345" i="3"/>
  <c r="N345" i="3"/>
  <c r="K345" i="3"/>
  <c r="J345" i="3"/>
  <c r="I345" i="3"/>
  <c r="H345" i="3"/>
  <c r="G345" i="3"/>
  <c r="F345" i="3"/>
  <c r="E345" i="3"/>
  <c r="D345" i="3"/>
  <c r="C345" i="3"/>
  <c r="L345" i="3" s="1"/>
  <c r="M345" i="3" s="1"/>
  <c r="B345" i="3"/>
  <c r="A345" i="3"/>
  <c r="AB344" i="3"/>
  <c r="AA344" i="3"/>
  <c r="Z344" i="3"/>
  <c r="Y344" i="3"/>
  <c r="X344" i="3"/>
  <c r="W344" i="3"/>
  <c r="V344" i="3"/>
  <c r="T344" i="3"/>
  <c r="S344" i="3"/>
  <c r="R344" i="3"/>
  <c r="Q344" i="3"/>
  <c r="P344" i="3"/>
  <c r="O344" i="3"/>
  <c r="N344" i="3"/>
  <c r="K344" i="3"/>
  <c r="J344" i="3"/>
  <c r="I344" i="3"/>
  <c r="H344" i="3"/>
  <c r="G344" i="3"/>
  <c r="F344" i="3"/>
  <c r="E344" i="3"/>
  <c r="D344" i="3"/>
  <c r="C344" i="3"/>
  <c r="L344" i="3" s="1"/>
  <c r="M344" i="3" s="1"/>
  <c r="B344" i="3"/>
  <c r="A344" i="3"/>
  <c r="AB343" i="3"/>
  <c r="AC343" i="3" s="1"/>
  <c r="AA343" i="3"/>
  <c r="Z343" i="3"/>
  <c r="Y343" i="3"/>
  <c r="X343" i="3"/>
  <c r="W343" i="3"/>
  <c r="V343" i="3"/>
  <c r="T343" i="3"/>
  <c r="S343" i="3"/>
  <c r="R343" i="3"/>
  <c r="Q343" i="3"/>
  <c r="P343" i="3"/>
  <c r="O343" i="3"/>
  <c r="N343" i="3"/>
  <c r="K343" i="3"/>
  <c r="J343" i="3"/>
  <c r="I343" i="3"/>
  <c r="H343" i="3"/>
  <c r="G343" i="3"/>
  <c r="F343" i="3"/>
  <c r="E343" i="3"/>
  <c r="D343" i="3"/>
  <c r="C343" i="3"/>
  <c r="L343" i="3" s="1"/>
  <c r="M343" i="3" s="1"/>
  <c r="B343" i="3"/>
  <c r="A343" i="3"/>
  <c r="AB342" i="3"/>
  <c r="AC342" i="3" s="1"/>
  <c r="AA342" i="3"/>
  <c r="Z342" i="3"/>
  <c r="Y342" i="3"/>
  <c r="X342" i="3"/>
  <c r="W342" i="3"/>
  <c r="V342" i="3"/>
  <c r="T342" i="3"/>
  <c r="S342" i="3"/>
  <c r="R342" i="3"/>
  <c r="Q342" i="3"/>
  <c r="P342" i="3"/>
  <c r="O342" i="3"/>
  <c r="N342" i="3"/>
  <c r="K342" i="3"/>
  <c r="J342" i="3"/>
  <c r="I342" i="3"/>
  <c r="H342" i="3"/>
  <c r="G342" i="3"/>
  <c r="F342" i="3"/>
  <c r="E342" i="3"/>
  <c r="D342" i="3"/>
  <c r="C342" i="3"/>
  <c r="L342" i="3" s="1"/>
  <c r="M342" i="3" s="1"/>
  <c r="B342" i="3"/>
  <c r="A342" i="3"/>
  <c r="AB341" i="3"/>
  <c r="AA341" i="3"/>
  <c r="Z341" i="3"/>
  <c r="Y341" i="3"/>
  <c r="X341" i="3"/>
  <c r="W341" i="3"/>
  <c r="V341" i="3"/>
  <c r="T341" i="3"/>
  <c r="S341" i="3"/>
  <c r="R341" i="3"/>
  <c r="Q341" i="3"/>
  <c r="P341" i="3"/>
  <c r="O341" i="3"/>
  <c r="N341" i="3"/>
  <c r="K341" i="3"/>
  <c r="J341" i="3"/>
  <c r="I341" i="3"/>
  <c r="H341" i="3"/>
  <c r="G341" i="3"/>
  <c r="F341" i="3"/>
  <c r="E341" i="3"/>
  <c r="D341" i="3"/>
  <c r="C341" i="3"/>
  <c r="L341" i="3" s="1"/>
  <c r="M341" i="3" s="1"/>
  <c r="B341" i="3"/>
  <c r="A341" i="3"/>
  <c r="AB340" i="3"/>
  <c r="AA340" i="3"/>
  <c r="Z340" i="3"/>
  <c r="Y340" i="3"/>
  <c r="X340" i="3"/>
  <c r="W340" i="3"/>
  <c r="V340" i="3"/>
  <c r="T340" i="3"/>
  <c r="S340" i="3"/>
  <c r="R340" i="3"/>
  <c r="Q340" i="3"/>
  <c r="P340" i="3"/>
  <c r="O340" i="3"/>
  <c r="N340" i="3"/>
  <c r="K340" i="3"/>
  <c r="J340" i="3"/>
  <c r="I340" i="3"/>
  <c r="H340" i="3"/>
  <c r="G340" i="3"/>
  <c r="F340" i="3"/>
  <c r="E340" i="3"/>
  <c r="D340" i="3"/>
  <c r="C340" i="3"/>
  <c r="L340" i="3" s="1"/>
  <c r="M340" i="3" s="1"/>
  <c r="B340" i="3"/>
  <c r="A340" i="3"/>
  <c r="AB339" i="3"/>
  <c r="AA339" i="3"/>
  <c r="Z339" i="3"/>
  <c r="Y339" i="3"/>
  <c r="X339" i="3"/>
  <c r="W339" i="3"/>
  <c r="V339" i="3"/>
  <c r="T339" i="3"/>
  <c r="S339" i="3"/>
  <c r="R339" i="3"/>
  <c r="Q339" i="3"/>
  <c r="P339" i="3"/>
  <c r="O339" i="3"/>
  <c r="N339" i="3"/>
  <c r="K339" i="3"/>
  <c r="J339" i="3"/>
  <c r="I339" i="3"/>
  <c r="H339" i="3"/>
  <c r="G339" i="3"/>
  <c r="F339" i="3"/>
  <c r="E339" i="3"/>
  <c r="D339" i="3"/>
  <c r="C339" i="3"/>
  <c r="L339" i="3" s="1"/>
  <c r="M339" i="3" s="1"/>
  <c r="B339" i="3"/>
  <c r="A339" i="3"/>
  <c r="AB338" i="3"/>
  <c r="AA338" i="3"/>
  <c r="Z338" i="3"/>
  <c r="Y338" i="3"/>
  <c r="X338" i="3"/>
  <c r="W338" i="3"/>
  <c r="V338" i="3"/>
  <c r="T338" i="3"/>
  <c r="S338" i="3"/>
  <c r="R338" i="3"/>
  <c r="Q338" i="3"/>
  <c r="P338" i="3"/>
  <c r="O338" i="3"/>
  <c r="N338" i="3"/>
  <c r="K338" i="3"/>
  <c r="J338" i="3"/>
  <c r="I338" i="3"/>
  <c r="H338" i="3"/>
  <c r="G338" i="3"/>
  <c r="F338" i="3"/>
  <c r="E338" i="3"/>
  <c r="D338" i="3"/>
  <c r="C338" i="3"/>
  <c r="L338" i="3" s="1"/>
  <c r="M338" i="3" s="1"/>
  <c r="B338" i="3"/>
  <c r="A338" i="3"/>
  <c r="AB337" i="3"/>
  <c r="AA337" i="3"/>
  <c r="Z337" i="3"/>
  <c r="Y337" i="3"/>
  <c r="X337" i="3"/>
  <c r="W337" i="3"/>
  <c r="V337" i="3"/>
  <c r="T337" i="3"/>
  <c r="S337" i="3"/>
  <c r="R337" i="3"/>
  <c r="Q337" i="3"/>
  <c r="P337" i="3"/>
  <c r="O337" i="3"/>
  <c r="N337" i="3"/>
  <c r="K337" i="3"/>
  <c r="J337" i="3"/>
  <c r="I337" i="3"/>
  <c r="H337" i="3"/>
  <c r="G337" i="3"/>
  <c r="F337" i="3"/>
  <c r="E337" i="3"/>
  <c r="D337" i="3"/>
  <c r="C337" i="3"/>
  <c r="L337" i="3" s="1"/>
  <c r="M337" i="3" s="1"/>
  <c r="B337" i="3"/>
  <c r="A337" i="3"/>
  <c r="AB336" i="3"/>
  <c r="AA336" i="3"/>
  <c r="Z336" i="3"/>
  <c r="Y336" i="3"/>
  <c r="X336" i="3"/>
  <c r="W336" i="3"/>
  <c r="V336" i="3"/>
  <c r="T336" i="3"/>
  <c r="S336" i="3"/>
  <c r="R336" i="3"/>
  <c r="Q336" i="3"/>
  <c r="P336" i="3"/>
  <c r="O336" i="3"/>
  <c r="N336" i="3"/>
  <c r="K336" i="3"/>
  <c r="J336" i="3"/>
  <c r="I336" i="3"/>
  <c r="H336" i="3"/>
  <c r="G336" i="3"/>
  <c r="F336" i="3"/>
  <c r="E336" i="3"/>
  <c r="D336" i="3"/>
  <c r="C336" i="3"/>
  <c r="L336" i="3" s="1"/>
  <c r="M336" i="3" s="1"/>
  <c r="B336" i="3"/>
  <c r="A336" i="3"/>
  <c r="AB335" i="3"/>
  <c r="AA335" i="3"/>
  <c r="Z335" i="3"/>
  <c r="Y335" i="3"/>
  <c r="X335" i="3"/>
  <c r="W335" i="3"/>
  <c r="V335" i="3"/>
  <c r="T335" i="3"/>
  <c r="S335" i="3"/>
  <c r="R335" i="3"/>
  <c r="Q335" i="3"/>
  <c r="P335" i="3"/>
  <c r="O335" i="3"/>
  <c r="N335" i="3"/>
  <c r="K335" i="3"/>
  <c r="J335" i="3"/>
  <c r="I335" i="3"/>
  <c r="H335" i="3"/>
  <c r="G335" i="3"/>
  <c r="F335" i="3"/>
  <c r="E335" i="3"/>
  <c r="D335" i="3"/>
  <c r="C335" i="3"/>
  <c r="L335" i="3" s="1"/>
  <c r="M335" i="3" s="1"/>
  <c r="B335" i="3"/>
  <c r="A335" i="3"/>
  <c r="AB334" i="3"/>
  <c r="AA334" i="3"/>
  <c r="Z334" i="3"/>
  <c r="Y334" i="3"/>
  <c r="X334" i="3"/>
  <c r="W334" i="3"/>
  <c r="V334" i="3"/>
  <c r="T334" i="3"/>
  <c r="S334" i="3"/>
  <c r="R334" i="3"/>
  <c r="Q334" i="3"/>
  <c r="P334" i="3"/>
  <c r="O334" i="3"/>
  <c r="N334" i="3"/>
  <c r="K334" i="3"/>
  <c r="J334" i="3"/>
  <c r="I334" i="3"/>
  <c r="H334" i="3"/>
  <c r="G334" i="3"/>
  <c r="F334" i="3"/>
  <c r="E334" i="3"/>
  <c r="D334" i="3"/>
  <c r="C334" i="3"/>
  <c r="L334" i="3" s="1"/>
  <c r="M334" i="3" s="1"/>
  <c r="B334" i="3"/>
  <c r="A334" i="3"/>
  <c r="AB333" i="3"/>
  <c r="AA333" i="3"/>
  <c r="Z333" i="3"/>
  <c r="Y333" i="3"/>
  <c r="X333" i="3"/>
  <c r="W333" i="3"/>
  <c r="V333" i="3"/>
  <c r="T333" i="3"/>
  <c r="S333" i="3"/>
  <c r="R333" i="3"/>
  <c r="Q333" i="3"/>
  <c r="P333" i="3"/>
  <c r="O333" i="3"/>
  <c r="N333" i="3"/>
  <c r="K333" i="3"/>
  <c r="J333" i="3"/>
  <c r="I333" i="3"/>
  <c r="H333" i="3"/>
  <c r="G333" i="3"/>
  <c r="F333" i="3"/>
  <c r="E333" i="3"/>
  <c r="D333" i="3"/>
  <c r="C333" i="3"/>
  <c r="L333" i="3" s="1"/>
  <c r="M333" i="3" s="1"/>
  <c r="B333" i="3"/>
  <c r="A333" i="3"/>
  <c r="AB332" i="3"/>
  <c r="AA332" i="3"/>
  <c r="Z332" i="3"/>
  <c r="Y332" i="3"/>
  <c r="X332" i="3"/>
  <c r="W332" i="3"/>
  <c r="V332" i="3"/>
  <c r="T332" i="3"/>
  <c r="S332" i="3"/>
  <c r="R332" i="3"/>
  <c r="Q332" i="3"/>
  <c r="P332" i="3"/>
  <c r="O332" i="3"/>
  <c r="N332" i="3"/>
  <c r="K332" i="3"/>
  <c r="J332" i="3"/>
  <c r="I332" i="3"/>
  <c r="H332" i="3"/>
  <c r="G332" i="3"/>
  <c r="F332" i="3"/>
  <c r="E332" i="3"/>
  <c r="D332" i="3"/>
  <c r="C332" i="3"/>
  <c r="L332" i="3" s="1"/>
  <c r="M332" i="3" s="1"/>
  <c r="B332" i="3"/>
  <c r="A332" i="3"/>
  <c r="AB331" i="3"/>
  <c r="AA331" i="3"/>
  <c r="Z331" i="3"/>
  <c r="Y331" i="3"/>
  <c r="X331" i="3"/>
  <c r="W331" i="3"/>
  <c r="V331" i="3"/>
  <c r="T331" i="3"/>
  <c r="S331" i="3"/>
  <c r="R331" i="3"/>
  <c r="Q331" i="3"/>
  <c r="P331" i="3"/>
  <c r="O331" i="3"/>
  <c r="N331" i="3"/>
  <c r="K331" i="3"/>
  <c r="J331" i="3"/>
  <c r="I331" i="3"/>
  <c r="H331" i="3"/>
  <c r="G331" i="3"/>
  <c r="F331" i="3"/>
  <c r="E331" i="3"/>
  <c r="D331" i="3"/>
  <c r="C331" i="3"/>
  <c r="L331" i="3" s="1"/>
  <c r="M331" i="3" s="1"/>
  <c r="B331" i="3"/>
  <c r="A331" i="3"/>
  <c r="AB330" i="3"/>
  <c r="AA330" i="3"/>
  <c r="Z330" i="3"/>
  <c r="Y330" i="3"/>
  <c r="X330" i="3"/>
  <c r="W330" i="3"/>
  <c r="V330" i="3"/>
  <c r="T330" i="3"/>
  <c r="S330" i="3"/>
  <c r="R330" i="3"/>
  <c r="Q330" i="3"/>
  <c r="P330" i="3"/>
  <c r="O330" i="3"/>
  <c r="N330" i="3"/>
  <c r="K330" i="3"/>
  <c r="J330" i="3"/>
  <c r="I330" i="3"/>
  <c r="H330" i="3"/>
  <c r="G330" i="3"/>
  <c r="F330" i="3"/>
  <c r="E330" i="3"/>
  <c r="D330" i="3"/>
  <c r="C330" i="3"/>
  <c r="L330" i="3" s="1"/>
  <c r="M330" i="3" s="1"/>
  <c r="B330" i="3"/>
  <c r="A330" i="3"/>
  <c r="AB329" i="3"/>
  <c r="AA329" i="3"/>
  <c r="Z329" i="3"/>
  <c r="Y329" i="3"/>
  <c r="X329" i="3"/>
  <c r="W329" i="3"/>
  <c r="V329" i="3"/>
  <c r="T329" i="3"/>
  <c r="S329" i="3"/>
  <c r="R329" i="3"/>
  <c r="Q329" i="3"/>
  <c r="P329" i="3"/>
  <c r="O329" i="3"/>
  <c r="N329" i="3"/>
  <c r="K329" i="3"/>
  <c r="J329" i="3"/>
  <c r="I329" i="3"/>
  <c r="H329" i="3"/>
  <c r="G329" i="3"/>
  <c r="F329" i="3"/>
  <c r="E329" i="3"/>
  <c r="D329" i="3"/>
  <c r="C329" i="3"/>
  <c r="L329" i="3" s="1"/>
  <c r="M329" i="3" s="1"/>
  <c r="B329" i="3"/>
  <c r="A329" i="3"/>
  <c r="AB328" i="3"/>
  <c r="AA328" i="3"/>
  <c r="Z328" i="3"/>
  <c r="Y328" i="3"/>
  <c r="X328" i="3"/>
  <c r="W328" i="3"/>
  <c r="V328" i="3"/>
  <c r="T328" i="3"/>
  <c r="S328" i="3"/>
  <c r="R328" i="3"/>
  <c r="Q328" i="3"/>
  <c r="P328" i="3"/>
  <c r="O328" i="3"/>
  <c r="N328" i="3"/>
  <c r="K328" i="3"/>
  <c r="J328" i="3"/>
  <c r="I328" i="3"/>
  <c r="H328" i="3"/>
  <c r="G328" i="3"/>
  <c r="F328" i="3"/>
  <c r="E328" i="3"/>
  <c r="D328" i="3"/>
  <c r="C328" i="3"/>
  <c r="L328" i="3" s="1"/>
  <c r="M328" i="3" s="1"/>
  <c r="B328" i="3"/>
  <c r="A328" i="3"/>
  <c r="AB327" i="3"/>
  <c r="AC327" i="3" s="1"/>
  <c r="AA327" i="3"/>
  <c r="Z327" i="3"/>
  <c r="Y327" i="3"/>
  <c r="X327" i="3"/>
  <c r="W327" i="3"/>
  <c r="V327" i="3"/>
  <c r="T327" i="3"/>
  <c r="S327" i="3"/>
  <c r="R327" i="3"/>
  <c r="Q327" i="3"/>
  <c r="P327" i="3"/>
  <c r="O327" i="3"/>
  <c r="N327" i="3"/>
  <c r="K327" i="3"/>
  <c r="J327" i="3"/>
  <c r="I327" i="3"/>
  <c r="H327" i="3"/>
  <c r="G327" i="3"/>
  <c r="F327" i="3"/>
  <c r="E327" i="3"/>
  <c r="D327" i="3"/>
  <c r="C327" i="3"/>
  <c r="L327" i="3" s="1"/>
  <c r="M327" i="3" s="1"/>
  <c r="B327" i="3"/>
  <c r="A327" i="3"/>
  <c r="AB326" i="3"/>
  <c r="AA326" i="3"/>
  <c r="Z326" i="3"/>
  <c r="Y326" i="3"/>
  <c r="X326" i="3"/>
  <c r="W326" i="3"/>
  <c r="V326" i="3"/>
  <c r="T326" i="3"/>
  <c r="S326" i="3"/>
  <c r="R326" i="3"/>
  <c r="Q326" i="3"/>
  <c r="P326" i="3"/>
  <c r="O326" i="3"/>
  <c r="N326" i="3"/>
  <c r="K326" i="3"/>
  <c r="J326" i="3"/>
  <c r="I326" i="3"/>
  <c r="H326" i="3"/>
  <c r="G326" i="3"/>
  <c r="F326" i="3"/>
  <c r="E326" i="3"/>
  <c r="D326" i="3"/>
  <c r="C326" i="3"/>
  <c r="L326" i="3" s="1"/>
  <c r="M326" i="3" s="1"/>
  <c r="B326" i="3"/>
  <c r="A326" i="3"/>
  <c r="AB325" i="3"/>
  <c r="AA325" i="3"/>
  <c r="Z325" i="3"/>
  <c r="Y325" i="3"/>
  <c r="X325" i="3"/>
  <c r="W325" i="3"/>
  <c r="V325" i="3"/>
  <c r="T325" i="3"/>
  <c r="S325" i="3"/>
  <c r="R325" i="3"/>
  <c r="Q325" i="3"/>
  <c r="P325" i="3"/>
  <c r="O325" i="3"/>
  <c r="N325" i="3"/>
  <c r="K325" i="3"/>
  <c r="J325" i="3"/>
  <c r="I325" i="3"/>
  <c r="H325" i="3"/>
  <c r="G325" i="3"/>
  <c r="F325" i="3"/>
  <c r="E325" i="3"/>
  <c r="D325" i="3"/>
  <c r="C325" i="3"/>
  <c r="L325" i="3" s="1"/>
  <c r="M325" i="3" s="1"/>
  <c r="B325" i="3"/>
  <c r="A325" i="3"/>
  <c r="AB324" i="3"/>
  <c r="AA324" i="3"/>
  <c r="Z324" i="3"/>
  <c r="Y324" i="3"/>
  <c r="X324" i="3"/>
  <c r="W324" i="3"/>
  <c r="V324" i="3"/>
  <c r="T324" i="3"/>
  <c r="S324" i="3"/>
  <c r="R324" i="3"/>
  <c r="Q324" i="3"/>
  <c r="P324" i="3"/>
  <c r="O324" i="3"/>
  <c r="N324" i="3"/>
  <c r="K324" i="3"/>
  <c r="J324" i="3"/>
  <c r="I324" i="3"/>
  <c r="H324" i="3"/>
  <c r="G324" i="3"/>
  <c r="F324" i="3"/>
  <c r="E324" i="3"/>
  <c r="D324" i="3"/>
  <c r="C324" i="3"/>
  <c r="L324" i="3" s="1"/>
  <c r="M324" i="3" s="1"/>
  <c r="B324" i="3"/>
  <c r="A324" i="3"/>
  <c r="AB323" i="3"/>
  <c r="AA323" i="3"/>
  <c r="Z323" i="3"/>
  <c r="Y323" i="3"/>
  <c r="X323" i="3"/>
  <c r="W323" i="3"/>
  <c r="V323" i="3"/>
  <c r="T323" i="3"/>
  <c r="S323" i="3"/>
  <c r="R323" i="3"/>
  <c r="Q323" i="3"/>
  <c r="P323" i="3"/>
  <c r="O323" i="3"/>
  <c r="N323" i="3"/>
  <c r="K323" i="3"/>
  <c r="J323" i="3"/>
  <c r="I323" i="3"/>
  <c r="H323" i="3"/>
  <c r="G323" i="3"/>
  <c r="F323" i="3"/>
  <c r="E323" i="3"/>
  <c r="D323" i="3"/>
  <c r="C323" i="3"/>
  <c r="L323" i="3" s="1"/>
  <c r="M323" i="3" s="1"/>
  <c r="B323" i="3"/>
  <c r="A323" i="3"/>
  <c r="AB322" i="3"/>
  <c r="AA322" i="3"/>
  <c r="Z322" i="3"/>
  <c r="Y322" i="3"/>
  <c r="X322" i="3"/>
  <c r="W322" i="3"/>
  <c r="V322" i="3"/>
  <c r="T322" i="3"/>
  <c r="S322" i="3"/>
  <c r="R322" i="3"/>
  <c r="Q322" i="3"/>
  <c r="P322" i="3"/>
  <c r="O322" i="3"/>
  <c r="N322" i="3"/>
  <c r="K322" i="3"/>
  <c r="J322" i="3"/>
  <c r="I322" i="3"/>
  <c r="H322" i="3"/>
  <c r="G322" i="3"/>
  <c r="F322" i="3"/>
  <c r="E322" i="3"/>
  <c r="D322" i="3"/>
  <c r="C322" i="3"/>
  <c r="L322" i="3" s="1"/>
  <c r="M322" i="3" s="1"/>
  <c r="B322" i="3"/>
  <c r="A322" i="3"/>
  <c r="AB321" i="3"/>
  <c r="AA321" i="3"/>
  <c r="Z321" i="3"/>
  <c r="Y321" i="3"/>
  <c r="X321" i="3"/>
  <c r="W321" i="3"/>
  <c r="V321" i="3"/>
  <c r="T321" i="3"/>
  <c r="S321" i="3"/>
  <c r="R321" i="3"/>
  <c r="Q321" i="3"/>
  <c r="P321" i="3"/>
  <c r="O321" i="3"/>
  <c r="N321" i="3"/>
  <c r="K321" i="3"/>
  <c r="J321" i="3"/>
  <c r="I321" i="3"/>
  <c r="H321" i="3"/>
  <c r="G321" i="3"/>
  <c r="F321" i="3"/>
  <c r="E321" i="3"/>
  <c r="D321" i="3"/>
  <c r="C321" i="3"/>
  <c r="L321" i="3" s="1"/>
  <c r="M321" i="3" s="1"/>
  <c r="B321" i="3"/>
  <c r="A321" i="3"/>
  <c r="AB320" i="3"/>
  <c r="AA320" i="3"/>
  <c r="Z320" i="3"/>
  <c r="Y320" i="3"/>
  <c r="X320" i="3"/>
  <c r="W320" i="3"/>
  <c r="V320" i="3"/>
  <c r="T320" i="3"/>
  <c r="S320" i="3"/>
  <c r="R320" i="3"/>
  <c r="Q320" i="3"/>
  <c r="P320" i="3"/>
  <c r="O320" i="3"/>
  <c r="N320" i="3"/>
  <c r="K320" i="3"/>
  <c r="J320" i="3"/>
  <c r="I320" i="3"/>
  <c r="H320" i="3"/>
  <c r="G320" i="3"/>
  <c r="F320" i="3"/>
  <c r="E320" i="3"/>
  <c r="D320" i="3"/>
  <c r="C320" i="3"/>
  <c r="L320" i="3" s="1"/>
  <c r="M320" i="3" s="1"/>
  <c r="B320" i="3"/>
  <c r="A320" i="3"/>
  <c r="AB319" i="3"/>
  <c r="AA319" i="3"/>
  <c r="Z319" i="3"/>
  <c r="Y319" i="3"/>
  <c r="X319" i="3"/>
  <c r="W319" i="3"/>
  <c r="V319" i="3"/>
  <c r="T319" i="3"/>
  <c r="S319" i="3"/>
  <c r="R319" i="3"/>
  <c r="Q319" i="3"/>
  <c r="P319" i="3"/>
  <c r="O319" i="3"/>
  <c r="N319" i="3"/>
  <c r="K319" i="3"/>
  <c r="J319" i="3"/>
  <c r="I319" i="3"/>
  <c r="H319" i="3"/>
  <c r="G319" i="3"/>
  <c r="F319" i="3"/>
  <c r="E319" i="3"/>
  <c r="D319" i="3"/>
  <c r="C319" i="3"/>
  <c r="L319" i="3" s="1"/>
  <c r="M319" i="3" s="1"/>
  <c r="B319" i="3"/>
  <c r="A319" i="3"/>
  <c r="AB318" i="3"/>
  <c r="AA318" i="3"/>
  <c r="Z318" i="3"/>
  <c r="Y318" i="3"/>
  <c r="X318" i="3"/>
  <c r="W318" i="3"/>
  <c r="V318" i="3"/>
  <c r="T318" i="3"/>
  <c r="S318" i="3"/>
  <c r="R318" i="3"/>
  <c r="Q318" i="3"/>
  <c r="P318" i="3"/>
  <c r="O318" i="3"/>
  <c r="N318" i="3"/>
  <c r="K318" i="3"/>
  <c r="J318" i="3"/>
  <c r="I318" i="3"/>
  <c r="H318" i="3"/>
  <c r="G318" i="3"/>
  <c r="F318" i="3"/>
  <c r="E318" i="3"/>
  <c r="D318" i="3"/>
  <c r="C318" i="3"/>
  <c r="L318" i="3" s="1"/>
  <c r="M318" i="3" s="1"/>
  <c r="B318" i="3"/>
  <c r="A318" i="3"/>
  <c r="AB317" i="3"/>
  <c r="AA317" i="3"/>
  <c r="Z317" i="3"/>
  <c r="Y317" i="3"/>
  <c r="X317" i="3"/>
  <c r="W317" i="3"/>
  <c r="V317" i="3"/>
  <c r="T317" i="3"/>
  <c r="S317" i="3"/>
  <c r="R317" i="3"/>
  <c r="Q317" i="3"/>
  <c r="P317" i="3"/>
  <c r="O317" i="3"/>
  <c r="N317" i="3"/>
  <c r="K317" i="3"/>
  <c r="J317" i="3"/>
  <c r="I317" i="3"/>
  <c r="H317" i="3"/>
  <c r="G317" i="3"/>
  <c r="F317" i="3"/>
  <c r="E317" i="3"/>
  <c r="D317" i="3"/>
  <c r="C317" i="3"/>
  <c r="L317" i="3" s="1"/>
  <c r="M317" i="3" s="1"/>
  <c r="B317" i="3"/>
  <c r="A317" i="3"/>
  <c r="AB316" i="3"/>
  <c r="AA316" i="3"/>
  <c r="Z316" i="3"/>
  <c r="Y316" i="3"/>
  <c r="X316" i="3"/>
  <c r="W316" i="3"/>
  <c r="V316" i="3"/>
  <c r="T316" i="3"/>
  <c r="S316" i="3"/>
  <c r="R316" i="3"/>
  <c r="Q316" i="3"/>
  <c r="P316" i="3"/>
  <c r="O316" i="3"/>
  <c r="N316" i="3"/>
  <c r="K316" i="3"/>
  <c r="J316" i="3"/>
  <c r="I316" i="3"/>
  <c r="H316" i="3"/>
  <c r="G316" i="3"/>
  <c r="F316" i="3"/>
  <c r="E316" i="3"/>
  <c r="D316" i="3"/>
  <c r="C316" i="3"/>
  <c r="L316" i="3" s="1"/>
  <c r="M316" i="3" s="1"/>
  <c r="B316" i="3"/>
  <c r="A316" i="3"/>
  <c r="AB315" i="3"/>
  <c r="AA315" i="3"/>
  <c r="Z315" i="3"/>
  <c r="Y315" i="3"/>
  <c r="X315" i="3"/>
  <c r="W315" i="3"/>
  <c r="V315" i="3"/>
  <c r="T315" i="3"/>
  <c r="S315" i="3"/>
  <c r="R315" i="3"/>
  <c r="Q315" i="3"/>
  <c r="P315" i="3"/>
  <c r="O315" i="3"/>
  <c r="N315" i="3"/>
  <c r="K315" i="3"/>
  <c r="J315" i="3"/>
  <c r="I315" i="3"/>
  <c r="H315" i="3"/>
  <c r="G315" i="3"/>
  <c r="F315" i="3"/>
  <c r="E315" i="3"/>
  <c r="D315" i="3"/>
  <c r="C315" i="3"/>
  <c r="L315" i="3" s="1"/>
  <c r="M315" i="3" s="1"/>
  <c r="B315" i="3"/>
  <c r="A315" i="3"/>
  <c r="AB314" i="3"/>
  <c r="AA314" i="3"/>
  <c r="Z314" i="3"/>
  <c r="Y314" i="3"/>
  <c r="X314" i="3"/>
  <c r="W314" i="3"/>
  <c r="V314" i="3"/>
  <c r="T314" i="3"/>
  <c r="S314" i="3"/>
  <c r="R314" i="3"/>
  <c r="Q314" i="3"/>
  <c r="P314" i="3"/>
  <c r="O314" i="3"/>
  <c r="N314" i="3"/>
  <c r="K314" i="3"/>
  <c r="J314" i="3"/>
  <c r="I314" i="3"/>
  <c r="H314" i="3"/>
  <c r="G314" i="3"/>
  <c r="F314" i="3"/>
  <c r="E314" i="3"/>
  <c r="D314" i="3"/>
  <c r="C314" i="3"/>
  <c r="L314" i="3" s="1"/>
  <c r="M314" i="3" s="1"/>
  <c r="B314" i="3"/>
  <c r="A314" i="3"/>
  <c r="AB313" i="3"/>
  <c r="AA313" i="3"/>
  <c r="Z313" i="3"/>
  <c r="Y313" i="3"/>
  <c r="X313" i="3"/>
  <c r="W313" i="3"/>
  <c r="V313" i="3"/>
  <c r="T313" i="3"/>
  <c r="S313" i="3"/>
  <c r="R313" i="3"/>
  <c r="Q313" i="3"/>
  <c r="P313" i="3"/>
  <c r="O313" i="3"/>
  <c r="N313" i="3"/>
  <c r="K313" i="3"/>
  <c r="J313" i="3"/>
  <c r="I313" i="3"/>
  <c r="H313" i="3"/>
  <c r="G313" i="3"/>
  <c r="F313" i="3"/>
  <c r="E313" i="3"/>
  <c r="D313" i="3"/>
  <c r="C313" i="3"/>
  <c r="L313" i="3" s="1"/>
  <c r="M313" i="3" s="1"/>
  <c r="B313" i="3"/>
  <c r="A313" i="3"/>
  <c r="AB312" i="3"/>
  <c r="AA312" i="3"/>
  <c r="Z312" i="3"/>
  <c r="Y312" i="3"/>
  <c r="X312" i="3"/>
  <c r="W312" i="3"/>
  <c r="V312" i="3"/>
  <c r="T312" i="3"/>
  <c r="S312" i="3"/>
  <c r="R312" i="3"/>
  <c r="Q312" i="3"/>
  <c r="P312" i="3"/>
  <c r="O312" i="3"/>
  <c r="N312" i="3"/>
  <c r="K312" i="3"/>
  <c r="J312" i="3"/>
  <c r="I312" i="3"/>
  <c r="H312" i="3"/>
  <c r="G312" i="3"/>
  <c r="F312" i="3"/>
  <c r="E312" i="3"/>
  <c r="D312" i="3"/>
  <c r="C312" i="3"/>
  <c r="L312" i="3" s="1"/>
  <c r="M312" i="3" s="1"/>
  <c r="B312" i="3"/>
  <c r="A312" i="3"/>
  <c r="AB311" i="3"/>
  <c r="AA311" i="3"/>
  <c r="Z311" i="3"/>
  <c r="Y311" i="3"/>
  <c r="X311" i="3"/>
  <c r="W311" i="3"/>
  <c r="V311" i="3"/>
  <c r="T311" i="3"/>
  <c r="S311" i="3"/>
  <c r="R311" i="3"/>
  <c r="Q311" i="3"/>
  <c r="P311" i="3"/>
  <c r="O311" i="3"/>
  <c r="N311" i="3"/>
  <c r="K311" i="3"/>
  <c r="J311" i="3"/>
  <c r="I311" i="3"/>
  <c r="H311" i="3"/>
  <c r="G311" i="3"/>
  <c r="F311" i="3"/>
  <c r="E311" i="3"/>
  <c r="D311" i="3"/>
  <c r="C311" i="3"/>
  <c r="L311" i="3" s="1"/>
  <c r="M311" i="3" s="1"/>
  <c r="B311" i="3"/>
  <c r="A311" i="3"/>
  <c r="AB310" i="3"/>
  <c r="AA310" i="3"/>
  <c r="Z310" i="3"/>
  <c r="Y310" i="3"/>
  <c r="X310" i="3"/>
  <c r="W310" i="3"/>
  <c r="V310" i="3"/>
  <c r="T310" i="3"/>
  <c r="S310" i="3"/>
  <c r="R310" i="3"/>
  <c r="Q310" i="3"/>
  <c r="P310" i="3"/>
  <c r="O310" i="3"/>
  <c r="N310" i="3"/>
  <c r="K310" i="3"/>
  <c r="J310" i="3"/>
  <c r="I310" i="3"/>
  <c r="H310" i="3"/>
  <c r="G310" i="3"/>
  <c r="F310" i="3"/>
  <c r="E310" i="3"/>
  <c r="D310" i="3"/>
  <c r="C310" i="3"/>
  <c r="L310" i="3" s="1"/>
  <c r="M310" i="3" s="1"/>
  <c r="B310" i="3"/>
  <c r="A310" i="3"/>
  <c r="AB309" i="3"/>
  <c r="AA309" i="3"/>
  <c r="Z309" i="3"/>
  <c r="Y309" i="3"/>
  <c r="X309" i="3"/>
  <c r="W309" i="3"/>
  <c r="V309" i="3"/>
  <c r="T309" i="3"/>
  <c r="S309" i="3"/>
  <c r="R309" i="3"/>
  <c r="Q309" i="3"/>
  <c r="P309" i="3"/>
  <c r="O309" i="3"/>
  <c r="N309" i="3"/>
  <c r="K309" i="3"/>
  <c r="J309" i="3"/>
  <c r="I309" i="3"/>
  <c r="H309" i="3"/>
  <c r="G309" i="3"/>
  <c r="F309" i="3"/>
  <c r="E309" i="3"/>
  <c r="D309" i="3"/>
  <c r="C309" i="3"/>
  <c r="L309" i="3" s="1"/>
  <c r="M309" i="3" s="1"/>
  <c r="B309" i="3"/>
  <c r="A309" i="3"/>
  <c r="AB308" i="3"/>
  <c r="AA308" i="3"/>
  <c r="Z308" i="3"/>
  <c r="Y308" i="3"/>
  <c r="X308" i="3"/>
  <c r="W308" i="3"/>
  <c r="V308" i="3"/>
  <c r="T308" i="3"/>
  <c r="S308" i="3"/>
  <c r="R308" i="3"/>
  <c r="Q308" i="3"/>
  <c r="P308" i="3"/>
  <c r="O308" i="3"/>
  <c r="N308" i="3"/>
  <c r="K308" i="3"/>
  <c r="J308" i="3"/>
  <c r="I308" i="3"/>
  <c r="H308" i="3"/>
  <c r="G308" i="3"/>
  <c r="F308" i="3"/>
  <c r="E308" i="3"/>
  <c r="D308" i="3"/>
  <c r="C308" i="3"/>
  <c r="L308" i="3" s="1"/>
  <c r="M308" i="3" s="1"/>
  <c r="B308" i="3"/>
  <c r="A308" i="3"/>
  <c r="AB307" i="3"/>
  <c r="AA307" i="3"/>
  <c r="Z307" i="3"/>
  <c r="Y307" i="3"/>
  <c r="X307" i="3"/>
  <c r="W307" i="3"/>
  <c r="V307" i="3"/>
  <c r="T307" i="3"/>
  <c r="S307" i="3"/>
  <c r="R307" i="3"/>
  <c r="Q307" i="3"/>
  <c r="P307" i="3"/>
  <c r="O307" i="3"/>
  <c r="N307" i="3"/>
  <c r="K307" i="3"/>
  <c r="J307" i="3"/>
  <c r="I307" i="3"/>
  <c r="H307" i="3"/>
  <c r="G307" i="3"/>
  <c r="F307" i="3"/>
  <c r="E307" i="3"/>
  <c r="D307" i="3"/>
  <c r="C307" i="3"/>
  <c r="L307" i="3" s="1"/>
  <c r="M307" i="3" s="1"/>
  <c r="B307" i="3"/>
  <c r="A307" i="3"/>
  <c r="AB306" i="3"/>
  <c r="AA306" i="3"/>
  <c r="Z306" i="3"/>
  <c r="Y306" i="3"/>
  <c r="X306" i="3"/>
  <c r="W306" i="3"/>
  <c r="V306" i="3"/>
  <c r="T306" i="3"/>
  <c r="S306" i="3"/>
  <c r="R306" i="3"/>
  <c r="Q306" i="3"/>
  <c r="P306" i="3"/>
  <c r="O306" i="3"/>
  <c r="N306" i="3"/>
  <c r="K306" i="3"/>
  <c r="J306" i="3"/>
  <c r="I306" i="3"/>
  <c r="H306" i="3"/>
  <c r="G306" i="3"/>
  <c r="F306" i="3"/>
  <c r="E306" i="3"/>
  <c r="D306" i="3"/>
  <c r="C306" i="3"/>
  <c r="L306" i="3" s="1"/>
  <c r="M306" i="3" s="1"/>
  <c r="B306" i="3"/>
  <c r="A306" i="3"/>
  <c r="AB305" i="3"/>
  <c r="AA305" i="3"/>
  <c r="Z305" i="3"/>
  <c r="Y305" i="3"/>
  <c r="X305" i="3"/>
  <c r="W305" i="3"/>
  <c r="V305" i="3"/>
  <c r="T305" i="3"/>
  <c r="S305" i="3"/>
  <c r="R305" i="3"/>
  <c r="Q305" i="3"/>
  <c r="P305" i="3"/>
  <c r="O305" i="3"/>
  <c r="N305" i="3"/>
  <c r="K305" i="3"/>
  <c r="J305" i="3"/>
  <c r="I305" i="3"/>
  <c r="H305" i="3"/>
  <c r="G305" i="3"/>
  <c r="F305" i="3"/>
  <c r="E305" i="3"/>
  <c r="D305" i="3"/>
  <c r="C305" i="3"/>
  <c r="L305" i="3" s="1"/>
  <c r="M305" i="3" s="1"/>
  <c r="B305" i="3"/>
  <c r="A305" i="3"/>
  <c r="AB304" i="3"/>
  <c r="AA304" i="3"/>
  <c r="Z304" i="3"/>
  <c r="Y304" i="3"/>
  <c r="X304" i="3"/>
  <c r="W304" i="3"/>
  <c r="V304" i="3"/>
  <c r="T304" i="3"/>
  <c r="S304" i="3"/>
  <c r="R304" i="3"/>
  <c r="Q304" i="3"/>
  <c r="P304" i="3"/>
  <c r="O304" i="3"/>
  <c r="N304" i="3"/>
  <c r="K304" i="3"/>
  <c r="J304" i="3"/>
  <c r="I304" i="3"/>
  <c r="H304" i="3"/>
  <c r="G304" i="3"/>
  <c r="F304" i="3"/>
  <c r="E304" i="3"/>
  <c r="D304" i="3"/>
  <c r="C304" i="3"/>
  <c r="L304" i="3" s="1"/>
  <c r="M304" i="3" s="1"/>
  <c r="B304" i="3"/>
  <c r="A304" i="3"/>
  <c r="AB303" i="3"/>
  <c r="AA303" i="3"/>
  <c r="Z303" i="3"/>
  <c r="Y303" i="3"/>
  <c r="X303" i="3"/>
  <c r="W303" i="3"/>
  <c r="V303" i="3"/>
  <c r="T303" i="3"/>
  <c r="S303" i="3"/>
  <c r="R303" i="3"/>
  <c r="Q303" i="3"/>
  <c r="P303" i="3"/>
  <c r="O303" i="3"/>
  <c r="N303" i="3"/>
  <c r="K303" i="3"/>
  <c r="J303" i="3"/>
  <c r="I303" i="3"/>
  <c r="H303" i="3"/>
  <c r="G303" i="3"/>
  <c r="F303" i="3"/>
  <c r="E303" i="3"/>
  <c r="D303" i="3"/>
  <c r="C303" i="3"/>
  <c r="L303" i="3" s="1"/>
  <c r="M303" i="3" s="1"/>
  <c r="B303" i="3"/>
  <c r="A303" i="3"/>
  <c r="AB302" i="3"/>
  <c r="AA302" i="3"/>
  <c r="Z302" i="3"/>
  <c r="Y302" i="3"/>
  <c r="X302" i="3"/>
  <c r="W302" i="3"/>
  <c r="V302" i="3"/>
  <c r="T302" i="3"/>
  <c r="S302" i="3"/>
  <c r="R302" i="3"/>
  <c r="Q302" i="3"/>
  <c r="P302" i="3"/>
  <c r="O302" i="3"/>
  <c r="N302" i="3"/>
  <c r="K302" i="3"/>
  <c r="J302" i="3"/>
  <c r="I302" i="3"/>
  <c r="H302" i="3"/>
  <c r="G302" i="3"/>
  <c r="F302" i="3"/>
  <c r="E302" i="3"/>
  <c r="D302" i="3"/>
  <c r="C302" i="3"/>
  <c r="L302" i="3" s="1"/>
  <c r="M302" i="3" s="1"/>
  <c r="B302" i="3"/>
  <c r="A302" i="3"/>
  <c r="AB301" i="3"/>
  <c r="AA301" i="3"/>
  <c r="Z301" i="3"/>
  <c r="Y301" i="3"/>
  <c r="X301" i="3"/>
  <c r="W301" i="3"/>
  <c r="V301" i="3"/>
  <c r="T301" i="3"/>
  <c r="S301" i="3"/>
  <c r="R301" i="3"/>
  <c r="Q301" i="3"/>
  <c r="P301" i="3"/>
  <c r="O301" i="3"/>
  <c r="N301" i="3"/>
  <c r="K301" i="3"/>
  <c r="J301" i="3"/>
  <c r="I301" i="3"/>
  <c r="H301" i="3"/>
  <c r="G301" i="3"/>
  <c r="F301" i="3"/>
  <c r="E301" i="3"/>
  <c r="D301" i="3"/>
  <c r="C301" i="3"/>
  <c r="L301" i="3" s="1"/>
  <c r="M301" i="3" s="1"/>
  <c r="B301" i="3"/>
  <c r="A301" i="3"/>
  <c r="AB300" i="3"/>
  <c r="AA300" i="3"/>
  <c r="Z300" i="3"/>
  <c r="Y300" i="3"/>
  <c r="X300" i="3"/>
  <c r="W300" i="3"/>
  <c r="V300" i="3"/>
  <c r="T300" i="3"/>
  <c r="S300" i="3"/>
  <c r="R300" i="3"/>
  <c r="Q300" i="3"/>
  <c r="P300" i="3"/>
  <c r="O300" i="3"/>
  <c r="N300" i="3"/>
  <c r="K300" i="3"/>
  <c r="J300" i="3"/>
  <c r="I300" i="3"/>
  <c r="H300" i="3"/>
  <c r="G300" i="3"/>
  <c r="F300" i="3"/>
  <c r="E300" i="3"/>
  <c r="D300" i="3"/>
  <c r="C300" i="3"/>
  <c r="L300" i="3" s="1"/>
  <c r="M300" i="3" s="1"/>
  <c r="B300" i="3"/>
  <c r="A300" i="3"/>
  <c r="AB299" i="3"/>
  <c r="AA299" i="3"/>
  <c r="Z299" i="3"/>
  <c r="Y299" i="3"/>
  <c r="X299" i="3"/>
  <c r="W299" i="3"/>
  <c r="V299" i="3"/>
  <c r="T299" i="3"/>
  <c r="S299" i="3"/>
  <c r="R299" i="3"/>
  <c r="Q299" i="3"/>
  <c r="P299" i="3"/>
  <c r="O299" i="3"/>
  <c r="N299" i="3"/>
  <c r="K299" i="3"/>
  <c r="J299" i="3"/>
  <c r="I299" i="3"/>
  <c r="H299" i="3"/>
  <c r="G299" i="3"/>
  <c r="F299" i="3"/>
  <c r="E299" i="3"/>
  <c r="D299" i="3"/>
  <c r="C299" i="3"/>
  <c r="L299" i="3" s="1"/>
  <c r="M299" i="3" s="1"/>
  <c r="B299" i="3"/>
  <c r="A299" i="3"/>
  <c r="AB298" i="3"/>
  <c r="AA298" i="3"/>
  <c r="Z298" i="3"/>
  <c r="Y298" i="3"/>
  <c r="X298" i="3"/>
  <c r="W298" i="3"/>
  <c r="V298" i="3"/>
  <c r="T298" i="3"/>
  <c r="S298" i="3"/>
  <c r="R298" i="3"/>
  <c r="Q298" i="3"/>
  <c r="P298" i="3"/>
  <c r="O298" i="3"/>
  <c r="N298" i="3"/>
  <c r="K298" i="3"/>
  <c r="J298" i="3"/>
  <c r="I298" i="3"/>
  <c r="H298" i="3"/>
  <c r="G298" i="3"/>
  <c r="F298" i="3"/>
  <c r="E298" i="3"/>
  <c r="D298" i="3"/>
  <c r="C298" i="3"/>
  <c r="L298" i="3" s="1"/>
  <c r="M298" i="3" s="1"/>
  <c r="B298" i="3"/>
  <c r="A298" i="3"/>
  <c r="AB297" i="3"/>
  <c r="AA297" i="3"/>
  <c r="Z297" i="3"/>
  <c r="Y297" i="3"/>
  <c r="X297" i="3"/>
  <c r="W297" i="3"/>
  <c r="V297" i="3"/>
  <c r="T297" i="3"/>
  <c r="S297" i="3"/>
  <c r="R297" i="3"/>
  <c r="Q297" i="3"/>
  <c r="P297" i="3"/>
  <c r="O297" i="3"/>
  <c r="N297" i="3"/>
  <c r="K297" i="3"/>
  <c r="J297" i="3"/>
  <c r="I297" i="3"/>
  <c r="H297" i="3"/>
  <c r="G297" i="3"/>
  <c r="F297" i="3"/>
  <c r="E297" i="3"/>
  <c r="D297" i="3"/>
  <c r="C297" i="3"/>
  <c r="L297" i="3" s="1"/>
  <c r="M297" i="3" s="1"/>
  <c r="B297" i="3"/>
  <c r="A297" i="3"/>
  <c r="AB296" i="3"/>
  <c r="AA296" i="3"/>
  <c r="Z296" i="3"/>
  <c r="Y296" i="3"/>
  <c r="X296" i="3"/>
  <c r="W296" i="3"/>
  <c r="V296" i="3"/>
  <c r="T296" i="3"/>
  <c r="S296" i="3"/>
  <c r="R296" i="3"/>
  <c r="Q296" i="3"/>
  <c r="P296" i="3"/>
  <c r="O296" i="3"/>
  <c r="N296" i="3"/>
  <c r="K296" i="3"/>
  <c r="J296" i="3"/>
  <c r="I296" i="3"/>
  <c r="H296" i="3"/>
  <c r="G296" i="3"/>
  <c r="F296" i="3"/>
  <c r="E296" i="3"/>
  <c r="D296" i="3"/>
  <c r="C296" i="3"/>
  <c r="L296" i="3" s="1"/>
  <c r="M296" i="3" s="1"/>
  <c r="B296" i="3"/>
  <c r="A296" i="3"/>
  <c r="AB295" i="3"/>
  <c r="AA295" i="3"/>
  <c r="Z295" i="3"/>
  <c r="Y295" i="3"/>
  <c r="X295" i="3"/>
  <c r="W295" i="3"/>
  <c r="V295" i="3"/>
  <c r="T295" i="3"/>
  <c r="S295" i="3"/>
  <c r="R295" i="3"/>
  <c r="Q295" i="3"/>
  <c r="P295" i="3"/>
  <c r="O295" i="3"/>
  <c r="N295" i="3"/>
  <c r="K295" i="3"/>
  <c r="J295" i="3"/>
  <c r="I295" i="3"/>
  <c r="H295" i="3"/>
  <c r="G295" i="3"/>
  <c r="F295" i="3"/>
  <c r="E295" i="3"/>
  <c r="D295" i="3"/>
  <c r="C295" i="3"/>
  <c r="L295" i="3" s="1"/>
  <c r="M295" i="3" s="1"/>
  <c r="B295" i="3"/>
  <c r="A295" i="3"/>
  <c r="AB294" i="3"/>
  <c r="AA294" i="3"/>
  <c r="Z294" i="3"/>
  <c r="Y294" i="3"/>
  <c r="X294" i="3"/>
  <c r="W294" i="3"/>
  <c r="V294" i="3"/>
  <c r="T294" i="3"/>
  <c r="S294" i="3"/>
  <c r="R294" i="3"/>
  <c r="Q294" i="3"/>
  <c r="P294" i="3"/>
  <c r="O294" i="3"/>
  <c r="N294" i="3"/>
  <c r="K294" i="3"/>
  <c r="J294" i="3"/>
  <c r="I294" i="3"/>
  <c r="H294" i="3"/>
  <c r="G294" i="3"/>
  <c r="F294" i="3"/>
  <c r="E294" i="3"/>
  <c r="D294" i="3"/>
  <c r="C294" i="3"/>
  <c r="L294" i="3" s="1"/>
  <c r="M294" i="3" s="1"/>
  <c r="B294" i="3"/>
  <c r="A294" i="3"/>
  <c r="AB293" i="3"/>
  <c r="AA293" i="3"/>
  <c r="Z293" i="3"/>
  <c r="Y293" i="3"/>
  <c r="X293" i="3"/>
  <c r="W293" i="3"/>
  <c r="V293" i="3"/>
  <c r="T293" i="3"/>
  <c r="S293" i="3"/>
  <c r="R293" i="3"/>
  <c r="Q293" i="3"/>
  <c r="P293" i="3"/>
  <c r="O293" i="3"/>
  <c r="N293" i="3"/>
  <c r="K293" i="3"/>
  <c r="J293" i="3"/>
  <c r="I293" i="3"/>
  <c r="H293" i="3"/>
  <c r="G293" i="3"/>
  <c r="F293" i="3"/>
  <c r="E293" i="3"/>
  <c r="D293" i="3"/>
  <c r="C293" i="3"/>
  <c r="L293" i="3" s="1"/>
  <c r="M293" i="3" s="1"/>
  <c r="B293" i="3"/>
  <c r="A293" i="3"/>
  <c r="AB292" i="3"/>
  <c r="AA292" i="3"/>
  <c r="Z292" i="3"/>
  <c r="Y292" i="3"/>
  <c r="X292" i="3"/>
  <c r="W292" i="3"/>
  <c r="V292" i="3"/>
  <c r="T292" i="3"/>
  <c r="S292" i="3"/>
  <c r="R292" i="3"/>
  <c r="Q292" i="3"/>
  <c r="P292" i="3"/>
  <c r="O292" i="3"/>
  <c r="N292" i="3"/>
  <c r="K292" i="3"/>
  <c r="J292" i="3"/>
  <c r="I292" i="3"/>
  <c r="H292" i="3"/>
  <c r="G292" i="3"/>
  <c r="F292" i="3"/>
  <c r="E292" i="3"/>
  <c r="D292" i="3"/>
  <c r="C292" i="3"/>
  <c r="L292" i="3" s="1"/>
  <c r="M292" i="3" s="1"/>
  <c r="B292" i="3"/>
  <c r="A292" i="3"/>
  <c r="AB291" i="3"/>
  <c r="AA291" i="3"/>
  <c r="Z291" i="3"/>
  <c r="Y291" i="3"/>
  <c r="X291" i="3"/>
  <c r="W291" i="3"/>
  <c r="V291" i="3"/>
  <c r="T291" i="3"/>
  <c r="S291" i="3"/>
  <c r="R291" i="3"/>
  <c r="Q291" i="3"/>
  <c r="P291" i="3"/>
  <c r="O291" i="3"/>
  <c r="N291" i="3"/>
  <c r="K291" i="3"/>
  <c r="J291" i="3"/>
  <c r="I291" i="3"/>
  <c r="H291" i="3"/>
  <c r="G291" i="3"/>
  <c r="F291" i="3"/>
  <c r="E291" i="3"/>
  <c r="D291" i="3"/>
  <c r="C291" i="3"/>
  <c r="L291" i="3" s="1"/>
  <c r="M291" i="3" s="1"/>
  <c r="B291" i="3"/>
  <c r="A291" i="3"/>
  <c r="AB290" i="3"/>
  <c r="AA290" i="3"/>
  <c r="Z290" i="3"/>
  <c r="Y290" i="3"/>
  <c r="X290" i="3"/>
  <c r="W290" i="3"/>
  <c r="V290" i="3"/>
  <c r="T290" i="3"/>
  <c r="S290" i="3"/>
  <c r="R290" i="3"/>
  <c r="Q290" i="3"/>
  <c r="P290" i="3"/>
  <c r="O290" i="3"/>
  <c r="N290" i="3"/>
  <c r="K290" i="3"/>
  <c r="J290" i="3"/>
  <c r="I290" i="3"/>
  <c r="H290" i="3"/>
  <c r="G290" i="3"/>
  <c r="F290" i="3"/>
  <c r="E290" i="3"/>
  <c r="D290" i="3"/>
  <c r="C290" i="3"/>
  <c r="L290" i="3" s="1"/>
  <c r="M290" i="3" s="1"/>
  <c r="B290" i="3"/>
  <c r="A290" i="3"/>
  <c r="AB289" i="3"/>
  <c r="AA289" i="3"/>
  <c r="Z289" i="3"/>
  <c r="Y289" i="3"/>
  <c r="X289" i="3"/>
  <c r="W289" i="3"/>
  <c r="V289" i="3"/>
  <c r="T289" i="3"/>
  <c r="S289" i="3"/>
  <c r="R289" i="3"/>
  <c r="Q289" i="3"/>
  <c r="P289" i="3"/>
  <c r="O289" i="3"/>
  <c r="N289" i="3"/>
  <c r="K289" i="3"/>
  <c r="J289" i="3"/>
  <c r="I289" i="3"/>
  <c r="H289" i="3"/>
  <c r="G289" i="3"/>
  <c r="F289" i="3"/>
  <c r="E289" i="3"/>
  <c r="D289" i="3"/>
  <c r="C289" i="3"/>
  <c r="L289" i="3" s="1"/>
  <c r="M289" i="3" s="1"/>
  <c r="B289" i="3"/>
  <c r="A289" i="3"/>
  <c r="AB288" i="3"/>
  <c r="AA288" i="3"/>
  <c r="Z288" i="3"/>
  <c r="Y288" i="3"/>
  <c r="X288" i="3"/>
  <c r="W288" i="3"/>
  <c r="V288" i="3"/>
  <c r="T288" i="3"/>
  <c r="S288" i="3"/>
  <c r="R288" i="3"/>
  <c r="Q288" i="3"/>
  <c r="P288" i="3"/>
  <c r="O288" i="3"/>
  <c r="N288" i="3"/>
  <c r="K288" i="3"/>
  <c r="J288" i="3"/>
  <c r="I288" i="3"/>
  <c r="H288" i="3"/>
  <c r="G288" i="3"/>
  <c r="F288" i="3"/>
  <c r="E288" i="3"/>
  <c r="D288" i="3"/>
  <c r="C288" i="3"/>
  <c r="L288" i="3" s="1"/>
  <c r="M288" i="3" s="1"/>
  <c r="B288" i="3"/>
  <c r="A288" i="3"/>
  <c r="AB287" i="3"/>
  <c r="AA287" i="3"/>
  <c r="Z287" i="3"/>
  <c r="Y287" i="3"/>
  <c r="X287" i="3"/>
  <c r="W287" i="3"/>
  <c r="V287" i="3"/>
  <c r="T287" i="3"/>
  <c r="S287" i="3"/>
  <c r="R287" i="3"/>
  <c r="Q287" i="3"/>
  <c r="P287" i="3"/>
  <c r="O287" i="3"/>
  <c r="N287" i="3"/>
  <c r="K287" i="3"/>
  <c r="J287" i="3"/>
  <c r="I287" i="3"/>
  <c r="H287" i="3"/>
  <c r="G287" i="3"/>
  <c r="F287" i="3"/>
  <c r="E287" i="3"/>
  <c r="D287" i="3"/>
  <c r="C287" i="3"/>
  <c r="L287" i="3" s="1"/>
  <c r="M287" i="3" s="1"/>
  <c r="B287" i="3"/>
  <c r="A287" i="3"/>
  <c r="AB286" i="3"/>
  <c r="AA286" i="3"/>
  <c r="Z286" i="3"/>
  <c r="Y286" i="3"/>
  <c r="X286" i="3"/>
  <c r="W286" i="3"/>
  <c r="V286" i="3"/>
  <c r="T286" i="3"/>
  <c r="S286" i="3"/>
  <c r="R286" i="3"/>
  <c r="Q286" i="3"/>
  <c r="P286" i="3"/>
  <c r="O286" i="3"/>
  <c r="N286" i="3"/>
  <c r="K286" i="3"/>
  <c r="J286" i="3"/>
  <c r="I286" i="3"/>
  <c r="H286" i="3"/>
  <c r="G286" i="3"/>
  <c r="F286" i="3"/>
  <c r="E286" i="3"/>
  <c r="D286" i="3"/>
  <c r="C286" i="3"/>
  <c r="L286" i="3" s="1"/>
  <c r="M286" i="3" s="1"/>
  <c r="B286" i="3"/>
  <c r="A286" i="3"/>
  <c r="AB285" i="3"/>
  <c r="AA285" i="3"/>
  <c r="Z285" i="3"/>
  <c r="Y285" i="3"/>
  <c r="X285" i="3"/>
  <c r="W285" i="3"/>
  <c r="V285" i="3"/>
  <c r="T285" i="3"/>
  <c r="S285" i="3"/>
  <c r="R285" i="3"/>
  <c r="Q285" i="3"/>
  <c r="P285" i="3"/>
  <c r="O285" i="3"/>
  <c r="N285" i="3"/>
  <c r="K285" i="3"/>
  <c r="J285" i="3"/>
  <c r="I285" i="3"/>
  <c r="H285" i="3"/>
  <c r="G285" i="3"/>
  <c r="F285" i="3"/>
  <c r="E285" i="3"/>
  <c r="D285" i="3"/>
  <c r="C285" i="3"/>
  <c r="L285" i="3" s="1"/>
  <c r="M285" i="3" s="1"/>
  <c r="B285" i="3"/>
  <c r="A285" i="3"/>
  <c r="AB284" i="3"/>
  <c r="AA284" i="3"/>
  <c r="Z284" i="3"/>
  <c r="Y284" i="3"/>
  <c r="X284" i="3"/>
  <c r="W284" i="3"/>
  <c r="V284" i="3"/>
  <c r="T284" i="3"/>
  <c r="S284" i="3"/>
  <c r="R284" i="3"/>
  <c r="Q284" i="3"/>
  <c r="P284" i="3"/>
  <c r="O284" i="3"/>
  <c r="N284" i="3"/>
  <c r="K284" i="3"/>
  <c r="J284" i="3"/>
  <c r="I284" i="3"/>
  <c r="H284" i="3"/>
  <c r="G284" i="3"/>
  <c r="F284" i="3"/>
  <c r="E284" i="3"/>
  <c r="D284" i="3"/>
  <c r="C284" i="3"/>
  <c r="L284" i="3" s="1"/>
  <c r="M284" i="3" s="1"/>
  <c r="B284" i="3"/>
  <c r="A284" i="3"/>
  <c r="AB283" i="3"/>
  <c r="AA283" i="3"/>
  <c r="Z283" i="3"/>
  <c r="Y283" i="3"/>
  <c r="X283" i="3"/>
  <c r="W283" i="3"/>
  <c r="V283" i="3"/>
  <c r="T283" i="3"/>
  <c r="S283" i="3"/>
  <c r="R283" i="3"/>
  <c r="Q283" i="3"/>
  <c r="P283" i="3"/>
  <c r="O283" i="3"/>
  <c r="N283" i="3"/>
  <c r="K283" i="3"/>
  <c r="J283" i="3"/>
  <c r="I283" i="3"/>
  <c r="H283" i="3"/>
  <c r="G283" i="3"/>
  <c r="F283" i="3"/>
  <c r="E283" i="3"/>
  <c r="D283" i="3"/>
  <c r="C283" i="3"/>
  <c r="L283" i="3" s="1"/>
  <c r="M283" i="3" s="1"/>
  <c r="B283" i="3"/>
  <c r="A283" i="3"/>
  <c r="AB282" i="3"/>
  <c r="AA282" i="3"/>
  <c r="Z282" i="3"/>
  <c r="Y282" i="3"/>
  <c r="X282" i="3"/>
  <c r="W282" i="3"/>
  <c r="V282" i="3"/>
  <c r="T282" i="3"/>
  <c r="S282" i="3"/>
  <c r="R282" i="3"/>
  <c r="Q282" i="3"/>
  <c r="P282" i="3"/>
  <c r="O282" i="3"/>
  <c r="N282" i="3"/>
  <c r="K282" i="3"/>
  <c r="J282" i="3"/>
  <c r="I282" i="3"/>
  <c r="H282" i="3"/>
  <c r="G282" i="3"/>
  <c r="F282" i="3"/>
  <c r="E282" i="3"/>
  <c r="D282" i="3"/>
  <c r="C282" i="3"/>
  <c r="L282" i="3" s="1"/>
  <c r="M282" i="3" s="1"/>
  <c r="B282" i="3"/>
  <c r="A282" i="3"/>
  <c r="AB281" i="3"/>
  <c r="AA281" i="3"/>
  <c r="Z281" i="3"/>
  <c r="Y281" i="3"/>
  <c r="X281" i="3"/>
  <c r="W281" i="3"/>
  <c r="V281" i="3"/>
  <c r="T281" i="3"/>
  <c r="S281" i="3"/>
  <c r="R281" i="3"/>
  <c r="Q281" i="3"/>
  <c r="P281" i="3"/>
  <c r="O281" i="3"/>
  <c r="N281" i="3"/>
  <c r="K281" i="3"/>
  <c r="J281" i="3"/>
  <c r="I281" i="3"/>
  <c r="H281" i="3"/>
  <c r="G281" i="3"/>
  <c r="F281" i="3"/>
  <c r="E281" i="3"/>
  <c r="D281" i="3"/>
  <c r="C281" i="3"/>
  <c r="L281" i="3" s="1"/>
  <c r="M281" i="3" s="1"/>
  <c r="B281" i="3"/>
  <c r="A281" i="3"/>
  <c r="AB280" i="3"/>
  <c r="AA280" i="3"/>
  <c r="Z280" i="3"/>
  <c r="Y280" i="3"/>
  <c r="X280" i="3"/>
  <c r="W280" i="3"/>
  <c r="V280" i="3"/>
  <c r="T280" i="3"/>
  <c r="S280" i="3"/>
  <c r="R280" i="3"/>
  <c r="Q280" i="3"/>
  <c r="P280" i="3"/>
  <c r="O280" i="3"/>
  <c r="N280" i="3"/>
  <c r="K280" i="3"/>
  <c r="J280" i="3"/>
  <c r="I280" i="3"/>
  <c r="H280" i="3"/>
  <c r="G280" i="3"/>
  <c r="F280" i="3"/>
  <c r="E280" i="3"/>
  <c r="D280" i="3"/>
  <c r="C280" i="3"/>
  <c r="L280" i="3" s="1"/>
  <c r="M280" i="3" s="1"/>
  <c r="B280" i="3"/>
  <c r="A280" i="3"/>
  <c r="AB279" i="3"/>
  <c r="AA279" i="3"/>
  <c r="Z279" i="3"/>
  <c r="Y279" i="3"/>
  <c r="X279" i="3"/>
  <c r="W279" i="3"/>
  <c r="V279" i="3"/>
  <c r="T279" i="3"/>
  <c r="S279" i="3"/>
  <c r="R279" i="3"/>
  <c r="Q279" i="3"/>
  <c r="P279" i="3"/>
  <c r="O279" i="3"/>
  <c r="N279" i="3"/>
  <c r="K279" i="3"/>
  <c r="J279" i="3"/>
  <c r="I279" i="3"/>
  <c r="H279" i="3"/>
  <c r="G279" i="3"/>
  <c r="F279" i="3"/>
  <c r="E279" i="3"/>
  <c r="D279" i="3"/>
  <c r="C279" i="3"/>
  <c r="L279" i="3" s="1"/>
  <c r="M279" i="3" s="1"/>
  <c r="B279" i="3"/>
  <c r="A279" i="3"/>
  <c r="AB278" i="3"/>
  <c r="AA278" i="3"/>
  <c r="Z278" i="3"/>
  <c r="Y278" i="3"/>
  <c r="X278" i="3"/>
  <c r="W278" i="3"/>
  <c r="V278" i="3"/>
  <c r="T278" i="3"/>
  <c r="S278" i="3"/>
  <c r="R278" i="3"/>
  <c r="Q278" i="3"/>
  <c r="P278" i="3"/>
  <c r="O278" i="3"/>
  <c r="N278" i="3"/>
  <c r="K278" i="3"/>
  <c r="J278" i="3"/>
  <c r="I278" i="3"/>
  <c r="H278" i="3"/>
  <c r="G278" i="3"/>
  <c r="F278" i="3"/>
  <c r="E278" i="3"/>
  <c r="D278" i="3"/>
  <c r="C278" i="3"/>
  <c r="L278" i="3" s="1"/>
  <c r="M278" i="3" s="1"/>
  <c r="B278" i="3"/>
  <c r="A278" i="3"/>
  <c r="AB277" i="3"/>
  <c r="AA277" i="3"/>
  <c r="Z277" i="3"/>
  <c r="Y277" i="3"/>
  <c r="X277" i="3"/>
  <c r="W277" i="3"/>
  <c r="V277" i="3"/>
  <c r="T277" i="3"/>
  <c r="S277" i="3"/>
  <c r="R277" i="3"/>
  <c r="Q277" i="3"/>
  <c r="P277" i="3"/>
  <c r="O277" i="3"/>
  <c r="N277" i="3"/>
  <c r="K277" i="3"/>
  <c r="J277" i="3"/>
  <c r="I277" i="3"/>
  <c r="H277" i="3"/>
  <c r="G277" i="3"/>
  <c r="F277" i="3"/>
  <c r="E277" i="3"/>
  <c r="D277" i="3"/>
  <c r="C277" i="3"/>
  <c r="L277" i="3" s="1"/>
  <c r="M277" i="3" s="1"/>
  <c r="B277" i="3"/>
  <c r="A277" i="3"/>
  <c r="AB276" i="3"/>
  <c r="AA276" i="3"/>
  <c r="Z276" i="3"/>
  <c r="Y276" i="3"/>
  <c r="X276" i="3"/>
  <c r="W276" i="3"/>
  <c r="V276" i="3"/>
  <c r="T276" i="3"/>
  <c r="S276" i="3"/>
  <c r="R276" i="3"/>
  <c r="Q276" i="3"/>
  <c r="P276" i="3"/>
  <c r="O276" i="3"/>
  <c r="N276" i="3"/>
  <c r="K276" i="3"/>
  <c r="J276" i="3"/>
  <c r="I276" i="3"/>
  <c r="H276" i="3"/>
  <c r="G276" i="3"/>
  <c r="F276" i="3"/>
  <c r="E276" i="3"/>
  <c r="D276" i="3"/>
  <c r="C276" i="3"/>
  <c r="L276" i="3" s="1"/>
  <c r="M276" i="3" s="1"/>
  <c r="B276" i="3"/>
  <c r="A276" i="3"/>
  <c r="AB275" i="3"/>
  <c r="AA275" i="3"/>
  <c r="Z275" i="3"/>
  <c r="Y275" i="3"/>
  <c r="X275" i="3"/>
  <c r="W275" i="3"/>
  <c r="V275" i="3"/>
  <c r="T275" i="3"/>
  <c r="S275" i="3"/>
  <c r="R275" i="3"/>
  <c r="Q275" i="3"/>
  <c r="P275" i="3"/>
  <c r="O275" i="3"/>
  <c r="N275" i="3"/>
  <c r="K275" i="3"/>
  <c r="J275" i="3"/>
  <c r="I275" i="3"/>
  <c r="H275" i="3"/>
  <c r="G275" i="3"/>
  <c r="F275" i="3"/>
  <c r="E275" i="3"/>
  <c r="D275" i="3"/>
  <c r="C275" i="3"/>
  <c r="L275" i="3" s="1"/>
  <c r="M275" i="3" s="1"/>
  <c r="B275" i="3"/>
  <c r="A275" i="3"/>
  <c r="AB274" i="3"/>
  <c r="AA274" i="3"/>
  <c r="Z274" i="3"/>
  <c r="Y274" i="3"/>
  <c r="X274" i="3"/>
  <c r="W274" i="3"/>
  <c r="V274" i="3"/>
  <c r="T274" i="3"/>
  <c r="S274" i="3"/>
  <c r="R274" i="3"/>
  <c r="Q274" i="3"/>
  <c r="P274" i="3"/>
  <c r="O274" i="3"/>
  <c r="N274" i="3"/>
  <c r="K274" i="3"/>
  <c r="J274" i="3"/>
  <c r="I274" i="3"/>
  <c r="H274" i="3"/>
  <c r="G274" i="3"/>
  <c r="F274" i="3"/>
  <c r="E274" i="3"/>
  <c r="D274" i="3"/>
  <c r="C274" i="3"/>
  <c r="L274" i="3" s="1"/>
  <c r="M274" i="3" s="1"/>
  <c r="B274" i="3"/>
  <c r="A274" i="3"/>
  <c r="AB273" i="3"/>
  <c r="AA273" i="3"/>
  <c r="Z273" i="3"/>
  <c r="Y273" i="3"/>
  <c r="X273" i="3"/>
  <c r="W273" i="3"/>
  <c r="V273" i="3"/>
  <c r="T273" i="3"/>
  <c r="S273" i="3"/>
  <c r="R273" i="3"/>
  <c r="Q273" i="3"/>
  <c r="P273" i="3"/>
  <c r="O273" i="3"/>
  <c r="N273" i="3"/>
  <c r="K273" i="3"/>
  <c r="J273" i="3"/>
  <c r="I273" i="3"/>
  <c r="H273" i="3"/>
  <c r="G273" i="3"/>
  <c r="F273" i="3"/>
  <c r="E273" i="3"/>
  <c r="D273" i="3"/>
  <c r="C273" i="3"/>
  <c r="L273" i="3" s="1"/>
  <c r="M273" i="3" s="1"/>
  <c r="B273" i="3"/>
  <c r="A273" i="3"/>
  <c r="AB272" i="3"/>
  <c r="AA272" i="3"/>
  <c r="Z272" i="3"/>
  <c r="Y272" i="3"/>
  <c r="X272" i="3"/>
  <c r="W272" i="3"/>
  <c r="V272" i="3"/>
  <c r="T272" i="3"/>
  <c r="S272" i="3"/>
  <c r="R272" i="3"/>
  <c r="Q272" i="3"/>
  <c r="P272" i="3"/>
  <c r="O272" i="3"/>
  <c r="N272" i="3"/>
  <c r="K272" i="3"/>
  <c r="J272" i="3"/>
  <c r="I272" i="3"/>
  <c r="H272" i="3"/>
  <c r="G272" i="3"/>
  <c r="F272" i="3"/>
  <c r="E272" i="3"/>
  <c r="D272" i="3"/>
  <c r="C272" i="3"/>
  <c r="L272" i="3" s="1"/>
  <c r="M272" i="3" s="1"/>
  <c r="B272" i="3"/>
  <c r="A272" i="3"/>
  <c r="AB271" i="3"/>
  <c r="AA271" i="3"/>
  <c r="Z271" i="3"/>
  <c r="Y271" i="3"/>
  <c r="X271" i="3"/>
  <c r="W271" i="3"/>
  <c r="V271" i="3"/>
  <c r="T271" i="3"/>
  <c r="S271" i="3"/>
  <c r="R271" i="3"/>
  <c r="Q271" i="3"/>
  <c r="P271" i="3"/>
  <c r="O271" i="3"/>
  <c r="N271" i="3"/>
  <c r="K271" i="3"/>
  <c r="J271" i="3"/>
  <c r="I271" i="3"/>
  <c r="H271" i="3"/>
  <c r="G271" i="3"/>
  <c r="F271" i="3"/>
  <c r="E271" i="3"/>
  <c r="D271" i="3"/>
  <c r="C271" i="3"/>
  <c r="L271" i="3" s="1"/>
  <c r="M271" i="3" s="1"/>
  <c r="B271" i="3"/>
  <c r="A271" i="3"/>
  <c r="AB270" i="3"/>
  <c r="AA270" i="3"/>
  <c r="Z270" i="3"/>
  <c r="Y270" i="3"/>
  <c r="X270" i="3"/>
  <c r="W270" i="3"/>
  <c r="V270" i="3"/>
  <c r="T270" i="3"/>
  <c r="S270" i="3"/>
  <c r="R270" i="3"/>
  <c r="Q270" i="3"/>
  <c r="P270" i="3"/>
  <c r="O270" i="3"/>
  <c r="N270" i="3"/>
  <c r="K270" i="3"/>
  <c r="J270" i="3"/>
  <c r="I270" i="3"/>
  <c r="H270" i="3"/>
  <c r="G270" i="3"/>
  <c r="F270" i="3"/>
  <c r="E270" i="3"/>
  <c r="D270" i="3"/>
  <c r="C270" i="3"/>
  <c r="L270" i="3" s="1"/>
  <c r="M270" i="3" s="1"/>
  <c r="B270" i="3"/>
  <c r="A270" i="3"/>
  <c r="AB269" i="3"/>
  <c r="AA269" i="3"/>
  <c r="Z269" i="3"/>
  <c r="Y269" i="3"/>
  <c r="X269" i="3"/>
  <c r="W269" i="3"/>
  <c r="V269" i="3"/>
  <c r="T269" i="3"/>
  <c r="S269" i="3"/>
  <c r="R269" i="3"/>
  <c r="Q269" i="3"/>
  <c r="P269" i="3"/>
  <c r="O269" i="3"/>
  <c r="N269" i="3"/>
  <c r="K269" i="3"/>
  <c r="J269" i="3"/>
  <c r="I269" i="3"/>
  <c r="H269" i="3"/>
  <c r="G269" i="3"/>
  <c r="F269" i="3"/>
  <c r="E269" i="3"/>
  <c r="D269" i="3"/>
  <c r="C269" i="3"/>
  <c r="L269" i="3" s="1"/>
  <c r="M269" i="3" s="1"/>
  <c r="B269" i="3"/>
  <c r="A269" i="3"/>
  <c r="AB268" i="3"/>
  <c r="AA268" i="3"/>
  <c r="Z268" i="3"/>
  <c r="Y268" i="3"/>
  <c r="X268" i="3"/>
  <c r="W268" i="3"/>
  <c r="V268" i="3"/>
  <c r="T268" i="3"/>
  <c r="S268" i="3"/>
  <c r="R268" i="3"/>
  <c r="Q268" i="3"/>
  <c r="P268" i="3"/>
  <c r="O268" i="3"/>
  <c r="N268" i="3"/>
  <c r="K268" i="3"/>
  <c r="J268" i="3"/>
  <c r="I268" i="3"/>
  <c r="H268" i="3"/>
  <c r="G268" i="3"/>
  <c r="F268" i="3"/>
  <c r="E268" i="3"/>
  <c r="D268" i="3"/>
  <c r="C268" i="3"/>
  <c r="L268" i="3" s="1"/>
  <c r="M268" i="3" s="1"/>
  <c r="B268" i="3"/>
  <c r="A268" i="3"/>
  <c r="AB267" i="3"/>
  <c r="AA267" i="3"/>
  <c r="Z267" i="3"/>
  <c r="Y267" i="3"/>
  <c r="X267" i="3"/>
  <c r="W267" i="3"/>
  <c r="V267" i="3"/>
  <c r="T267" i="3"/>
  <c r="S267" i="3"/>
  <c r="R267" i="3"/>
  <c r="Q267" i="3"/>
  <c r="P267" i="3"/>
  <c r="O267" i="3"/>
  <c r="N267" i="3"/>
  <c r="K267" i="3"/>
  <c r="J267" i="3"/>
  <c r="I267" i="3"/>
  <c r="H267" i="3"/>
  <c r="G267" i="3"/>
  <c r="F267" i="3"/>
  <c r="E267" i="3"/>
  <c r="D267" i="3"/>
  <c r="C267" i="3"/>
  <c r="L267" i="3" s="1"/>
  <c r="M267" i="3" s="1"/>
  <c r="B267" i="3"/>
  <c r="A267" i="3"/>
  <c r="AB266" i="3"/>
  <c r="AA266" i="3"/>
  <c r="Z266" i="3"/>
  <c r="Y266" i="3"/>
  <c r="X266" i="3"/>
  <c r="W266" i="3"/>
  <c r="V266" i="3"/>
  <c r="T266" i="3"/>
  <c r="S266" i="3"/>
  <c r="R266" i="3"/>
  <c r="Q266" i="3"/>
  <c r="P266" i="3"/>
  <c r="O266" i="3"/>
  <c r="N266" i="3"/>
  <c r="K266" i="3"/>
  <c r="J266" i="3"/>
  <c r="I266" i="3"/>
  <c r="H266" i="3"/>
  <c r="G266" i="3"/>
  <c r="F266" i="3"/>
  <c r="E266" i="3"/>
  <c r="D266" i="3"/>
  <c r="C266" i="3"/>
  <c r="L266" i="3" s="1"/>
  <c r="M266" i="3" s="1"/>
  <c r="B266" i="3"/>
  <c r="A266" i="3"/>
  <c r="AB265" i="3"/>
  <c r="AA265" i="3"/>
  <c r="Z265" i="3"/>
  <c r="Y265" i="3"/>
  <c r="X265" i="3"/>
  <c r="W265" i="3"/>
  <c r="V265" i="3"/>
  <c r="T265" i="3"/>
  <c r="S265" i="3"/>
  <c r="R265" i="3"/>
  <c r="Q265" i="3"/>
  <c r="P265" i="3"/>
  <c r="O265" i="3"/>
  <c r="N265" i="3"/>
  <c r="K265" i="3"/>
  <c r="J265" i="3"/>
  <c r="I265" i="3"/>
  <c r="H265" i="3"/>
  <c r="G265" i="3"/>
  <c r="F265" i="3"/>
  <c r="E265" i="3"/>
  <c r="D265" i="3"/>
  <c r="C265" i="3"/>
  <c r="L265" i="3" s="1"/>
  <c r="M265" i="3" s="1"/>
  <c r="B265" i="3"/>
  <c r="A265" i="3"/>
  <c r="AB264" i="3"/>
  <c r="AA264" i="3"/>
  <c r="Z264" i="3"/>
  <c r="Y264" i="3"/>
  <c r="X264" i="3"/>
  <c r="W264" i="3"/>
  <c r="V264" i="3"/>
  <c r="T264" i="3"/>
  <c r="S264" i="3"/>
  <c r="R264" i="3"/>
  <c r="Q264" i="3"/>
  <c r="P264" i="3"/>
  <c r="O264" i="3"/>
  <c r="N264" i="3"/>
  <c r="K264" i="3"/>
  <c r="J264" i="3"/>
  <c r="I264" i="3"/>
  <c r="H264" i="3"/>
  <c r="G264" i="3"/>
  <c r="F264" i="3"/>
  <c r="E264" i="3"/>
  <c r="D264" i="3"/>
  <c r="C264" i="3"/>
  <c r="L264" i="3" s="1"/>
  <c r="M264" i="3" s="1"/>
  <c r="B264" i="3"/>
  <c r="A264" i="3"/>
  <c r="AB263" i="3"/>
  <c r="AA263" i="3"/>
  <c r="Z263" i="3"/>
  <c r="Y263" i="3"/>
  <c r="X263" i="3"/>
  <c r="W263" i="3"/>
  <c r="V263" i="3"/>
  <c r="T263" i="3"/>
  <c r="S263" i="3"/>
  <c r="R263" i="3"/>
  <c r="Q263" i="3"/>
  <c r="P263" i="3"/>
  <c r="O263" i="3"/>
  <c r="N263" i="3"/>
  <c r="K263" i="3"/>
  <c r="J263" i="3"/>
  <c r="I263" i="3"/>
  <c r="H263" i="3"/>
  <c r="G263" i="3"/>
  <c r="F263" i="3"/>
  <c r="E263" i="3"/>
  <c r="D263" i="3"/>
  <c r="C263" i="3"/>
  <c r="L263" i="3" s="1"/>
  <c r="M263" i="3" s="1"/>
  <c r="B263" i="3"/>
  <c r="A263" i="3"/>
  <c r="AB262" i="3"/>
  <c r="AA262" i="3"/>
  <c r="Z262" i="3"/>
  <c r="Y262" i="3"/>
  <c r="X262" i="3"/>
  <c r="W262" i="3"/>
  <c r="V262" i="3"/>
  <c r="T262" i="3"/>
  <c r="S262" i="3"/>
  <c r="R262" i="3"/>
  <c r="Q262" i="3"/>
  <c r="P262" i="3"/>
  <c r="O262" i="3"/>
  <c r="N262" i="3"/>
  <c r="K262" i="3"/>
  <c r="J262" i="3"/>
  <c r="I262" i="3"/>
  <c r="H262" i="3"/>
  <c r="G262" i="3"/>
  <c r="F262" i="3"/>
  <c r="E262" i="3"/>
  <c r="D262" i="3"/>
  <c r="AC262" i="3" s="1"/>
  <c r="C262" i="3"/>
  <c r="L262" i="3" s="1"/>
  <c r="M262" i="3" s="1"/>
  <c r="B262" i="3"/>
  <c r="A262" i="3"/>
  <c r="AB261" i="3"/>
  <c r="AA261" i="3"/>
  <c r="Z261" i="3"/>
  <c r="Y261" i="3"/>
  <c r="X261" i="3"/>
  <c r="W261" i="3"/>
  <c r="V261" i="3"/>
  <c r="T261" i="3"/>
  <c r="S261" i="3"/>
  <c r="R261" i="3"/>
  <c r="Q261" i="3"/>
  <c r="P261" i="3"/>
  <c r="O261" i="3"/>
  <c r="N261" i="3"/>
  <c r="K261" i="3"/>
  <c r="J261" i="3"/>
  <c r="I261" i="3"/>
  <c r="H261" i="3"/>
  <c r="G261" i="3"/>
  <c r="F261" i="3"/>
  <c r="E261" i="3"/>
  <c r="D261" i="3"/>
  <c r="C261" i="3"/>
  <c r="L261" i="3" s="1"/>
  <c r="M261" i="3" s="1"/>
  <c r="B261" i="3"/>
  <c r="A261" i="3"/>
  <c r="AB260" i="3"/>
  <c r="AA260" i="3"/>
  <c r="Z260" i="3"/>
  <c r="Y260" i="3"/>
  <c r="X260" i="3"/>
  <c r="W260" i="3"/>
  <c r="V260" i="3"/>
  <c r="T260" i="3"/>
  <c r="S260" i="3"/>
  <c r="R260" i="3"/>
  <c r="Q260" i="3"/>
  <c r="P260" i="3"/>
  <c r="O260" i="3"/>
  <c r="N260" i="3"/>
  <c r="K260" i="3"/>
  <c r="J260" i="3"/>
  <c r="I260" i="3"/>
  <c r="H260" i="3"/>
  <c r="G260" i="3"/>
  <c r="F260" i="3"/>
  <c r="E260" i="3"/>
  <c r="D260" i="3"/>
  <c r="C260" i="3"/>
  <c r="L260" i="3" s="1"/>
  <c r="M260" i="3" s="1"/>
  <c r="B260" i="3"/>
  <c r="A260" i="3"/>
  <c r="AB259" i="3"/>
  <c r="AA259" i="3"/>
  <c r="Z259" i="3"/>
  <c r="Y259" i="3"/>
  <c r="X259" i="3"/>
  <c r="W259" i="3"/>
  <c r="V259" i="3"/>
  <c r="T259" i="3"/>
  <c r="S259" i="3"/>
  <c r="R259" i="3"/>
  <c r="Q259" i="3"/>
  <c r="P259" i="3"/>
  <c r="O259" i="3"/>
  <c r="N259" i="3"/>
  <c r="K259" i="3"/>
  <c r="J259" i="3"/>
  <c r="I259" i="3"/>
  <c r="H259" i="3"/>
  <c r="G259" i="3"/>
  <c r="F259" i="3"/>
  <c r="E259" i="3"/>
  <c r="D259" i="3"/>
  <c r="C259" i="3"/>
  <c r="L259" i="3" s="1"/>
  <c r="M259" i="3" s="1"/>
  <c r="B259" i="3"/>
  <c r="A259" i="3"/>
  <c r="AB258" i="3"/>
  <c r="AA258" i="3"/>
  <c r="Z258" i="3"/>
  <c r="Y258" i="3"/>
  <c r="X258" i="3"/>
  <c r="W258" i="3"/>
  <c r="V258" i="3"/>
  <c r="T258" i="3"/>
  <c r="S258" i="3"/>
  <c r="R258" i="3"/>
  <c r="Q258" i="3"/>
  <c r="P258" i="3"/>
  <c r="O258" i="3"/>
  <c r="N258" i="3"/>
  <c r="K258" i="3"/>
  <c r="J258" i="3"/>
  <c r="I258" i="3"/>
  <c r="H258" i="3"/>
  <c r="G258" i="3"/>
  <c r="F258" i="3"/>
  <c r="E258" i="3"/>
  <c r="D258" i="3"/>
  <c r="C258" i="3"/>
  <c r="L258" i="3" s="1"/>
  <c r="M258" i="3" s="1"/>
  <c r="B258" i="3"/>
  <c r="A258" i="3"/>
  <c r="AB257" i="3"/>
  <c r="AA257" i="3"/>
  <c r="Z257" i="3"/>
  <c r="Y257" i="3"/>
  <c r="X257" i="3"/>
  <c r="W257" i="3"/>
  <c r="V257" i="3"/>
  <c r="T257" i="3"/>
  <c r="S257" i="3"/>
  <c r="R257" i="3"/>
  <c r="Q257" i="3"/>
  <c r="P257" i="3"/>
  <c r="O257" i="3"/>
  <c r="N257" i="3"/>
  <c r="K257" i="3"/>
  <c r="J257" i="3"/>
  <c r="I257" i="3"/>
  <c r="H257" i="3"/>
  <c r="G257" i="3"/>
  <c r="F257" i="3"/>
  <c r="E257" i="3"/>
  <c r="D257" i="3"/>
  <c r="C257" i="3"/>
  <c r="L257" i="3" s="1"/>
  <c r="M257" i="3" s="1"/>
  <c r="B257" i="3"/>
  <c r="A257" i="3"/>
  <c r="AB256" i="3"/>
  <c r="AA256" i="3"/>
  <c r="Z256" i="3"/>
  <c r="Y256" i="3"/>
  <c r="X256" i="3"/>
  <c r="W256" i="3"/>
  <c r="V256" i="3"/>
  <c r="T256" i="3"/>
  <c r="S256" i="3"/>
  <c r="R256" i="3"/>
  <c r="Q256" i="3"/>
  <c r="P256" i="3"/>
  <c r="O256" i="3"/>
  <c r="N256" i="3"/>
  <c r="K256" i="3"/>
  <c r="J256" i="3"/>
  <c r="I256" i="3"/>
  <c r="H256" i="3"/>
  <c r="G256" i="3"/>
  <c r="F256" i="3"/>
  <c r="E256" i="3"/>
  <c r="D256" i="3"/>
  <c r="C256" i="3"/>
  <c r="L256" i="3" s="1"/>
  <c r="M256" i="3" s="1"/>
  <c r="B256" i="3"/>
  <c r="A256" i="3"/>
  <c r="AB255" i="3"/>
  <c r="AA255" i="3"/>
  <c r="Z255" i="3"/>
  <c r="Y255" i="3"/>
  <c r="X255" i="3"/>
  <c r="W255" i="3"/>
  <c r="V255" i="3"/>
  <c r="T255" i="3"/>
  <c r="S255" i="3"/>
  <c r="R255" i="3"/>
  <c r="Q255" i="3"/>
  <c r="P255" i="3"/>
  <c r="O255" i="3"/>
  <c r="N255" i="3"/>
  <c r="K255" i="3"/>
  <c r="J255" i="3"/>
  <c r="I255" i="3"/>
  <c r="H255" i="3"/>
  <c r="G255" i="3"/>
  <c r="F255" i="3"/>
  <c r="E255" i="3"/>
  <c r="D255" i="3"/>
  <c r="C255" i="3"/>
  <c r="L255" i="3" s="1"/>
  <c r="M255" i="3" s="1"/>
  <c r="B255" i="3"/>
  <c r="A255" i="3"/>
  <c r="AB254" i="3"/>
  <c r="AA254" i="3"/>
  <c r="Z254" i="3"/>
  <c r="Y254" i="3"/>
  <c r="X254" i="3"/>
  <c r="W254" i="3"/>
  <c r="V254" i="3"/>
  <c r="T254" i="3"/>
  <c r="S254" i="3"/>
  <c r="R254" i="3"/>
  <c r="Q254" i="3"/>
  <c r="P254" i="3"/>
  <c r="O254" i="3"/>
  <c r="N254" i="3"/>
  <c r="K254" i="3"/>
  <c r="J254" i="3"/>
  <c r="I254" i="3"/>
  <c r="H254" i="3"/>
  <c r="G254" i="3"/>
  <c r="F254" i="3"/>
  <c r="E254" i="3"/>
  <c r="D254" i="3"/>
  <c r="C254" i="3"/>
  <c r="L254" i="3" s="1"/>
  <c r="M254" i="3" s="1"/>
  <c r="B254" i="3"/>
  <c r="A254" i="3"/>
  <c r="AB253" i="3"/>
  <c r="AA253" i="3"/>
  <c r="Z253" i="3"/>
  <c r="Y253" i="3"/>
  <c r="X253" i="3"/>
  <c r="W253" i="3"/>
  <c r="V253" i="3"/>
  <c r="T253" i="3"/>
  <c r="S253" i="3"/>
  <c r="R253" i="3"/>
  <c r="Q253" i="3"/>
  <c r="P253" i="3"/>
  <c r="O253" i="3"/>
  <c r="N253" i="3"/>
  <c r="K253" i="3"/>
  <c r="J253" i="3"/>
  <c r="I253" i="3"/>
  <c r="H253" i="3"/>
  <c r="G253" i="3"/>
  <c r="F253" i="3"/>
  <c r="E253" i="3"/>
  <c r="D253" i="3"/>
  <c r="C253" i="3"/>
  <c r="L253" i="3" s="1"/>
  <c r="M253" i="3" s="1"/>
  <c r="B253" i="3"/>
  <c r="A253" i="3"/>
  <c r="AB252" i="3"/>
  <c r="AA252" i="3"/>
  <c r="Z252" i="3"/>
  <c r="Y252" i="3"/>
  <c r="X252" i="3"/>
  <c r="W252" i="3"/>
  <c r="V252" i="3"/>
  <c r="T252" i="3"/>
  <c r="S252" i="3"/>
  <c r="R252" i="3"/>
  <c r="Q252" i="3"/>
  <c r="P252" i="3"/>
  <c r="O252" i="3"/>
  <c r="N252" i="3"/>
  <c r="K252" i="3"/>
  <c r="J252" i="3"/>
  <c r="I252" i="3"/>
  <c r="H252" i="3"/>
  <c r="G252" i="3"/>
  <c r="F252" i="3"/>
  <c r="E252" i="3"/>
  <c r="D252" i="3"/>
  <c r="C252" i="3"/>
  <c r="L252" i="3" s="1"/>
  <c r="M252" i="3" s="1"/>
  <c r="B252" i="3"/>
  <c r="A252" i="3"/>
  <c r="AB251" i="3"/>
  <c r="AA251" i="3"/>
  <c r="Z251" i="3"/>
  <c r="Y251" i="3"/>
  <c r="X251" i="3"/>
  <c r="W251" i="3"/>
  <c r="V251" i="3"/>
  <c r="T251" i="3"/>
  <c r="S251" i="3"/>
  <c r="R251" i="3"/>
  <c r="Q251" i="3"/>
  <c r="P251" i="3"/>
  <c r="O251" i="3"/>
  <c r="N251" i="3"/>
  <c r="K251" i="3"/>
  <c r="J251" i="3"/>
  <c r="I251" i="3"/>
  <c r="H251" i="3"/>
  <c r="G251" i="3"/>
  <c r="F251" i="3"/>
  <c r="E251" i="3"/>
  <c r="D251" i="3"/>
  <c r="C251" i="3"/>
  <c r="L251" i="3" s="1"/>
  <c r="M251" i="3" s="1"/>
  <c r="B251" i="3"/>
  <c r="A251" i="3"/>
  <c r="AB250" i="3"/>
  <c r="AC250" i="3" s="1"/>
  <c r="AA250" i="3"/>
  <c r="Z250" i="3"/>
  <c r="Y250" i="3"/>
  <c r="X250" i="3"/>
  <c r="W250" i="3"/>
  <c r="V250" i="3"/>
  <c r="T250" i="3"/>
  <c r="S250" i="3"/>
  <c r="R250" i="3"/>
  <c r="Q250" i="3"/>
  <c r="P250" i="3"/>
  <c r="O250" i="3"/>
  <c r="N250" i="3"/>
  <c r="K250" i="3"/>
  <c r="J250" i="3"/>
  <c r="I250" i="3"/>
  <c r="H250" i="3"/>
  <c r="G250" i="3"/>
  <c r="F250" i="3"/>
  <c r="E250" i="3"/>
  <c r="D250" i="3"/>
  <c r="C250" i="3"/>
  <c r="L250" i="3" s="1"/>
  <c r="M250" i="3" s="1"/>
  <c r="B250" i="3"/>
  <c r="A250" i="3"/>
  <c r="AB249" i="3"/>
  <c r="AA249" i="3"/>
  <c r="Z249" i="3"/>
  <c r="Y249" i="3"/>
  <c r="X249" i="3"/>
  <c r="W249" i="3"/>
  <c r="V249" i="3"/>
  <c r="T249" i="3"/>
  <c r="S249" i="3"/>
  <c r="R249" i="3"/>
  <c r="Q249" i="3"/>
  <c r="P249" i="3"/>
  <c r="O249" i="3"/>
  <c r="N249" i="3"/>
  <c r="K249" i="3"/>
  <c r="J249" i="3"/>
  <c r="I249" i="3"/>
  <c r="H249" i="3"/>
  <c r="G249" i="3"/>
  <c r="F249" i="3"/>
  <c r="E249" i="3"/>
  <c r="D249" i="3"/>
  <c r="C249" i="3"/>
  <c r="L249" i="3" s="1"/>
  <c r="M249" i="3" s="1"/>
  <c r="B249" i="3"/>
  <c r="A249" i="3"/>
  <c r="AB248" i="3"/>
  <c r="AA248" i="3"/>
  <c r="Z248" i="3"/>
  <c r="Y248" i="3"/>
  <c r="X248" i="3"/>
  <c r="W248" i="3"/>
  <c r="V248" i="3"/>
  <c r="T248" i="3"/>
  <c r="S248" i="3"/>
  <c r="R248" i="3"/>
  <c r="Q248" i="3"/>
  <c r="P248" i="3"/>
  <c r="O248" i="3"/>
  <c r="N248" i="3"/>
  <c r="K248" i="3"/>
  <c r="J248" i="3"/>
  <c r="I248" i="3"/>
  <c r="H248" i="3"/>
  <c r="G248" i="3"/>
  <c r="F248" i="3"/>
  <c r="E248" i="3"/>
  <c r="D248" i="3"/>
  <c r="C248" i="3"/>
  <c r="L248" i="3" s="1"/>
  <c r="M248" i="3" s="1"/>
  <c r="B248" i="3"/>
  <c r="A248" i="3"/>
  <c r="AB247" i="3"/>
  <c r="AA247" i="3"/>
  <c r="Z247" i="3"/>
  <c r="Y247" i="3"/>
  <c r="X247" i="3"/>
  <c r="W247" i="3"/>
  <c r="V247" i="3"/>
  <c r="T247" i="3"/>
  <c r="S247" i="3"/>
  <c r="R247" i="3"/>
  <c r="Q247" i="3"/>
  <c r="P247" i="3"/>
  <c r="O247" i="3"/>
  <c r="N247" i="3"/>
  <c r="K247" i="3"/>
  <c r="J247" i="3"/>
  <c r="I247" i="3"/>
  <c r="H247" i="3"/>
  <c r="G247" i="3"/>
  <c r="F247" i="3"/>
  <c r="E247" i="3"/>
  <c r="D247" i="3"/>
  <c r="C247" i="3"/>
  <c r="L247" i="3" s="1"/>
  <c r="M247" i="3" s="1"/>
  <c r="B247" i="3"/>
  <c r="A247" i="3"/>
  <c r="AB246" i="3"/>
  <c r="AA246" i="3"/>
  <c r="Z246" i="3"/>
  <c r="Y246" i="3"/>
  <c r="X246" i="3"/>
  <c r="W246" i="3"/>
  <c r="V246" i="3"/>
  <c r="T246" i="3"/>
  <c r="S246" i="3"/>
  <c r="R246" i="3"/>
  <c r="Q246" i="3"/>
  <c r="P246" i="3"/>
  <c r="O246" i="3"/>
  <c r="N246" i="3"/>
  <c r="K246" i="3"/>
  <c r="J246" i="3"/>
  <c r="I246" i="3"/>
  <c r="H246" i="3"/>
  <c r="G246" i="3"/>
  <c r="F246" i="3"/>
  <c r="E246" i="3"/>
  <c r="D246" i="3"/>
  <c r="AC246" i="3" s="1"/>
  <c r="C246" i="3"/>
  <c r="L246" i="3" s="1"/>
  <c r="M246" i="3" s="1"/>
  <c r="B246" i="3"/>
  <c r="A246" i="3"/>
  <c r="AB245" i="3"/>
  <c r="AA245" i="3"/>
  <c r="Z245" i="3"/>
  <c r="Y245" i="3"/>
  <c r="X245" i="3"/>
  <c r="W245" i="3"/>
  <c r="V245" i="3"/>
  <c r="T245" i="3"/>
  <c r="S245" i="3"/>
  <c r="R245" i="3"/>
  <c r="Q245" i="3"/>
  <c r="P245" i="3"/>
  <c r="O245" i="3"/>
  <c r="N245" i="3"/>
  <c r="K245" i="3"/>
  <c r="J245" i="3"/>
  <c r="I245" i="3"/>
  <c r="H245" i="3"/>
  <c r="G245" i="3"/>
  <c r="F245" i="3"/>
  <c r="E245" i="3"/>
  <c r="D245" i="3"/>
  <c r="C245" i="3"/>
  <c r="L245" i="3" s="1"/>
  <c r="M245" i="3" s="1"/>
  <c r="B245" i="3"/>
  <c r="A245" i="3"/>
  <c r="AB244" i="3"/>
  <c r="AA244" i="3"/>
  <c r="Z244" i="3"/>
  <c r="Y244" i="3"/>
  <c r="X244" i="3"/>
  <c r="W244" i="3"/>
  <c r="V244" i="3"/>
  <c r="T244" i="3"/>
  <c r="S244" i="3"/>
  <c r="R244" i="3"/>
  <c r="Q244" i="3"/>
  <c r="P244" i="3"/>
  <c r="O244" i="3"/>
  <c r="N244" i="3"/>
  <c r="K244" i="3"/>
  <c r="J244" i="3"/>
  <c r="I244" i="3"/>
  <c r="H244" i="3"/>
  <c r="G244" i="3"/>
  <c r="F244" i="3"/>
  <c r="E244" i="3"/>
  <c r="D244" i="3"/>
  <c r="C244" i="3"/>
  <c r="L244" i="3" s="1"/>
  <c r="M244" i="3" s="1"/>
  <c r="B244" i="3"/>
  <c r="A244" i="3"/>
  <c r="AB243" i="3"/>
  <c r="AA243" i="3"/>
  <c r="Z243" i="3"/>
  <c r="Y243" i="3"/>
  <c r="X243" i="3"/>
  <c r="W243" i="3"/>
  <c r="V243" i="3"/>
  <c r="T243" i="3"/>
  <c r="S243" i="3"/>
  <c r="R243" i="3"/>
  <c r="Q243" i="3"/>
  <c r="P243" i="3"/>
  <c r="O243" i="3"/>
  <c r="N243" i="3"/>
  <c r="K243" i="3"/>
  <c r="J243" i="3"/>
  <c r="I243" i="3"/>
  <c r="H243" i="3"/>
  <c r="G243" i="3"/>
  <c r="F243" i="3"/>
  <c r="E243" i="3"/>
  <c r="D243" i="3"/>
  <c r="C243" i="3"/>
  <c r="L243" i="3" s="1"/>
  <c r="M243" i="3" s="1"/>
  <c r="B243" i="3"/>
  <c r="A243" i="3"/>
  <c r="AB242" i="3"/>
  <c r="AA242" i="3"/>
  <c r="Z242" i="3"/>
  <c r="Y242" i="3"/>
  <c r="X242" i="3"/>
  <c r="W242" i="3"/>
  <c r="V242" i="3"/>
  <c r="T242" i="3"/>
  <c r="S242" i="3"/>
  <c r="R242" i="3"/>
  <c r="Q242" i="3"/>
  <c r="P242" i="3"/>
  <c r="O242" i="3"/>
  <c r="N242" i="3"/>
  <c r="K242" i="3"/>
  <c r="J242" i="3"/>
  <c r="I242" i="3"/>
  <c r="H242" i="3"/>
  <c r="G242" i="3"/>
  <c r="F242" i="3"/>
  <c r="E242" i="3"/>
  <c r="D242" i="3"/>
  <c r="C242" i="3"/>
  <c r="L242" i="3" s="1"/>
  <c r="M242" i="3" s="1"/>
  <c r="B242" i="3"/>
  <c r="A242" i="3"/>
  <c r="AB241" i="3"/>
  <c r="AA241" i="3"/>
  <c r="Z241" i="3"/>
  <c r="Y241" i="3"/>
  <c r="X241" i="3"/>
  <c r="W241" i="3"/>
  <c r="V241" i="3"/>
  <c r="T241" i="3"/>
  <c r="S241" i="3"/>
  <c r="R241" i="3"/>
  <c r="Q241" i="3"/>
  <c r="P241" i="3"/>
  <c r="O241" i="3"/>
  <c r="N241" i="3"/>
  <c r="K241" i="3"/>
  <c r="J241" i="3"/>
  <c r="I241" i="3"/>
  <c r="H241" i="3"/>
  <c r="G241" i="3"/>
  <c r="F241" i="3"/>
  <c r="E241" i="3"/>
  <c r="D241" i="3"/>
  <c r="C241" i="3"/>
  <c r="L241" i="3" s="1"/>
  <c r="M241" i="3" s="1"/>
  <c r="B241" i="3"/>
  <c r="A241" i="3"/>
  <c r="AB240" i="3"/>
  <c r="AA240" i="3"/>
  <c r="Z240" i="3"/>
  <c r="Y240" i="3"/>
  <c r="X240" i="3"/>
  <c r="W240" i="3"/>
  <c r="V240" i="3"/>
  <c r="T240" i="3"/>
  <c r="S240" i="3"/>
  <c r="R240" i="3"/>
  <c r="Q240" i="3"/>
  <c r="P240" i="3"/>
  <c r="O240" i="3"/>
  <c r="N240" i="3"/>
  <c r="K240" i="3"/>
  <c r="J240" i="3"/>
  <c r="I240" i="3"/>
  <c r="H240" i="3"/>
  <c r="G240" i="3"/>
  <c r="F240" i="3"/>
  <c r="E240" i="3"/>
  <c r="D240" i="3"/>
  <c r="C240" i="3"/>
  <c r="L240" i="3" s="1"/>
  <c r="M240" i="3" s="1"/>
  <c r="B240" i="3"/>
  <c r="A240" i="3"/>
  <c r="AB239" i="3"/>
  <c r="AA239" i="3"/>
  <c r="Z239" i="3"/>
  <c r="Y239" i="3"/>
  <c r="X239" i="3"/>
  <c r="W239" i="3"/>
  <c r="V239" i="3"/>
  <c r="T239" i="3"/>
  <c r="S239" i="3"/>
  <c r="R239" i="3"/>
  <c r="Q239" i="3"/>
  <c r="P239" i="3"/>
  <c r="O239" i="3"/>
  <c r="N239" i="3"/>
  <c r="K239" i="3"/>
  <c r="J239" i="3"/>
  <c r="I239" i="3"/>
  <c r="H239" i="3"/>
  <c r="G239" i="3"/>
  <c r="F239" i="3"/>
  <c r="E239" i="3"/>
  <c r="D239" i="3"/>
  <c r="C239" i="3"/>
  <c r="L239" i="3" s="1"/>
  <c r="M239" i="3" s="1"/>
  <c r="B239" i="3"/>
  <c r="A239" i="3"/>
  <c r="AB238" i="3"/>
  <c r="AA238" i="3"/>
  <c r="Z238" i="3"/>
  <c r="Y238" i="3"/>
  <c r="X238" i="3"/>
  <c r="W238" i="3"/>
  <c r="V238" i="3"/>
  <c r="T238" i="3"/>
  <c r="S238" i="3"/>
  <c r="R238" i="3"/>
  <c r="Q238" i="3"/>
  <c r="P238" i="3"/>
  <c r="O238" i="3"/>
  <c r="N238" i="3"/>
  <c r="K238" i="3"/>
  <c r="J238" i="3"/>
  <c r="I238" i="3"/>
  <c r="H238" i="3"/>
  <c r="G238" i="3"/>
  <c r="F238" i="3"/>
  <c r="E238" i="3"/>
  <c r="D238" i="3"/>
  <c r="C238" i="3"/>
  <c r="L238" i="3" s="1"/>
  <c r="M238" i="3" s="1"/>
  <c r="B238" i="3"/>
  <c r="A238" i="3"/>
  <c r="AB237" i="3"/>
  <c r="AA237" i="3"/>
  <c r="Z237" i="3"/>
  <c r="Y237" i="3"/>
  <c r="X237" i="3"/>
  <c r="W237" i="3"/>
  <c r="V237" i="3"/>
  <c r="T237" i="3"/>
  <c r="S237" i="3"/>
  <c r="R237" i="3"/>
  <c r="Q237" i="3"/>
  <c r="P237" i="3"/>
  <c r="O237" i="3"/>
  <c r="N237" i="3"/>
  <c r="K237" i="3"/>
  <c r="J237" i="3"/>
  <c r="I237" i="3"/>
  <c r="H237" i="3"/>
  <c r="G237" i="3"/>
  <c r="F237" i="3"/>
  <c r="E237" i="3"/>
  <c r="D237" i="3"/>
  <c r="C237" i="3"/>
  <c r="L237" i="3" s="1"/>
  <c r="M237" i="3" s="1"/>
  <c r="B237" i="3"/>
  <c r="A237" i="3"/>
  <c r="AB236" i="3"/>
  <c r="AA236" i="3"/>
  <c r="Z236" i="3"/>
  <c r="Y236" i="3"/>
  <c r="X236" i="3"/>
  <c r="W236" i="3"/>
  <c r="V236" i="3"/>
  <c r="T236" i="3"/>
  <c r="S236" i="3"/>
  <c r="R236" i="3"/>
  <c r="Q236" i="3"/>
  <c r="P236" i="3"/>
  <c r="O236" i="3"/>
  <c r="N236" i="3"/>
  <c r="K236" i="3"/>
  <c r="J236" i="3"/>
  <c r="I236" i="3"/>
  <c r="H236" i="3"/>
  <c r="G236" i="3"/>
  <c r="F236" i="3"/>
  <c r="E236" i="3"/>
  <c r="D236" i="3"/>
  <c r="C236" i="3"/>
  <c r="L236" i="3" s="1"/>
  <c r="M236" i="3" s="1"/>
  <c r="B236" i="3"/>
  <c r="A236" i="3"/>
  <c r="AB235" i="3"/>
  <c r="AA235" i="3"/>
  <c r="Z235" i="3"/>
  <c r="Y235" i="3"/>
  <c r="X235" i="3"/>
  <c r="W235" i="3"/>
  <c r="V235" i="3"/>
  <c r="T235" i="3"/>
  <c r="S235" i="3"/>
  <c r="R235" i="3"/>
  <c r="Q235" i="3"/>
  <c r="P235" i="3"/>
  <c r="O235" i="3"/>
  <c r="N235" i="3"/>
  <c r="K235" i="3"/>
  <c r="J235" i="3"/>
  <c r="I235" i="3"/>
  <c r="H235" i="3"/>
  <c r="G235" i="3"/>
  <c r="F235" i="3"/>
  <c r="E235" i="3"/>
  <c r="D235" i="3"/>
  <c r="C235" i="3"/>
  <c r="L235" i="3" s="1"/>
  <c r="M235" i="3" s="1"/>
  <c r="B235" i="3"/>
  <c r="A235" i="3"/>
  <c r="AB234" i="3"/>
  <c r="AA234" i="3"/>
  <c r="Z234" i="3"/>
  <c r="Y234" i="3"/>
  <c r="X234" i="3"/>
  <c r="W234" i="3"/>
  <c r="V234" i="3"/>
  <c r="T234" i="3"/>
  <c r="S234" i="3"/>
  <c r="R234" i="3"/>
  <c r="Q234" i="3"/>
  <c r="P234" i="3"/>
  <c r="O234" i="3"/>
  <c r="N234" i="3"/>
  <c r="K234" i="3"/>
  <c r="J234" i="3"/>
  <c r="I234" i="3"/>
  <c r="H234" i="3"/>
  <c r="G234" i="3"/>
  <c r="F234" i="3"/>
  <c r="E234" i="3"/>
  <c r="D234" i="3"/>
  <c r="C234" i="3"/>
  <c r="L234" i="3" s="1"/>
  <c r="M234" i="3" s="1"/>
  <c r="B234" i="3"/>
  <c r="A234" i="3"/>
  <c r="AB233" i="3"/>
  <c r="AA233" i="3"/>
  <c r="Z233" i="3"/>
  <c r="Y233" i="3"/>
  <c r="X233" i="3"/>
  <c r="W233" i="3"/>
  <c r="V233" i="3"/>
  <c r="T233" i="3"/>
  <c r="S233" i="3"/>
  <c r="R233" i="3"/>
  <c r="Q233" i="3"/>
  <c r="P233" i="3"/>
  <c r="O233" i="3"/>
  <c r="N233" i="3"/>
  <c r="K233" i="3"/>
  <c r="J233" i="3"/>
  <c r="I233" i="3"/>
  <c r="H233" i="3"/>
  <c r="G233" i="3"/>
  <c r="F233" i="3"/>
  <c r="E233" i="3"/>
  <c r="D233" i="3"/>
  <c r="C233" i="3"/>
  <c r="L233" i="3" s="1"/>
  <c r="M233" i="3" s="1"/>
  <c r="B233" i="3"/>
  <c r="A233" i="3"/>
  <c r="AB232" i="3"/>
  <c r="AA232" i="3"/>
  <c r="Z232" i="3"/>
  <c r="Y232" i="3"/>
  <c r="X232" i="3"/>
  <c r="W232" i="3"/>
  <c r="V232" i="3"/>
  <c r="T232" i="3"/>
  <c r="S232" i="3"/>
  <c r="R232" i="3"/>
  <c r="Q232" i="3"/>
  <c r="P232" i="3"/>
  <c r="O232" i="3"/>
  <c r="N232" i="3"/>
  <c r="K232" i="3"/>
  <c r="J232" i="3"/>
  <c r="I232" i="3"/>
  <c r="H232" i="3"/>
  <c r="G232" i="3"/>
  <c r="F232" i="3"/>
  <c r="E232" i="3"/>
  <c r="D232" i="3"/>
  <c r="C232" i="3"/>
  <c r="L232" i="3" s="1"/>
  <c r="M232" i="3" s="1"/>
  <c r="B232" i="3"/>
  <c r="A232" i="3"/>
  <c r="AB231" i="3"/>
  <c r="AA231" i="3"/>
  <c r="Z231" i="3"/>
  <c r="Y231" i="3"/>
  <c r="X231" i="3"/>
  <c r="W231" i="3"/>
  <c r="V231" i="3"/>
  <c r="T231" i="3"/>
  <c r="S231" i="3"/>
  <c r="R231" i="3"/>
  <c r="Q231" i="3"/>
  <c r="P231" i="3"/>
  <c r="O231" i="3"/>
  <c r="N231" i="3"/>
  <c r="K231" i="3"/>
  <c r="J231" i="3"/>
  <c r="I231" i="3"/>
  <c r="H231" i="3"/>
  <c r="G231" i="3"/>
  <c r="F231" i="3"/>
  <c r="E231" i="3"/>
  <c r="D231" i="3"/>
  <c r="C231" i="3"/>
  <c r="L231" i="3" s="1"/>
  <c r="M231" i="3" s="1"/>
  <c r="B231" i="3"/>
  <c r="A231" i="3"/>
  <c r="AB230" i="3"/>
  <c r="AA230" i="3"/>
  <c r="Z230" i="3"/>
  <c r="Y230" i="3"/>
  <c r="X230" i="3"/>
  <c r="W230" i="3"/>
  <c r="V230" i="3"/>
  <c r="T230" i="3"/>
  <c r="S230" i="3"/>
  <c r="R230" i="3"/>
  <c r="Q230" i="3"/>
  <c r="P230" i="3"/>
  <c r="O230" i="3"/>
  <c r="N230" i="3"/>
  <c r="K230" i="3"/>
  <c r="J230" i="3"/>
  <c r="I230" i="3"/>
  <c r="H230" i="3"/>
  <c r="G230" i="3"/>
  <c r="F230" i="3"/>
  <c r="E230" i="3"/>
  <c r="D230" i="3"/>
  <c r="C230" i="3"/>
  <c r="L230" i="3" s="1"/>
  <c r="M230" i="3" s="1"/>
  <c r="B230" i="3"/>
  <c r="A230" i="3"/>
  <c r="AB229" i="3"/>
  <c r="AA229" i="3"/>
  <c r="Z229" i="3"/>
  <c r="Y229" i="3"/>
  <c r="X229" i="3"/>
  <c r="W229" i="3"/>
  <c r="V229" i="3"/>
  <c r="T229" i="3"/>
  <c r="S229" i="3"/>
  <c r="R229" i="3"/>
  <c r="Q229" i="3"/>
  <c r="P229" i="3"/>
  <c r="O229" i="3"/>
  <c r="N229" i="3"/>
  <c r="L229" i="3"/>
  <c r="M229" i="3" s="1"/>
  <c r="K229" i="3"/>
  <c r="J229" i="3"/>
  <c r="I229" i="3"/>
  <c r="H229" i="3"/>
  <c r="G229" i="3"/>
  <c r="F229" i="3"/>
  <c r="E229" i="3"/>
  <c r="D229" i="3"/>
  <c r="C229" i="3"/>
  <c r="B229" i="3"/>
  <c r="A229" i="3"/>
  <c r="AB228" i="3"/>
  <c r="AA228" i="3"/>
  <c r="Z228" i="3"/>
  <c r="Y228" i="3"/>
  <c r="X228" i="3"/>
  <c r="W228" i="3"/>
  <c r="V228" i="3"/>
  <c r="T228" i="3"/>
  <c r="S228" i="3"/>
  <c r="R228" i="3"/>
  <c r="Q228" i="3"/>
  <c r="P228" i="3"/>
  <c r="O228" i="3"/>
  <c r="N228" i="3"/>
  <c r="K228" i="3"/>
  <c r="J228" i="3"/>
  <c r="I228" i="3"/>
  <c r="H228" i="3"/>
  <c r="G228" i="3"/>
  <c r="F228" i="3"/>
  <c r="E228" i="3"/>
  <c r="D228" i="3"/>
  <c r="C228" i="3"/>
  <c r="L228" i="3" s="1"/>
  <c r="M228" i="3" s="1"/>
  <c r="B228" i="3"/>
  <c r="A228" i="3"/>
  <c r="AB227" i="3"/>
  <c r="AA227" i="3"/>
  <c r="Z227" i="3"/>
  <c r="Y227" i="3"/>
  <c r="X227" i="3"/>
  <c r="W227" i="3"/>
  <c r="V227" i="3"/>
  <c r="T227" i="3"/>
  <c r="S227" i="3"/>
  <c r="R227" i="3"/>
  <c r="Q227" i="3"/>
  <c r="P227" i="3"/>
  <c r="O227" i="3"/>
  <c r="N227" i="3"/>
  <c r="K227" i="3"/>
  <c r="J227" i="3"/>
  <c r="I227" i="3"/>
  <c r="H227" i="3"/>
  <c r="G227" i="3"/>
  <c r="F227" i="3"/>
  <c r="E227" i="3"/>
  <c r="D227" i="3"/>
  <c r="C227" i="3"/>
  <c r="L227" i="3" s="1"/>
  <c r="M227" i="3" s="1"/>
  <c r="B227" i="3"/>
  <c r="A227" i="3"/>
  <c r="AB226" i="3"/>
  <c r="AA226" i="3"/>
  <c r="Z226" i="3"/>
  <c r="Y226" i="3"/>
  <c r="X226" i="3"/>
  <c r="W226" i="3"/>
  <c r="V226" i="3"/>
  <c r="T226" i="3"/>
  <c r="S226" i="3"/>
  <c r="R226" i="3"/>
  <c r="Q226" i="3"/>
  <c r="P226" i="3"/>
  <c r="O226" i="3"/>
  <c r="N226" i="3"/>
  <c r="K226" i="3"/>
  <c r="J226" i="3"/>
  <c r="I226" i="3"/>
  <c r="H226" i="3"/>
  <c r="G226" i="3"/>
  <c r="F226" i="3"/>
  <c r="E226" i="3"/>
  <c r="D226" i="3"/>
  <c r="C226" i="3"/>
  <c r="L226" i="3" s="1"/>
  <c r="M226" i="3" s="1"/>
  <c r="B226" i="3"/>
  <c r="A226" i="3"/>
  <c r="AB225" i="3"/>
  <c r="AA225" i="3"/>
  <c r="Z225" i="3"/>
  <c r="Y225" i="3"/>
  <c r="X225" i="3"/>
  <c r="W225" i="3"/>
  <c r="V225" i="3"/>
  <c r="T225" i="3"/>
  <c r="S225" i="3"/>
  <c r="R225" i="3"/>
  <c r="Q225" i="3"/>
  <c r="P225" i="3"/>
  <c r="O225" i="3"/>
  <c r="N225" i="3"/>
  <c r="K225" i="3"/>
  <c r="J225" i="3"/>
  <c r="I225" i="3"/>
  <c r="H225" i="3"/>
  <c r="G225" i="3"/>
  <c r="F225" i="3"/>
  <c r="E225" i="3"/>
  <c r="D225" i="3"/>
  <c r="C225" i="3"/>
  <c r="L225" i="3" s="1"/>
  <c r="M225" i="3" s="1"/>
  <c r="B225" i="3"/>
  <c r="A225" i="3"/>
  <c r="AB224" i="3"/>
  <c r="AA224" i="3"/>
  <c r="Z224" i="3"/>
  <c r="Y224" i="3"/>
  <c r="X224" i="3"/>
  <c r="W224" i="3"/>
  <c r="V224" i="3"/>
  <c r="T224" i="3"/>
  <c r="S224" i="3"/>
  <c r="R224" i="3"/>
  <c r="Q224" i="3"/>
  <c r="P224" i="3"/>
  <c r="O224" i="3"/>
  <c r="N224" i="3"/>
  <c r="K224" i="3"/>
  <c r="J224" i="3"/>
  <c r="I224" i="3"/>
  <c r="H224" i="3"/>
  <c r="G224" i="3"/>
  <c r="F224" i="3"/>
  <c r="E224" i="3"/>
  <c r="D224" i="3"/>
  <c r="C224" i="3"/>
  <c r="L224" i="3" s="1"/>
  <c r="M224" i="3" s="1"/>
  <c r="B224" i="3"/>
  <c r="A224" i="3"/>
  <c r="AB223" i="3"/>
  <c r="AA223" i="3"/>
  <c r="Z223" i="3"/>
  <c r="Y223" i="3"/>
  <c r="X223" i="3"/>
  <c r="W223" i="3"/>
  <c r="V223" i="3"/>
  <c r="T223" i="3"/>
  <c r="S223" i="3"/>
  <c r="R223" i="3"/>
  <c r="Q223" i="3"/>
  <c r="P223" i="3"/>
  <c r="O223" i="3"/>
  <c r="N223" i="3"/>
  <c r="K223" i="3"/>
  <c r="J223" i="3"/>
  <c r="I223" i="3"/>
  <c r="H223" i="3"/>
  <c r="G223" i="3"/>
  <c r="F223" i="3"/>
  <c r="E223" i="3"/>
  <c r="D223" i="3"/>
  <c r="C223" i="3"/>
  <c r="L223" i="3" s="1"/>
  <c r="M223" i="3" s="1"/>
  <c r="B223" i="3"/>
  <c r="A223" i="3"/>
  <c r="AB222" i="3"/>
  <c r="AA222" i="3"/>
  <c r="Z222" i="3"/>
  <c r="Y222" i="3"/>
  <c r="X222" i="3"/>
  <c r="W222" i="3"/>
  <c r="V222" i="3"/>
  <c r="T222" i="3"/>
  <c r="S222" i="3"/>
  <c r="R222" i="3"/>
  <c r="Q222" i="3"/>
  <c r="P222" i="3"/>
  <c r="O222" i="3"/>
  <c r="N222" i="3"/>
  <c r="K222" i="3"/>
  <c r="J222" i="3"/>
  <c r="I222" i="3"/>
  <c r="H222" i="3"/>
  <c r="G222" i="3"/>
  <c r="F222" i="3"/>
  <c r="E222" i="3"/>
  <c r="D222" i="3"/>
  <c r="C222" i="3"/>
  <c r="L222" i="3" s="1"/>
  <c r="M222" i="3" s="1"/>
  <c r="B222" i="3"/>
  <c r="A222" i="3"/>
  <c r="AB221" i="3"/>
  <c r="AA221" i="3"/>
  <c r="Z221" i="3"/>
  <c r="Y221" i="3"/>
  <c r="X221" i="3"/>
  <c r="W221" i="3"/>
  <c r="V221" i="3"/>
  <c r="T221" i="3"/>
  <c r="S221" i="3"/>
  <c r="R221" i="3"/>
  <c r="Q221" i="3"/>
  <c r="P221" i="3"/>
  <c r="O221" i="3"/>
  <c r="N221" i="3"/>
  <c r="K221" i="3"/>
  <c r="J221" i="3"/>
  <c r="I221" i="3"/>
  <c r="H221" i="3"/>
  <c r="G221" i="3"/>
  <c r="F221" i="3"/>
  <c r="E221" i="3"/>
  <c r="D221" i="3"/>
  <c r="C221" i="3"/>
  <c r="L221" i="3" s="1"/>
  <c r="M221" i="3" s="1"/>
  <c r="B221" i="3"/>
  <c r="A221" i="3"/>
  <c r="AB220" i="3"/>
  <c r="AA220" i="3"/>
  <c r="Z220" i="3"/>
  <c r="Y220" i="3"/>
  <c r="X220" i="3"/>
  <c r="W220" i="3"/>
  <c r="V220" i="3"/>
  <c r="T220" i="3"/>
  <c r="S220" i="3"/>
  <c r="R220" i="3"/>
  <c r="Q220" i="3"/>
  <c r="P220" i="3"/>
  <c r="O220" i="3"/>
  <c r="N220" i="3"/>
  <c r="K220" i="3"/>
  <c r="J220" i="3"/>
  <c r="I220" i="3"/>
  <c r="H220" i="3"/>
  <c r="G220" i="3"/>
  <c r="F220" i="3"/>
  <c r="E220" i="3"/>
  <c r="D220" i="3"/>
  <c r="C220" i="3"/>
  <c r="L220" i="3" s="1"/>
  <c r="M220" i="3" s="1"/>
  <c r="B220" i="3"/>
  <c r="A220" i="3"/>
  <c r="AB219" i="3"/>
  <c r="AA219" i="3"/>
  <c r="Z219" i="3"/>
  <c r="Y219" i="3"/>
  <c r="X219" i="3"/>
  <c r="W219" i="3"/>
  <c r="V219" i="3"/>
  <c r="T219" i="3"/>
  <c r="S219" i="3"/>
  <c r="R219" i="3"/>
  <c r="Q219" i="3"/>
  <c r="P219" i="3"/>
  <c r="O219" i="3"/>
  <c r="N219" i="3"/>
  <c r="K219" i="3"/>
  <c r="J219" i="3"/>
  <c r="I219" i="3"/>
  <c r="H219" i="3"/>
  <c r="G219" i="3"/>
  <c r="F219" i="3"/>
  <c r="E219" i="3"/>
  <c r="D219" i="3"/>
  <c r="C219" i="3"/>
  <c r="L219" i="3" s="1"/>
  <c r="M219" i="3" s="1"/>
  <c r="B219" i="3"/>
  <c r="A219" i="3"/>
  <c r="AB218" i="3"/>
  <c r="AA218" i="3"/>
  <c r="Z218" i="3"/>
  <c r="Y218" i="3"/>
  <c r="X218" i="3"/>
  <c r="W218" i="3"/>
  <c r="V218" i="3"/>
  <c r="T218" i="3"/>
  <c r="S218" i="3"/>
  <c r="R218" i="3"/>
  <c r="Q218" i="3"/>
  <c r="P218" i="3"/>
  <c r="O218" i="3"/>
  <c r="N218" i="3"/>
  <c r="K218" i="3"/>
  <c r="J218" i="3"/>
  <c r="I218" i="3"/>
  <c r="H218" i="3"/>
  <c r="G218" i="3"/>
  <c r="F218" i="3"/>
  <c r="E218" i="3"/>
  <c r="D218" i="3"/>
  <c r="C218" i="3"/>
  <c r="L218" i="3" s="1"/>
  <c r="M218" i="3" s="1"/>
  <c r="B218" i="3"/>
  <c r="A218" i="3"/>
  <c r="AB217" i="3"/>
  <c r="AA217" i="3"/>
  <c r="Z217" i="3"/>
  <c r="Y217" i="3"/>
  <c r="X217" i="3"/>
  <c r="W217" i="3"/>
  <c r="V217" i="3"/>
  <c r="T217" i="3"/>
  <c r="S217" i="3"/>
  <c r="R217" i="3"/>
  <c r="Q217" i="3"/>
  <c r="P217" i="3"/>
  <c r="O217" i="3"/>
  <c r="N217" i="3"/>
  <c r="K217" i="3"/>
  <c r="J217" i="3"/>
  <c r="I217" i="3"/>
  <c r="H217" i="3"/>
  <c r="G217" i="3"/>
  <c r="F217" i="3"/>
  <c r="E217" i="3"/>
  <c r="D217" i="3"/>
  <c r="C217" i="3"/>
  <c r="L217" i="3" s="1"/>
  <c r="M217" i="3" s="1"/>
  <c r="B217" i="3"/>
  <c r="A217" i="3"/>
  <c r="AB216" i="3"/>
  <c r="AA216" i="3"/>
  <c r="Z216" i="3"/>
  <c r="Y216" i="3"/>
  <c r="X216" i="3"/>
  <c r="W216" i="3"/>
  <c r="V216" i="3"/>
  <c r="T216" i="3"/>
  <c r="S216" i="3"/>
  <c r="R216" i="3"/>
  <c r="Q216" i="3"/>
  <c r="P216" i="3"/>
  <c r="O216" i="3"/>
  <c r="N216" i="3"/>
  <c r="K216" i="3"/>
  <c r="J216" i="3"/>
  <c r="I216" i="3"/>
  <c r="H216" i="3"/>
  <c r="G216" i="3"/>
  <c r="F216" i="3"/>
  <c r="E216" i="3"/>
  <c r="D216" i="3"/>
  <c r="C216" i="3"/>
  <c r="L216" i="3" s="1"/>
  <c r="M216" i="3" s="1"/>
  <c r="B216" i="3"/>
  <c r="A216" i="3"/>
  <c r="AB215" i="3"/>
  <c r="AA215" i="3"/>
  <c r="Z215" i="3"/>
  <c r="Y215" i="3"/>
  <c r="X215" i="3"/>
  <c r="W215" i="3"/>
  <c r="V215" i="3"/>
  <c r="T215" i="3"/>
  <c r="S215" i="3"/>
  <c r="R215" i="3"/>
  <c r="Q215" i="3"/>
  <c r="P215" i="3"/>
  <c r="O215" i="3"/>
  <c r="N215" i="3"/>
  <c r="K215" i="3"/>
  <c r="J215" i="3"/>
  <c r="I215" i="3"/>
  <c r="H215" i="3"/>
  <c r="G215" i="3"/>
  <c r="F215" i="3"/>
  <c r="E215" i="3"/>
  <c r="D215" i="3"/>
  <c r="C215" i="3"/>
  <c r="L215" i="3" s="1"/>
  <c r="M215" i="3" s="1"/>
  <c r="B215" i="3"/>
  <c r="A215" i="3"/>
  <c r="AB214" i="3"/>
  <c r="AA214" i="3"/>
  <c r="Z214" i="3"/>
  <c r="Y214" i="3"/>
  <c r="X214" i="3"/>
  <c r="W214" i="3"/>
  <c r="V214" i="3"/>
  <c r="T214" i="3"/>
  <c r="S214" i="3"/>
  <c r="R214" i="3"/>
  <c r="Q214" i="3"/>
  <c r="P214" i="3"/>
  <c r="O214" i="3"/>
  <c r="N214" i="3"/>
  <c r="K214" i="3"/>
  <c r="J214" i="3"/>
  <c r="I214" i="3"/>
  <c r="H214" i="3"/>
  <c r="G214" i="3"/>
  <c r="F214" i="3"/>
  <c r="E214" i="3"/>
  <c r="D214" i="3"/>
  <c r="C214" i="3"/>
  <c r="L214" i="3" s="1"/>
  <c r="M214" i="3" s="1"/>
  <c r="B214" i="3"/>
  <c r="A214" i="3"/>
  <c r="AB213" i="3"/>
  <c r="AA213" i="3"/>
  <c r="Z213" i="3"/>
  <c r="Y213" i="3"/>
  <c r="X213" i="3"/>
  <c r="W213" i="3"/>
  <c r="V213" i="3"/>
  <c r="T213" i="3"/>
  <c r="S213" i="3"/>
  <c r="R213" i="3"/>
  <c r="Q213" i="3"/>
  <c r="P213" i="3"/>
  <c r="O213" i="3"/>
  <c r="N213" i="3"/>
  <c r="K213" i="3"/>
  <c r="J213" i="3"/>
  <c r="I213" i="3"/>
  <c r="H213" i="3"/>
  <c r="G213" i="3"/>
  <c r="F213" i="3"/>
  <c r="E213" i="3"/>
  <c r="D213" i="3"/>
  <c r="C213" i="3"/>
  <c r="L213" i="3" s="1"/>
  <c r="M213" i="3" s="1"/>
  <c r="B213" i="3"/>
  <c r="A213" i="3"/>
  <c r="AB212" i="3"/>
  <c r="AA212" i="3"/>
  <c r="Z212" i="3"/>
  <c r="Y212" i="3"/>
  <c r="X212" i="3"/>
  <c r="W212" i="3"/>
  <c r="V212" i="3"/>
  <c r="T212" i="3"/>
  <c r="S212" i="3"/>
  <c r="R212" i="3"/>
  <c r="Q212" i="3"/>
  <c r="P212" i="3"/>
  <c r="O212" i="3"/>
  <c r="N212" i="3"/>
  <c r="K212" i="3"/>
  <c r="J212" i="3"/>
  <c r="I212" i="3"/>
  <c r="H212" i="3"/>
  <c r="G212" i="3"/>
  <c r="F212" i="3"/>
  <c r="E212" i="3"/>
  <c r="D212" i="3"/>
  <c r="C212" i="3"/>
  <c r="L212" i="3" s="1"/>
  <c r="M212" i="3" s="1"/>
  <c r="B212" i="3"/>
  <c r="A212" i="3"/>
  <c r="AB211" i="3"/>
  <c r="AA211" i="3"/>
  <c r="Z211" i="3"/>
  <c r="Y211" i="3"/>
  <c r="X211" i="3"/>
  <c r="W211" i="3"/>
  <c r="V211" i="3"/>
  <c r="T211" i="3"/>
  <c r="S211" i="3"/>
  <c r="R211" i="3"/>
  <c r="Q211" i="3"/>
  <c r="P211" i="3"/>
  <c r="O211" i="3"/>
  <c r="N211" i="3"/>
  <c r="K211" i="3"/>
  <c r="J211" i="3"/>
  <c r="I211" i="3"/>
  <c r="H211" i="3"/>
  <c r="G211" i="3"/>
  <c r="F211" i="3"/>
  <c r="E211" i="3"/>
  <c r="D211" i="3"/>
  <c r="C211" i="3"/>
  <c r="L211" i="3" s="1"/>
  <c r="M211" i="3" s="1"/>
  <c r="B211" i="3"/>
  <c r="A211" i="3"/>
  <c r="AB210" i="3"/>
  <c r="AA210" i="3"/>
  <c r="Z210" i="3"/>
  <c r="Y210" i="3"/>
  <c r="X210" i="3"/>
  <c r="W210" i="3"/>
  <c r="V210" i="3"/>
  <c r="T210" i="3"/>
  <c r="S210" i="3"/>
  <c r="R210" i="3"/>
  <c r="Q210" i="3"/>
  <c r="P210" i="3"/>
  <c r="O210" i="3"/>
  <c r="N210" i="3"/>
  <c r="K210" i="3"/>
  <c r="J210" i="3"/>
  <c r="I210" i="3"/>
  <c r="H210" i="3"/>
  <c r="G210" i="3"/>
  <c r="F210" i="3"/>
  <c r="E210" i="3"/>
  <c r="D210" i="3"/>
  <c r="C210" i="3"/>
  <c r="L210" i="3" s="1"/>
  <c r="M210" i="3" s="1"/>
  <c r="B210" i="3"/>
  <c r="A210" i="3"/>
  <c r="AB209" i="3"/>
  <c r="AA209" i="3"/>
  <c r="Z209" i="3"/>
  <c r="Y209" i="3"/>
  <c r="X209" i="3"/>
  <c r="W209" i="3"/>
  <c r="V209" i="3"/>
  <c r="T209" i="3"/>
  <c r="S209" i="3"/>
  <c r="R209" i="3"/>
  <c r="Q209" i="3"/>
  <c r="P209" i="3"/>
  <c r="O209" i="3"/>
  <c r="N209" i="3"/>
  <c r="K209" i="3"/>
  <c r="J209" i="3"/>
  <c r="I209" i="3"/>
  <c r="H209" i="3"/>
  <c r="G209" i="3"/>
  <c r="F209" i="3"/>
  <c r="E209" i="3"/>
  <c r="D209" i="3"/>
  <c r="C209" i="3"/>
  <c r="L209" i="3" s="1"/>
  <c r="M209" i="3" s="1"/>
  <c r="B209" i="3"/>
  <c r="A209" i="3"/>
  <c r="AB208" i="3"/>
  <c r="AA208" i="3"/>
  <c r="Z208" i="3"/>
  <c r="Y208" i="3"/>
  <c r="X208" i="3"/>
  <c r="W208" i="3"/>
  <c r="V208" i="3"/>
  <c r="T208" i="3"/>
  <c r="S208" i="3"/>
  <c r="R208" i="3"/>
  <c r="Q208" i="3"/>
  <c r="P208" i="3"/>
  <c r="O208" i="3"/>
  <c r="N208" i="3"/>
  <c r="K208" i="3"/>
  <c r="J208" i="3"/>
  <c r="I208" i="3"/>
  <c r="H208" i="3"/>
  <c r="G208" i="3"/>
  <c r="F208" i="3"/>
  <c r="E208" i="3"/>
  <c r="D208" i="3"/>
  <c r="AC208" i="3" s="1"/>
  <c r="C208" i="3"/>
  <c r="L208" i="3" s="1"/>
  <c r="M208" i="3" s="1"/>
  <c r="B208" i="3"/>
  <c r="A208" i="3"/>
  <c r="AB207" i="3"/>
  <c r="AA207" i="3"/>
  <c r="Z207" i="3"/>
  <c r="Y207" i="3"/>
  <c r="X207" i="3"/>
  <c r="W207" i="3"/>
  <c r="V207" i="3"/>
  <c r="T207" i="3"/>
  <c r="S207" i="3"/>
  <c r="R207" i="3"/>
  <c r="Q207" i="3"/>
  <c r="P207" i="3"/>
  <c r="O207" i="3"/>
  <c r="N207" i="3"/>
  <c r="K207" i="3"/>
  <c r="J207" i="3"/>
  <c r="I207" i="3"/>
  <c r="H207" i="3"/>
  <c r="G207" i="3"/>
  <c r="F207" i="3"/>
  <c r="E207" i="3"/>
  <c r="D207" i="3"/>
  <c r="C207" i="3"/>
  <c r="L207" i="3" s="1"/>
  <c r="M207" i="3" s="1"/>
  <c r="B207" i="3"/>
  <c r="A207" i="3"/>
  <c r="AB206" i="3"/>
  <c r="AA206" i="3"/>
  <c r="Z206" i="3"/>
  <c r="Y206" i="3"/>
  <c r="X206" i="3"/>
  <c r="W206" i="3"/>
  <c r="V206" i="3"/>
  <c r="T206" i="3"/>
  <c r="S206" i="3"/>
  <c r="R206" i="3"/>
  <c r="Q206" i="3"/>
  <c r="P206" i="3"/>
  <c r="O206" i="3"/>
  <c r="N206" i="3"/>
  <c r="K206" i="3"/>
  <c r="J206" i="3"/>
  <c r="I206" i="3"/>
  <c r="H206" i="3"/>
  <c r="G206" i="3"/>
  <c r="F206" i="3"/>
  <c r="E206" i="3"/>
  <c r="D206" i="3"/>
  <c r="C206" i="3"/>
  <c r="L206" i="3" s="1"/>
  <c r="M206" i="3" s="1"/>
  <c r="B206" i="3"/>
  <c r="A206" i="3"/>
  <c r="AB205" i="3"/>
  <c r="AA205" i="3"/>
  <c r="Z205" i="3"/>
  <c r="Y205" i="3"/>
  <c r="X205" i="3"/>
  <c r="W205" i="3"/>
  <c r="V205" i="3"/>
  <c r="T205" i="3"/>
  <c r="S205" i="3"/>
  <c r="R205" i="3"/>
  <c r="Q205" i="3"/>
  <c r="P205" i="3"/>
  <c r="O205" i="3"/>
  <c r="N205" i="3"/>
  <c r="K205" i="3"/>
  <c r="J205" i="3"/>
  <c r="I205" i="3"/>
  <c r="H205" i="3"/>
  <c r="G205" i="3"/>
  <c r="F205" i="3"/>
  <c r="E205" i="3"/>
  <c r="D205" i="3"/>
  <c r="C205" i="3"/>
  <c r="L205" i="3" s="1"/>
  <c r="M205" i="3" s="1"/>
  <c r="B205" i="3"/>
  <c r="A205" i="3"/>
  <c r="AB204" i="3"/>
  <c r="AA204" i="3"/>
  <c r="Z204" i="3"/>
  <c r="Y204" i="3"/>
  <c r="X204" i="3"/>
  <c r="W204" i="3"/>
  <c r="V204" i="3"/>
  <c r="T204" i="3"/>
  <c r="S204" i="3"/>
  <c r="R204" i="3"/>
  <c r="Q204" i="3"/>
  <c r="P204" i="3"/>
  <c r="O204" i="3"/>
  <c r="N204" i="3"/>
  <c r="K204" i="3"/>
  <c r="J204" i="3"/>
  <c r="I204" i="3"/>
  <c r="H204" i="3"/>
  <c r="G204" i="3"/>
  <c r="F204" i="3"/>
  <c r="E204" i="3"/>
  <c r="D204" i="3"/>
  <c r="C204" i="3"/>
  <c r="L204" i="3" s="1"/>
  <c r="M204" i="3" s="1"/>
  <c r="B204" i="3"/>
  <c r="A204" i="3"/>
  <c r="AB203" i="3"/>
  <c r="AA203" i="3"/>
  <c r="Z203" i="3"/>
  <c r="Y203" i="3"/>
  <c r="X203" i="3"/>
  <c r="W203" i="3"/>
  <c r="V203" i="3"/>
  <c r="T203" i="3"/>
  <c r="S203" i="3"/>
  <c r="R203" i="3"/>
  <c r="Q203" i="3"/>
  <c r="P203" i="3"/>
  <c r="O203" i="3"/>
  <c r="N203" i="3"/>
  <c r="K203" i="3"/>
  <c r="J203" i="3"/>
  <c r="I203" i="3"/>
  <c r="H203" i="3"/>
  <c r="G203" i="3"/>
  <c r="F203" i="3"/>
  <c r="E203" i="3"/>
  <c r="D203" i="3"/>
  <c r="C203" i="3"/>
  <c r="L203" i="3" s="1"/>
  <c r="M203" i="3" s="1"/>
  <c r="B203" i="3"/>
  <c r="A203" i="3"/>
  <c r="AB202" i="3"/>
  <c r="AA202" i="3"/>
  <c r="Z202" i="3"/>
  <c r="Y202" i="3"/>
  <c r="X202" i="3"/>
  <c r="W202" i="3"/>
  <c r="V202" i="3"/>
  <c r="T202" i="3"/>
  <c r="S202" i="3"/>
  <c r="R202" i="3"/>
  <c r="Q202" i="3"/>
  <c r="P202" i="3"/>
  <c r="O202" i="3"/>
  <c r="N202" i="3"/>
  <c r="K202" i="3"/>
  <c r="J202" i="3"/>
  <c r="I202" i="3"/>
  <c r="H202" i="3"/>
  <c r="G202" i="3"/>
  <c r="F202" i="3"/>
  <c r="E202" i="3"/>
  <c r="D202" i="3"/>
  <c r="C202" i="3"/>
  <c r="L202" i="3" s="1"/>
  <c r="M202" i="3" s="1"/>
  <c r="B202" i="3"/>
  <c r="A202" i="3"/>
  <c r="AB201" i="3"/>
  <c r="AA201" i="3"/>
  <c r="Z201" i="3"/>
  <c r="Y201" i="3"/>
  <c r="X201" i="3"/>
  <c r="W201" i="3"/>
  <c r="V201" i="3"/>
  <c r="T201" i="3"/>
  <c r="S201" i="3"/>
  <c r="R201" i="3"/>
  <c r="Q201" i="3"/>
  <c r="P201" i="3"/>
  <c r="O201" i="3"/>
  <c r="N201" i="3"/>
  <c r="K201" i="3"/>
  <c r="J201" i="3"/>
  <c r="I201" i="3"/>
  <c r="H201" i="3"/>
  <c r="G201" i="3"/>
  <c r="F201" i="3"/>
  <c r="E201" i="3"/>
  <c r="D201" i="3"/>
  <c r="C201" i="3"/>
  <c r="L201" i="3" s="1"/>
  <c r="M201" i="3" s="1"/>
  <c r="B201" i="3"/>
  <c r="A201" i="3"/>
  <c r="AB200" i="3"/>
  <c r="AA200" i="3"/>
  <c r="Z200" i="3"/>
  <c r="Y200" i="3"/>
  <c r="X200" i="3"/>
  <c r="W200" i="3"/>
  <c r="V200" i="3"/>
  <c r="T200" i="3"/>
  <c r="S200" i="3"/>
  <c r="R200" i="3"/>
  <c r="Q200" i="3"/>
  <c r="P200" i="3"/>
  <c r="O200" i="3"/>
  <c r="N200" i="3"/>
  <c r="K200" i="3"/>
  <c r="J200" i="3"/>
  <c r="I200" i="3"/>
  <c r="H200" i="3"/>
  <c r="G200" i="3"/>
  <c r="F200" i="3"/>
  <c r="E200" i="3"/>
  <c r="D200" i="3"/>
  <c r="AC200" i="3" s="1"/>
  <c r="C200" i="3"/>
  <c r="L200" i="3" s="1"/>
  <c r="M200" i="3" s="1"/>
  <c r="B200" i="3"/>
  <c r="A200" i="3"/>
  <c r="AB199" i="3"/>
  <c r="AA199" i="3"/>
  <c r="Z199" i="3"/>
  <c r="Y199" i="3"/>
  <c r="X199" i="3"/>
  <c r="W199" i="3"/>
  <c r="V199" i="3"/>
  <c r="T199" i="3"/>
  <c r="S199" i="3"/>
  <c r="R199" i="3"/>
  <c r="Q199" i="3"/>
  <c r="P199" i="3"/>
  <c r="O199" i="3"/>
  <c r="N199" i="3"/>
  <c r="K199" i="3"/>
  <c r="J199" i="3"/>
  <c r="I199" i="3"/>
  <c r="H199" i="3"/>
  <c r="G199" i="3"/>
  <c r="F199" i="3"/>
  <c r="E199" i="3"/>
  <c r="D199" i="3"/>
  <c r="C199" i="3"/>
  <c r="L199" i="3" s="1"/>
  <c r="M199" i="3" s="1"/>
  <c r="B199" i="3"/>
  <c r="A199" i="3"/>
  <c r="AB198" i="3"/>
  <c r="AC198" i="3" s="1"/>
  <c r="AA198" i="3"/>
  <c r="Z198" i="3"/>
  <c r="Y198" i="3"/>
  <c r="X198" i="3"/>
  <c r="W198" i="3"/>
  <c r="V198" i="3"/>
  <c r="T198" i="3"/>
  <c r="S198" i="3"/>
  <c r="R198" i="3"/>
  <c r="Q198" i="3"/>
  <c r="P198" i="3"/>
  <c r="O198" i="3"/>
  <c r="N198" i="3"/>
  <c r="K198" i="3"/>
  <c r="J198" i="3"/>
  <c r="I198" i="3"/>
  <c r="H198" i="3"/>
  <c r="G198" i="3"/>
  <c r="F198" i="3"/>
  <c r="E198" i="3"/>
  <c r="D198" i="3"/>
  <c r="C198" i="3"/>
  <c r="L198" i="3" s="1"/>
  <c r="M198" i="3" s="1"/>
  <c r="B198" i="3"/>
  <c r="A198" i="3"/>
  <c r="AB197" i="3"/>
  <c r="AA197" i="3"/>
  <c r="Z197" i="3"/>
  <c r="Y197" i="3"/>
  <c r="X197" i="3"/>
  <c r="W197" i="3"/>
  <c r="V197" i="3"/>
  <c r="T197" i="3"/>
  <c r="S197" i="3"/>
  <c r="R197" i="3"/>
  <c r="Q197" i="3"/>
  <c r="P197" i="3"/>
  <c r="O197" i="3"/>
  <c r="N197" i="3"/>
  <c r="K197" i="3"/>
  <c r="J197" i="3"/>
  <c r="I197" i="3"/>
  <c r="H197" i="3"/>
  <c r="G197" i="3"/>
  <c r="F197" i="3"/>
  <c r="E197" i="3"/>
  <c r="D197" i="3"/>
  <c r="C197" i="3"/>
  <c r="L197" i="3" s="1"/>
  <c r="M197" i="3" s="1"/>
  <c r="B197" i="3"/>
  <c r="A197" i="3"/>
  <c r="AB196" i="3"/>
  <c r="AA196" i="3"/>
  <c r="Z196" i="3"/>
  <c r="Y196" i="3"/>
  <c r="X196" i="3"/>
  <c r="W196" i="3"/>
  <c r="V196" i="3"/>
  <c r="T196" i="3"/>
  <c r="S196" i="3"/>
  <c r="R196" i="3"/>
  <c r="Q196" i="3"/>
  <c r="P196" i="3"/>
  <c r="O196" i="3"/>
  <c r="N196" i="3"/>
  <c r="K196" i="3"/>
  <c r="J196" i="3"/>
  <c r="I196" i="3"/>
  <c r="H196" i="3"/>
  <c r="G196" i="3"/>
  <c r="F196" i="3"/>
  <c r="E196" i="3"/>
  <c r="D196" i="3"/>
  <c r="C196" i="3"/>
  <c r="L196" i="3" s="1"/>
  <c r="M196" i="3" s="1"/>
  <c r="B196" i="3"/>
  <c r="A196" i="3"/>
  <c r="AB195" i="3"/>
  <c r="AA195" i="3"/>
  <c r="Z195" i="3"/>
  <c r="Y195" i="3"/>
  <c r="X195" i="3"/>
  <c r="W195" i="3"/>
  <c r="V195" i="3"/>
  <c r="T195" i="3"/>
  <c r="S195" i="3"/>
  <c r="R195" i="3"/>
  <c r="Q195" i="3"/>
  <c r="P195" i="3"/>
  <c r="O195" i="3"/>
  <c r="N195" i="3"/>
  <c r="K195" i="3"/>
  <c r="J195" i="3"/>
  <c r="I195" i="3"/>
  <c r="H195" i="3"/>
  <c r="G195" i="3"/>
  <c r="F195" i="3"/>
  <c r="E195" i="3"/>
  <c r="D195" i="3"/>
  <c r="C195" i="3"/>
  <c r="L195" i="3" s="1"/>
  <c r="M195" i="3" s="1"/>
  <c r="B195" i="3"/>
  <c r="A195" i="3"/>
  <c r="AB194" i="3"/>
  <c r="AA194" i="3"/>
  <c r="Z194" i="3"/>
  <c r="Y194" i="3"/>
  <c r="X194" i="3"/>
  <c r="W194" i="3"/>
  <c r="V194" i="3"/>
  <c r="T194" i="3"/>
  <c r="S194" i="3"/>
  <c r="R194" i="3"/>
  <c r="Q194" i="3"/>
  <c r="P194" i="3"/>
  <c r="O194" i="3"/>
  <c r="N194" i="3"/>
  <c r="K194" i="3"/>
  <c r="J194" i="3"/>
  <c r="I194" i="3"/>
  <c r="H194" i="3"/>
  <c r="G194" i="3"/>
  <c r="F194" i="3"/>
  <c r="E194" i="3"/>
  <c r="D194" i="3"/>
  <c r="C194" i="3"/>
  <c r="L194" i="3" s="1"/>
  <c r="M194" i="3" s="1"/>
  <c r="B194" i="3"/>
  <c r="A194" i="3"/>
  <c r="AB193" i="3"/>
  <c r="AA193" i="3"/>
  <c r="Z193" i="3"/>
  <c r="Y193" i="3"/>
  <c r="X193" i="3"/>
  <c r="W193" i="3"/>
  <c r="V193" i="3"/>
  <c r="T193" i="3"/>
  <c r="S193" i="3"/>
  <c r="R193" i="3"/>
  <c r="Q193" i="3"/>
  <c r="P193" i="3"/>
  <c r="O193" i="3"/>
  <c r="N193" i="3"/>
  <c r="K193" i="3"/>
  <c r="J193" i="3"/>
  <c r="I193" i="3"/>
  <c r="H193" i="3"/>
  <c r="G193" i="3"/>
  <c r="F193" i="3"/>
  <c r="E193" i="3"/>
  <c r="D193" i="3"/>
  <c r="C193" i="3"/>
  <c r="L193" i="3" s="1"/>
  <c r="M193" i="3" s="1"/>
  <c r="B193" i="3"/>
  <c r="A193" i="3"/>
  <c r="AB192" i="3"/>
  <c r="AA192" i="3"/>
  <c r="Z192" i="3"/>
  <c r="Y192" i="3"/>
  <c r="X192" i="3"/>
  <c r="W192" i="3"/>
  <c r="V192" i="3"/>
  <c r="T192" i="3"/>
  <c r="S192" i="3"/>
  <c r="R192" i="3"/>
  <c r="Q192" i="3"/>
  <c r="P192" i="3"/>
  <c r="O192" i="3"/>
  <c r="N192" i="3"/>
  <c r="K192" i="3"/>
  <c r="J192" i="3"/>
  <c r="I192" i="3"/>
  <c r="H192" i="3"/>
  <c r="G192" i="3"/>
  <c r="F192" i="3"/>
  <c r="E192" i="3"/>
  <c r="D192" i="3"/>
  <c r="C192" i="3"/>
  <c r="L192" i="3" s="1"/>
  <c r="M192" i="3" s="1"/>
  <c r="B192" i="3"/>
  <c r="A192" i="3"/>
  <c r="AB191" i="3"/>
  <c r="AA191" i="3"/>
  <c r="Z191" i="3"/>
  <c r="Y191" i="3"/>
  <c r="X191" i="3"/>
  <c r="W191" i="3"/>
  <c r="V191" i="3"/>
  <c r="T191" i="3"/>
  <c r="S191" i="3"/>
  <c r="R191" i="3"/>
  <c r="Q191" i="3"/>
  <c r="P191" i="3"/>
  <c r="O191" i="3"/>
  <c r="N191" i="3"/>
  <c r="K191" i="3"/>
  <c r="J191" i="3"/>
  <c r="I191" i="3"/>
  <c r="H191" i="3"/>
  <c r="G191" i="3"/>
  <c r="F191" i="3"/>
  <c r="E191" i="3"/>
  <c r="D191" i="3"/>
  <c r="C191" i="3"/>
  <c r="L191" i="3" s="1"/>
  <c r="M191" i="3" s="1"/>
  <c r="B191" i="3"/>
  <c r="A191" i="3"/>
  <c r="AB190" i="3"/>
  <c r="AA190" i="3"/>
  <c r="Z190" i="3"/>
  <c r="Y190" i="3"/>
  <c r="X190" i="3"/>
  <c r="W190" i="3"/>
  <c r="V190" i="3"/>
  <c r="T190" i="3"/>
  <c r="S190" i="3"/>
  <c r="R190" i="3"/>
  <c r="Q190" i="3"/>
  <c r="P190" i="3"/>
  <c r="O190" i="3"/>
  <c r="N190" i="3"/>
  <c r="K190" i="3"/>
  <c r="J190" i="3"/>
  <c r="I190" i="3"/>
  <c r="H190" i="3"/>
  <c r="G190" i="3"/>
  <c r="F190" i="3"/>
  <c r="E190" i="3"/>
  <c r="D190" i="3"/>
  <c r="C190" i="3"/>
  <c r="L190" i="3" s="1"/>
  <c r="M190" i="3" s="1"/>
  <c r="B190" i="3"/>
  <c r="A190" i="3"/>
  <c r="AB189" i="3"/>
  <c r="AA189" i="3"/>
  <c r="Z189" i="3"/>
  <c r="Y189" i="3"/>
  <c r="X189" i="3"/>
  <c r="W189" i="3"/>
  <c r="V189" i="3"/>
  <c r="T189" i="3"/>
  <c r="S189" i="3"/>
  <c r="R189" i="3"/>
  <c r="Q189" i="3"/>
  <c r="P189" i="3"/>
  <c r="O189" i="3"/>
  <c r="N189" i="3"/>
  <c r="K189" i="3"/>
  <c r="J189" i="3"/>
  <c r="I189" i="3"/>
  <c r="H189" i="3"/>
  <c r="G189" i="3"/>
  <c r="F189" i="3"/>
  <c r="E189" i="3"/>
  <c r="D189" i="3"/>
  <c r="C189" i="3"/>
  <c r="L189" i="3" s="1"/>
  <c r="M189" i="3" s="1"/>
  <c r="B189" i="3"/>
  <c r="A189" i="3"/>
  <c r="AB188" i="3"/>
  <c r="AA188" i="3"/>
  <c r="Z188" i="3"/>
  <c r="Y188" i="3"/>
  <c r="X188" i="3"/>
  <c r="W188" i="3"/>
  <c r="V188" i="3"/>
  <c r="T188" i="3"/>
  <c r="S188" i="3"/>
  <c r="R188" i="3"/>
  <c r="Q188" i="3"/>
  <c r="P188" i="3"/>
  <c r="O188" i="3"/>
  <c r="N188" i="3"/>
  <c r="K188" i="3"/>
  <c r="J188" i="3"/>
  <c r="I188" i="3"/>
  <c r="H188" i="3"/>
  <c r="G188" i="3"/>
  <c r="F188" i="3"/>
  <c r="E188" i="3"/>
  <c r="D188" i="3"/>
  <c r="C188" i="3"/>
  <c r="L188" i="3" s="1"/>
  <c r="M188" i="3" s="1"/>
  <c r="B188" i="3"/>
  <c r="A188" i="3"/>
  <c r="AB187" i="3"/>
  <c r="AA187" i="3"/>
  <c r="Z187" i="3"/>
  <c r="Y187" i="3"/>
  <c r="X187" i="3"/>
  <c r="W187" i="3"/>
  <c r="V187" i="3"/>
  <c r="T187" i="3"/>
  <c r="S187" i="3"/>
  <c r="R187" i="3"/>
  <c r="Q187" i="3"/>
  <c r="P187" i="3"/>
  <c r="O187" i="3"/>
  <c r="N187" i="3"/>
  <c r="K187" i="3"/>
  <c r="J187" i="3"/>
  <c r="I187" i="3"/>
  <c r="H187" i="3"/>
  <c r="G187" i="3"/>
  <c r="F187" i="3"/>
  <c r="E187" i="3"/>
  <c r="D187" i="3"/>
  <c r="C187" i="3"/>
  <c r="L187" i="3" s="1"/>
  <c r="M187" i="3" s="1"/>
  <c r="B187" i="3"/>
  <c r="A187" i="3"/>
  <c r="AB186" i="3"/>
  <c r="AA186" i="3"/>
  <c r="Z186" i="3"/>
  <c r="Y186" i="3"/>
  <c r="X186" i="3"/>
  <c r="W186" i="3"/>
  <c r="V186" i="3"/>
  <c r="T186" i="3"/>
  <c r="S186" i="3"/>
  <c r="R186" i="3"/>
  <c r="Q186" i="3"/>
  <c r="P186" i="3"/>
  <c r="O186" i="3"/>
  <c r="N186" i="3"/>
  <c r="K186" i="3"/>
  <c r="J186" i="3"/>
  <c r="I186" i="3"/>
  <c r="H186" i="3"/>
  <c r="G186" i="3"/>
  <c r="F186" i="3"/>
  <c r="E186" i="3"/>
  <c r="D186" i="3"/>
  <c r="C186" i="3"/>
  <c r="L186" i="3" s="1"/>
  <c r="M186" i="3" s="1"/>
  <c r="B186" i="3"/>
  <c r="A186" i="3"/>
  <c r="AB185" i="3"/>
  <c r="AA185" i="3"/>
  <c r="Z185" i="3"/>
  <c r="Y185" i="3"/>
  <c r="X185" i="3"/>
  <c r="W185" i="3"/>
  <c r="V185" i="3"/>
  <c r="T185" i="3"/>
  <c r="S185" i="3"/>
  <c r="R185" i="3"/>
  <c r="Q185" i="3"/>
  <c r="P185" i="3"/>
  <c r="O185" i="3"/>
  <c r="N185" i="3"/>
  <c r="K185" i="3"/>
  <c r="J185" i="3"/>
  <c r="I185" i="3"/>
  <c r="H185" i="3"/>
  <c r="G185" i="3"/>
  <c r="F185" i="3"/>
  <c r="E185" i="3"/>
  <c r="D185" i="3"/>
  <c r="C185" i="3"/>
  <c r="L185" i="3" s="1"/>
  <c r="M185" i="3" s="1"/>
  <c r="B185" i="3"/>
  <c r="A185" i="3"/>
  <c r="AB184" i="3"/>
  <c r="AA184" i="3"/>
  <c r="Z184" i="3"/>
  <c r="Y184" i="3"/>
  <c r="X184" i="3"/>
  <c r="W184" i="3"/>
  <c r="V184" i="3"/>
  <c r="T184" i="3"/>
  <c r="S184" i="3"/>
  <c r="R184" i="3"/>
  <c r="Q184" i="3"/>
  <c r="P184" i="3"/>
  <c r="O184" i="3"/>
  <c r="N184" i="3"/>
  <c r="K184" i="3"/>
  <c r="J184" i="3"/>
  <c r="I184" i="3"/>
  <c r="H184" i="3"/>
  <c r="G184" i="3"/>
  <c r="F184" i="3"/>
  <c r="E184" i="3"/>
  <c r="D184" i="3"/>
  <c r="C184" i="3"/>
  <c r="L184" i="3" s="1"/>
  <c r="M184" i="3" s="1"/>
  <c r="B184" i="3"/>
  <c r="A184" i="3"/>
  <c r="AB183" i="3"/>
  <c r="AA183" i="3"/>
  <c r="Z183" i="3"/>
  <c r="Y183" i="3"/>
  <c r="X183" i="3"/>
  <c r="W183" i="3"/>
  <c r="V183" i="3"/>
  <c r="T183" i="3"/>
  <c r="S183" i="3"/>
  <c r="R183" i="3"/>
  <c r="Q183" i="3"/>
  <c r="P183" i="3"/>
  <c r="O183" i="3"/>
  <c r="N183" i="3"/>
  <c r="K183" i="3"/>
  <c r="J183" i="3"/>
  <c r="I183" i="3"/>
  <c r="H183" i="3"/>
  <c r="G183" i="3"/>
  <c r="F183" i="3"/>
  <c r="E183" i="3"/>
  <c r="D183" i="3"/>
  <c r="C183" i="3"/>
  <c r="L183" i="3" s="1"/>
  <c r="M183" i="3" s="1"/>
  <c r="B183" i="3"/>
  <c r="A183" i="3"/>
  <c r="AB182" i="3"/>
  <c r="AA182" i="3"/>
  <c r="Z182" i="3"/>
  <c r="Y182" i="3"/>
  <c r="X182" i="3"/>
  <c r="W182" i="3"/>
  <c r="V182" i="3"/>
  <c r="T182" i="3"/>
  <c r="S182" i="3"/>
  <c r="R182" i="3"/>
  <c r="Q182" i="3"/>
  <c r="P182" i="3"/>
  <c r="O182" i="3"/>
  <c r="N182" i="3"/>
  <c r="K182" i="3"/>
  <c r="J182" i="3"/>
  <c r="I182" i="3"/>
  <c r="H182" i="3"/>
  <c r="G182" i="3"/>
  <c r="F182" i="3"/>
  <c r="E182" i="3"/>
  <c r="D182" i="3"/>
  <c r="C182" i="3"/>
  <c r="L182" i="3" s="1"/>
  <c r="M182" i="3" s="1"/>
  <c r="B182" i="3"/>
  <c r="A182" i="3"/>
  <c r="AB181" i="3"/>
  <c r="AA181" i="3"/>
  <c r="Z181" i="3"/>
  <c r="Y181" i="3"/>
  <c r="X181" i="3"/>
  <c r="W181" i="3"/>
  <c r="V181" i="3"/>
  <c r="T181" i="3"/>
  <c r="S181" i="3"/>
  <c r="R181" i="3"/>
  <c r="Q181" i="3"/>
  <c r="P181" i="3"/>
  <c r="O181" i="3"/>
  <c r="N181" i="3"/>
  <c r="L181" i="3"/>
  <c r="M181" i="3" s="1"/>
  <c r="K181" i="3"/>
  <c r="J181" i="3"/>
  <c r="I181" i="3"/>
  <c r="H181" i="3"/>
  <c r="G181" i="3"/>
  <c r="F181" i="3"/>
  <c r="E181" i="3"/>
  <c r="D181" i="3"/>
  <c r="C181" i="3"/>
  <c r="B181" i="3"/>
  <c r="A181" i="3"/>
  <c r="AB180" i="3"/>
  <c r="AA180" i="3"/>
  <c r="Z180" i="3"/>
  <c r="Y180" i="3"/>
  <c r="X180" i="3"/>
  <c r="W180" i="3"/>
  <c r="V180" i="3"/>
  <c r="T180" i="3"/>
  <c r="S180" i="3"/>
  <c r="R180" i="3"/>
  <c r="Q180" i="3"/>
  <c r="P180" i="3"/>
  <c r="O180" i="3"/>
  <c r="N180" i="3"/>
  <c r="K180" i="3"/>
  <c r="J180" i="3"/>
  <c r="I180" i="3"/>
  <c r="H180" i="3"/>
  <c r="G180" i="3"/>
  <c r="F180" i="3"/>
  <c r="E180" i="3"/>
  <c r="D180" i="3"/>
  <c r="C180" i="3"/>
  <c r="L180" i="3" s="1"/>
  <c r="M180" i="3" s="1"/>
  <c r="B180" i="3"/>
  <c r="A180" i="3"/>
  <c r="AB179" i="3"/>
  <c r="AA179" i="3"/>
  <c r="Z179" i="3"/>
  <c r="Y179" i="3"/>
  <c r="X179" i="3"/>
  <c r="W179" i="3"/>
  <c r="V179" i="3"/>
  <c r="T179" i="3"/>
  <c r="S179" i="3"/>
  <c r="R179" i="3"/>
  <c r="Q179" i="3"/>
  <c r="P179" i="3"/>
  <c r="O179" i="3"/>
  <c r="N179" i="3"/>
  <c r="K179" i="3"/>
  <c r="J179" i="3"/>
  <c r="I179" i="3"/>
  <c r="H179" i="3"/>
  <c r="G179" i="3"/>
  <c r="F179" i="3"/>
  <c r="E179" i="3"/>
  <c r="D179" i="3"/>
  <c r="C179" i="3"/>
  <c r="L179" i="3" s="1"/>
  <c r="M179" i="3" s="1"/>
  <c r="B179" i="3"/>
  <c r="A179" i="3"/>
  <c r="AB178" i="3"/>
  <c r="AA178" i="3"/>
  <c r="Z178" i="3"/>
  <c r="Y178" i="3"/>
  <c r="X178" i="3"/>
  <c r="W178" i="3"/>
  <c r="V178" i="3"/>
  <c r="T178" i="3"/>
  <c r="S178" i="3"/>
  <c r="R178" i="3"/>
  <c r="Q178" i="3"/>
  <c r="P178" i="3"/>
  <c r="O178" i="3"/>
  <c r="N178" i="3"/>
  <c r="K178" i="3"/>
  <c r="J178" i="3"/>
  <c r="I178" i="3"/>
  <c r="H178" i="3"/>
  <c r="G178" i="3"/>
  <c r="F178" i="3"/>
  <c r="E178" i="3"/>
  <c r="D178" i="3"/>
  <c r="C178" i="3"/>
  <c r="L178" i="3" s="1"/>
  <c r="M178" i="3" s="1"/>
  <c r="B178" i="3"/>
  <c r="A178" i="3"/>
  <c r="AB177" i="3"/>
  <c r="AA177" i="3"/>
  <c r="Z177" i="3"/>
  <c r="Y177" i="3"/>
  <c r="X177" i="3"/>
  <c r="W177" i="3"/>
  <c r="V177" i="3"/>
  <c r="T177" i="3"/>
  <c r="S177" i="3"/>
  <c r="R177" i="3"/>
  <c r="Q177" i="3"/>
  <c r="P177" i="3"/>
  <c r="O177" i="3"/>
  <c r="N177" i="3"/>
  <c r="K177" i="3"/>
  <c r="J177" i="3"/>
  <c r="I177" i="3"/>
  <c r="H177" i="3"/>
  <c r="G177" i="3"/>
  <c r="F177" i="3"/>
  <c r="E177" i="3"/>
  <c r="D177" i="3"/>
  <c r="C177" i="3"/>
  <c r="L177" i="3" s="1"/>
  <c r="M177" i="3" s="1"/>
  <c r="B177" i="3"/>
  <c r="A177" i="3"/>
  <c r="AB176" i="3"/>
  <c r="AA176" i="3"/>
  <c r="Z176" i="3"/>
  <c r="Y176" i="3"/>
  <c r="X176" i="3"/>
  <c r="W176" i="3"/>
  <c r="V176" i="3"/>
  <c r="T176" i="3"/>
  <c r="S176" i="3"/>
  <c r="R176" i="3"/>
  <c r="Q176" i="3"/>
  <c r="P176" i="3"/>
  <c r="O176" i="3"/>
  <c r="N176" i="3"/>
  <c r="K176" i="3"/>
  <c r="J176" i="3"/>
  <c r="I176" i="3"/>
  <c r="H176" i="3"/>
  <c r="G176" i="3"/>
  <c r="F176" i="3"/>
  <c r="E176" i="3"/>
  <c r="D176" i="3"/>
  <c r="C176" i="3"/>
  <c r="L176" i="3" s="1"/>
  <c r="M176" i="3" s="1"/>
  <c r="B176" i="3"/>
  <c r="A176" i="3"/>
  <c r="AB175" i="3"/>
  <c r="AA175" i="3"/>
  <c r="Z175" i="3"/>
  <c r="Y175" i="3"/>
  <c r="X175" i="3"/>
  <c r="W175" i="3"/>
  <c r="V175" i="3"/>
  <c r="T175" i="3"/>
  <c r="S175" i="3"/>
  <c r="R175" i="3"/>
  <c r="Q175" i="3"/>
  <c r="P175" i="3"/>
  <c r="O175" i="3"/>
  <c r="N175" i="3"/>
  <c r="K175" i="3"/>
  <c r="J175" i="3"/>
  <c r="I175" i="3"/>
  <c r="H175" i="3"/>
  <c r="G175" i="3"/>
  <c r="F175" i="3"/>
  <c r="E175" i="3"/>
  <c r="D175" i="3"/>
  <c r="C175" i="3"/>
  <c r="L175" i="3" s="1"/>
  <c r="M175" i="3" s="1"/>
  <c r="B175" i="3"/>
  <c r="A175" i="3"/>
  <c r="AB174" i="3"/>
  <c r="AA174" i="3"/>
  <c r="Z174" i="3"/>
  <c r="Y174" i="3"/>
  <c r="X174" i="3"/>
  <c r="W174" i="3"/>
  <c r="V174" i="3"/>
  <c r="T174" i="3"/>
  <c r="S174" i="3"/>
  <c r="R174" i="3"/>
  <c r="Q174" i="3"/>
  <c r="P174" i="3"/>
  <c r="O174" i="3"/>
  <c r="N174" i="3"/>
  <c r="K174" i="3"/>
  <c r="J174" i="3"/>
  <c r="I174" i="3"/>
  <c r="H174" i="3"/>
  <c r="G174" i="3"/>
  <c r="F174" i="3"/>
  <c r="E174" i="3"/>
  <c r="D174" i="3"/>
  <c r="C174" i="3"/>
  <c r="L174" i="3" s="1"/>
  <c r="M174" i="3" s="1"/>
  <c r="B174" i="3"/>
  <c r="A174" i="3"/>
  <c r="AB173" i="3"/>
  <c r="AA173" i="3"/>
  <c r="Z173" i="3"/>
  <c r="Y173" i="3"/>
  <c r="X173" i="3"/>
  <c r="W173" i="3"/>
  <c r="V173" i="3"/>
  <c r="T173" i="3"/>
  <c r="S173" i="3"/>
  <c r="R173" i="3"/>
  <c r="Q173" i="3"/>
  <c r="P173" i="3"/>
  <c r="O173" i="3"/>
  <c r="N173" i="3"/>
  <c r="K173" i="3"/>
  <c r="J173" i="3"/>
  <c r="I173" i="3"/>
  <c r="H173" i="3"/>
  <c r="G173" i="3"/>
  <c r="F173" i="3"/>
  <c r="E173" i="3"/>
  <c r="D173" i="3"/>
  <c r="C173" i="3"/>
  <c r="L173" i="3" s="1"/>
  <c r="M173" i="3" s="1"/>
  <c r="B173" i="3"/>
  <c r="A173" i="3"/>
  <c r="AB172" i="3"/>
  <c r="AA172" i="3"/>
  <c r="Z172" i="3"/>
  <c r="Y172" i="3"/>
  <c r="X172" i="3"/>
  <c r="W172" i="3"/>
  <c r="V172" i="3"/>
  <c r="T172" i="3"/>
  <c r="S172" i="3"/>
  <c r="R172" i="3"/>
  <c r="Q172" i="3"/>
  <c r="P172" i="3"/>
  <c r="O172" i="3"/>
  <c r="N172" i="3"/>
  <c r="K172" i="3"/>
  <c r="J172" i="3"/>
  <c r="I172" i="3"/>
  <c r="H172" i="3"/>
  <c r="G172" i="3"/>
  <c r="F172" i="3"/>
  <c r="E172" i="3"/>
  <c r="D172" i="3"/>
  <c r="C172" i="3"/>
  <c r="L172" i="3" s="1"/>
  <c r="M172" i="3" s="1"/>
  <c r="B172" i="3"/>
  <c r="A172" i="3"/>
  <c r="AB171" i="3"/>
  <c r="AA171" i="3"/>
  <c r="Z171" i="3"/>
  <c r="Y171" i="3"/>
  <c r="X171" i="3"/>
  <c r="W171" i="3"/>
  <c r="V171" i="3"/>
  <c r="T171" i="3"/>
  <c r="S171" i="3"/>
  <c r="R171" i="3"/>
  <c r="Q171" i="3"/>
  <c r="P171" i="3"/>
  <c r="O171" i="3"/>
  <c r="N171" i="3"/>
  <c r="K171" i="3"/>
  <c r="J171" i="3"/>
  <c r="I171" i="3"/>
  <c r="H171" i="3"/>
  <c r="G171" i="3"/>
  <c r="F171" i="3"/>
  <c r="E171" i="3"/>
  <c r="D171" i="3"/>
  <c r="C171" i="3"/>
  <c r="L171" i="3" s="1"/>
  <c r="M171" i="3" s="1"/>
  <c r="B171" i="3"/>
  <c r="A171" i="3"/>
  <c r="AB170" i="3"/>
  <c r="AA170" i="3"/>
  <c r="Z170" i="3"/>
  <c r="Y170" i="3"/>
  <c r="X170" i="3"/>
  <c r="W170" i="3"/>
  <c r="V170" i="3"/>
  <c r="T170" i="3"/>
  <c r="S170" i="3"/>
  <c r="R170" i="3"/>
  <c r="Q170" i="3"/>
  <c r="P170" i="3"/>
  <c r="O170" i="3"/>
  <c r="N170" i="3"/>
  <c r="K170" i="3"/>
  <c r="J170" i="3"/>
  <c r="I170" i="3"/>
  <c r="H170" i="3"/>
  <c r="G170" i="3"/>
  <c r="F170" i="3"/>
  <c r="E170" i="3"/>
  <c r="D170" i="3"/>
  <c r="C170" i="3"/>
  <c r="L170" i="3" s="1"/>
  <c r="M170" i="3" s="1"/>
  <c r="B170" i="3"/>
  <c r="A170" i="3"/>
  <c r="AB169" i="3"/>
  <c r="AA169" i="3"/>
  <c r="Z169" i="3"/>
  <c r="Y169" i="3"/>
  <c r="X169" i="3"/>
  <c r="W169" i="3"/>
  <c r="V169" i="3"/>
  <c r="T169" i="3"/>
  <c r="S169" i="3"/>
  <c r="R169" i="3"/>
  <c r="Q169" i="3"/>
  <c r="P169" i="3"/>
  <c r="O169" i="3"/>
  <c r="N169" i="3"/>
  <c r="K169" i="3"/>
  <c r="J169" i="3"/>
  <c r="I169" i="3"/>
  <c r="H169" i="3"/>
  <c r="G169" i="3"/>
  <c r="F169" i="3"/>
  <c r="E169" i="3"/>
  <c r="D169" i="3"/>
  <c r="C169" i="3"/>
  <c r="L169" i="3" s="1"/>
  <c r="M169" i="3" s="1"/>
  <c r="B169" i="3"/>
  <c r="A169" i="3"/>
  <c r="AB168" i="3"/>
  <c r="AA168" i="3"/>
  <c r="Z168" i="3"/>
  <c r="Y168" i="3"/>
  <c r="X168" i="3"/>
  <c r="W168" i="3"/>
  <c r="V168" i="3"/>
  <c r="T168" i="3"/>
  <c r="S168" i="3"/>
  <c r="R168" i="3"/>
  <c r="Q168" i="3"/>
  <c r="P168" i="3"/>
  <c r="O168" i="3"/>
  <c r="N168" i="3"/>
  <c r="K168" i="3"/>
  <c r="J168" i="3"/>
  <c r="I168" i="3"/>
  <c r="H168" i="3"/>
  <c r="G168" i="3"/>
  <c r="F168" i="3"/>
  <c r="E168" i="3"/>
  <c r="D168" i="3"/>
  <c r="C168" i="3"/>
  <c r="L168" i="3" s="1"/>
  <c r="M168" i="3" s="1"/>
  <c r="B168" i="3"/>
  <c r="A168" i="3"/>
  <c r="AB167" i="3"/>
  <c r="AA167" i="3"/>
  <c r="Z167" i="3"/>
  <c r="Y167" i="3"/>
  <c r="X167" i="3"/>
  <c r="W167" i="3"/>
  <c r="V167" i="3"/>
  <c r="T167" i="3"/>
  <c r="S167" i="3"/>
  <c r="R167" i="3"/>
  <c r="Q167" i="3"/>
  <c r="P167" i="3"/>
  <c r="O167" i="3"/>
  <c r="N167" i="3"/>
  <c r="K167" i="3"/>
  <c r="J167" i="3"/>
  <c r="I167" i="3"/>
  <c r="H167" i="3"/>
  <c r="G167" i="3"/>
  <c r="F167" i="3"/>
  <c r="E167" i="3"/>
  <c r="D167" i="3"/>
  <c r="C167" i="3"/>
  <c r="L167" i="3" s="1"/>
  <c r="M167" i="3" s="1"/>
  <c r="B167" i="3"/>
  <c r="A167" i="3"/>
  <c r="AB166" i="3"/>
  <c r="AA166" i="3"/>
  <c r="Z166" i="3"/>
  <c r="Y166" i="3"/>
  <c r="X166" i="3"/>
  <c r="W166" i="3"/>
  <c r="V166" i="3"/>
  <c r="T166" i="3"/>
  <c r="S166" i="3"/>
  <c r="R166" i="3"/>
  <c r="Q166" i="3"/>
  <c r="P166" i="3"/>
  <c r="O166" i="3"/>
  <c r="N166" i="3"/>
  <c r="K166" i="3"/>
  <c r="J166" i="3"/>
  <c r="I166" i="3"/>
  <c r="H166" i="3"/>
  <c r="G166" i="3"/>
  <c r="F166" i="3"/>
  <c r="E166" i="3"/>
  <c r="D166" i="3"/>
  <c r="C166" i="3"/>
  <c r="L166" i="3" s="1"/>
  <c r="M166" i="3" s="1"/>
  <c r="B166" i="3"/>
  <c r="A166" i="3"/>
  <c r="AB165" i="3"/>
  <c r="AA165" i="3"/>
  <c r="Z165" i="3"/>
  <c r="Y165" i="3"/>
  <c r="X165" i="3"/>
  <c r="W165" i="3"/>
  <c r="V165" i="3"/>
  <c r="T165" i="3"/>
  <c r="S165" i="3"/>
  <c r="R165" i="3"/>
  <c r="Q165" i="3"/>
  <c r="P165" i="3"/>
  <c r="O165" i="3"/>
  <c r="N165" i="3"/>
  <c r="K165" i="3"/>
  <c r="J165" i="3"/>
  <c r="I165" i="3"/>
  <c r="H165" i="3"/>
  <c r="G165" i="3"/>
  <c r="F165" i="3"/>
  <c r="E165" i="3"/>
  <c r="D165" i="3"/>
  <c r="C165" i="3"/>
  <c r="L165" i="3" s="1"/>
  <c r="M165" i="3" s="1"/>
  <c r="B165" i="3"/>
  <c r="A165" i="3"/>
  <c r="AB164" i="3"/>
  <c r="AA164" i="3"/>
  <c r="Z164" i="3"/>
  <c r="Y164" i="3"/>
  <c r="X164" i="3"/>
  <c r="W164" i="3"/>
  <c r="V164" i="3"/>
  <c r="T164" i="3"/>
  <c r="S164" i="3"/>
  <c r="R164" i="3"/>
  <c r="Q164" i="3"/>
  <c r="P164" i="3"/>
  <c r="O164" i="3"/>
  <c r="N164" i="3"/>
  <c r="K164" i="3"/>
  <c r="J164" i="3"/>
  <c r="I164" i="3"/>
  <c r="H164" i="3"/>
  <c r="G164" i="3"/>
  <c r="F164" i="3"/>
  <c r="E164" i="3"/>
  <c r="D164" i="3"/>
  <c r="C164" i="3"/>
  <c r="L164" i="3" s="1"/>
  <c r="M164" i="3" s="1"/>
  <c r="B164" i="3"/>
  <c r="A164" i="3"/>
  <c r="AB163" i="3"/>
  <c r="AA163" i="3"/>
  <c r="Z163" i="3"/>
  <c r="Y163" i="3"/>
  <c r="X163" i="3"/>
  <c r="W163" i="3"/>
  <c r="V163" i="3"/>
  <c r="T163" i="3"/>
  <c r="S163" i="3"/>
  <c r="R163" i="3"/>
  <c r="Q163" i="3"/>
  <c r="P163" i="3"/>
  <c r="O163" i="3"/>
  <c r="N163" i="3"/>
  <c r="K163" i="3"/>
  <c r="J163" i="3"/>
  <c r="I163" i="3"/>
  <c r="H163" i="3"/>
  <c r="G163" i="3"/>
  <c r="F163" i="3"/>
  <c r="E163" i="3"/>
  <c r="D163" i="3"/>
  <c r="C163" i="3"/>
  <c r="L163" i="3" s="1"/>
  <c r="M163" i="3" s="1"/>
  <c r="B163" i="3"/>
  <c r="A163" i="3"/>
  <c r="AB162" i="3"/>
  <c r="AA162" i="3"/>
  <c r="Z162" i="3"/>
  <c r="Y162" i="3"/>
  <c r="X162" i="3"/>
  <c r="W162" i="3"/>
  <c r="V162" i="3"/>
  <c r="T162" i="3"/>
  <c r="S162" i="3"/>
  <c r="R162" i="3"/>
  <c r="Q162" i="3"/>
  <c r="P162" i="3"/>
  <c r="O162" i="3"/>
  <c r="N162" i="3"/>
  <c r="K162" i="3"/>
  <c r="J162" i="3"/>
  <c r="I162" i="3"/>
  <c r="H162" i="3"/>
  <c r="G162" i="3"/>
  <c r="F162" i="3"/>
  <c r="E162" i="3"/>
  <c r="D162" i="3"/>
  <c r="C162" i="3"/>
  <c r="L162" i="3" s="1"/>
  <c r="M162" i="3" s="1"/>
  <c r="B162" i="3"/>
  <c r="A162" i="3"/>
  <c r="AB161" i="3"/>
  <c r="AA161" i="3"/>
  <c r="Z161" i="3"/>
  <c r="Y161" i="3"/>
  <c r="X161" i="3"/>
  <c r="W161" i="3"/>
  <c r="V161" i="3"/>
  <c r="T161" i="3"/>
  <c r="S161" i="3"/>
  <c r="R161" i="3"/>
  <c r="Q161" i="3"/>
  <c r="P161" i="3"/>
  <c r="O161" i="3"/>
  <c r="N161" i="3"/>
  <c r="K161" i="3"/>
  <c r="J161" i="3"/>
  <c r="I161" i="3"/>
  <c r="H161" i="3"/>
  <c r="G161" i="3"/>
  <c r="F161" i="3"/>
  <c r="E161" i="3"/>
  <c r="D161" i="3"/>
  <c r="C161" i="3"/>
  <c r="L161" i="3" s="1"/>
  <c r="M161" i="3" s="1"/>
  <c r="B161" i="3"/>
  <c r="A161" i="3"/>
  <c r="AB160" i="3"/>
  <c r="AC160" i="3" s="1"/>
  <c r="AA160" i="3"/>
  <c r="Z160" i="3"/>
  <c r="Y160" i="3"/>
  <c r="X160" i="3"/>
  <c r="W160" i="3"/>
  <c r="V160" i="3"/>
  <c r="T160" i="3"/>
  <c r="S160" i="3"/>
  <c r="R160" i="3"/>
  <c r="Q160" i="3"/>
  <c r="P160" i="3"/>
  <c r="O160" i="3"/>
  <c r="N160" i="3"/>
  <c r="K160" i="3"/>
  <c r="J160" i="3"/>
  <c r="I160" i="3"/>
  <c r="H160" i="3"/>
  <c r="G160" i="3"/>
  <c r="F160" i="3"/>
  <c r="E160" i="3"/>
  <c r="D160" i="3"/>
  <c r="C160" i="3"/>
  <c r="L160" i="3" s="1"/>
  <c r="M160" i="3" s="1"/>
  <c r="B160" i="3"/>
  <c r="A160" i="3"/>
  <c r="AB159" i="3"/>
  <c r="AA159" i="3"/>
  <c r="Z159" i="3"/>
  <c r="Y159" i="3"/>
  <c r="X159" i="3"/>
  <c r="W159" i="3"/>
  <c r="V159" i="3"/>
  <c r="T159" i="3"/>
  <c r="S159" i="3"/>
  <c r="R159" i="3"/>
  <c r="Q159" i="3"/>
  <c r="P159" i="3"/>
  <c r="O159" i="3"/>
  <c r="N159" i="3"/>
  <c r="K159" i="3"/>
  <c r="J159" i="3"/>
  <c r="I159" i="3"/>
  <c r="H159" i="3"/>
  <c r="G159" i="3"/>
  <c r="F159" i="3"/>
  <c r="E159" i="3"/>
  <c r="D159" i="3"/>
  <c r="C159" i="3"/>
  <c r="L159" i="3" s="1"/>
  <c r="M159" i="3" s="1"/>
  <c r="B159" i="3"/>
  <c r="A159" i="3"/>
  <c r="AB158" i="3"/>
  <c r="AA158" i="3"/>
  <c r="Z158" i="3"/>
  <c r="Y158" i="3"/>
  <c r="X158" i="3"/>
  <c r="W158" i="3"/>
  <c r="V158" i="3"/>
  <c r="T158" i="3"/>
  <c r="S158" i="3"/>
  <c r="R158" i="3"/>
  <c r="Q158" i="3"/>
  <c r="P158" i="3"/>
  <c r="O158" i="3"/>
  <c r="N158" i="3"/>
  <c r="K158" i="3"/>
  <c r="J158" i="3"/>
  <c r="I158" i="3"/>
  <c r="H158" i="3"/>
  <c r="G158" i="3"/>
  <c r="F158" i="3"/>
  <c r="E158" i="3"/>
  <c r="D158" i="3"/>
  <c r="C158" i="3"/>
  <c r="L158" i="3" s="1"/>
  <c r="M158" i="3" s="1"/>
  <c r="B158" i="3"/>
  <c r="A158" i="3"/>
  <c r="AB157" i="3"/>
  <c r="AA157" i="3"/>
  <c r="Z157" i="3"/>
  <c r="Y157" i="3"/>
  <c r="X157" i="3"/>
  <c r="W157" i="3"/>
  <c r="V157" i="3"/>
  <c r="T157" i="3"/>
  <c r="S157" i="3"/>
  <c r="R157" i="3"/>
  <c r="Q157" i="3"/>
  <c r="P157" i="3"/>
  <c r="O157" i="3"/>
  <c r="N157" i="3"/>
  <c r="K157" i="3"/>
  <c r="J157" i="3"/>
  <c r="I157" i="3"/>
  <c r="H157" i="3"/>
  <c r="G157" i="3"/>
  <c r="F157" i="3"/>
  <c r="E157" i="3"/>
  <c r="D157" i="3"/>
  <c r="C157" i="3"/>
  <c r="L157" i="3" s="1"/>
  <c r="M157" i="3" s="1"/>
  <c r="B157" i="3"/>
  <c r="A157" i="3"/>
  <c r="AB156" i="3"/>
  <c r="AA156" i="3"/>
  <c r="Z156" i="3"/>
  <c r="Y156" i="3"/>
  <c r="X156" i="3"/>
  <c r="W156" i="3"/>
  <c r="V156" i="3"/>
  <c r="T156" i="3"/>
  <c r="S156" i="3"/>
  <c r="R156" i="3"/>
  <c r="Q156" i="3"/>
  <c r="P156" i="3"/>
  <c r="O156" i="3"/>
  <c r="N156" i="3"/>
  <c r="K156" i="3"/>
  <c r="J156" i="3"/>
  <c r="I156" i="3"/>
  <c r="H156" i="3"/>
  <c r="G156" i="3"/>
  <c r="F156" i="3"/>
  <c r="E156" i="3"/>
  <c r="D156" i="3"/>
  <c r="C156" i="3"/>
  <c r="L156" i="3" s="1"/>
  <c r="M156" i="3" s="1"/>
  <c r="B156" i="3"/>
  <c r="A156" i="3"/>
  <c r="AB155" i="3"/>
  <c r="AA155" i="3"/>
  <c r="Z155" i="3"/>
  <c r="Y155" i="3"/>
  <c r="X155" i="3"/>
  <c r="W155" i="3"/>
  <c r="V155" i="3"/>
  <c r="T155" i="3"/>
  <c r="S155" i="3"/>
  <c r="R155" i="3"/>
  <c r="Q155" i="3"/>
  <c r="P155" i="3"/>
  <c r="O155" i="3"/>
  <c r="N155" i="3"/>
  <c r="K155" i="3"/>
  <c r="J155" i="3"/>
  <c r="I155" i="3"/>
  <c r="H155" i="3"/>
  <c r="G155" i="3"/>
  <c r="F155" i="3"/>
  <c r="E155" i="3"/>
  <c r="D155" i="3"/>
  <c r="C155" i="3"/>
  <c r="L155" i="3" s="1"/>
  <c r="M155" i="3" s="1"/>
  <c r="B155" i="3"/>
  <c r="A155" i="3"/>
  <c r="AB154" i="3"/>
  <c r="AA154" i="3"/>
  <c r="Z154" i="3"/>
  <c r="Y154" i="3"/>
  <c r="X154" i="3"/>
  <c r="W154" i="3"/>
  <c r="V154" i="3"/>
  <c r="T154" i="3"/>
  <c r="S154" i="3"/>
  <c r="R154" i="3"/>
  <c r="Q154" i="3"/>
  <c r="P154" i="3"/>
  <c r="O154" i="3"/>
  <c r="N154" i="3"/>
  <c r="K154" i="3"/>
  <c r="J154" i="3"/>
  <c r="I154" i="3"/>
  <c r="H154" i="3"/>
  <c r="G154" i="3"/>
  <c r="F154" i="3"/>
  <c r="E154" i="3"/>
  <c r="D154" i="3"/>
  <c r="C154" i="3"/>
  <c r="L154" i="3" s="1"/>
  <c r="M154" i="3" s="1"/>
  <c r="B154" i="3"/>
  <c r="A154" i="3"/>
  <c r="AB153" i="3"/>
  <c r="AA153" i="3"/>
  <c r="Z153" i="3"/>
  <c r="Y153" i="3"/>
  <c r="X153" i="3"/>
  <c r="W153" i="3"/>
  <c r="V153" i="3"/>
  <c r="T153" i="3"/>
  <c r="S153" i="3"/>
  <c r="R153" i="3"/>
  <c r="Q153" i="3"/>
  <c r="P153" i="3"/>
  <c r="O153" i="3"/>
  <c r="N153" i="3"/>
  <c r="K153" i="3"/>
  <c r="J153" i="3"/>
  <c r="I153" i="3"/>
  <c r="H153" i="3"/>
  <c r="G153" i="3"/>
  <c r="F153" i="3"/>
  <c r="E153" i="3"/>
  <c r="D153" i="3"/>
  <c r="C153" i="3"/>
  <c r="L153" i="3" s="1"/>
  <c r="M153" i="3" s="1"/>
  <c r="B153" i="3"/>
  <c r="A153" i="3"/>
  <c r="AB152" i="3"/>
  <c r="AA152" i="3"/>
  <c r="Z152" i="3"/>
  <c r="Y152" i="3"/>
  <c r="X152" i="3"/>
  <c r="W152" i="3"/>
  <c r="V152" i="3"/>
  <c r="T152" i="3"/>
  <c r="S152" i="3"/>
  <c r="R152" i="3"/>
  <c r="Q152" i="3"/>
  <c r="P152" i="3"/>
  <c r="O152" i="3"/>
  <c r="N152" i="3"/>
  <c r="K152" i="3"/>
  <c r="J152" i="3"/>
  <c r="I152" i="3"/>
  <c r="H152" i="3"/>
  <c r="G152" i="3"/>
  <c r="F152" i="3"/>
  <c r="E152" i="3"/>
  <c r="D152" i="3"/>
  <c r="C152" i="3"/>
  <c r="L152" i="3" s="1"/>
  <c r="M152" i="3" s="1"/>
  <c r="B152" i="3"/>
  <c r="A152" i="3"/>
  <c r="AB151" i="3"/>
  <c r="AA151" i="3"/>
  <c r="Z151" i="3"/>
  <c r="Y151" i="3"/>
  <c r="X151" i="3"/>
  <c r="W151" i="3"/>
  <c r="V151" i="3"/>
  <c r="T151" i="3"/>
  <c r="S151" i="3"/>
  <c r="R151" i="3"/>
  <c r="Q151" i="3"/>
  <c r="P151" i="3"/>
  <c r="O151" i="3"/>
  <c r="N151" i="3"/>
  <c r="K151" i="3"/>
  <c r="J151" i="3"/>
  <c r="I151" i="3"/>
  <c r="H151" i="3"/>
  <c r="G151" i="3"/>
  <c r="F151" i="3"/>
  <c r="E151" i="3"/>
  <c r="D151" i="3"/>
  <c r="C151" i="3"/>
  <c r="L151" i="3" s="1"/>
  <c r="M151" i="3" s="1"/>
  <c r="B151" i="3"/>
  <c r="A151" i="3"/>
  <c r="AB150" i="3"/>
  <c r="AA150" i="3"/>
  <c r="Z150" i="3"/>
  <c r="Y150" i="3"/>
  <c r="X150" i="3"/>
  <c r="W150" i="3"/>
  <c r="V150" i="3"/>
  <c r="T150" i="3"/>
  <c r="S150" i="3"/>
  <c r="R150" i="3"/>
  <c r="Q150" i="3"/>
  <c r="P150" i="3"/>
  <c r="O150" i="3"/>
  <c r="N150" i="3"/>
  <c r="K150" i="3"/>
  <c r="J150" i="3"/>
  <c r="I150" i="3"/>
  <c r="H150" i="3"/>
  <c r="G150" i="3"/>
  <c r="F150" i="3"/>
  <c r="E150" i="3"/>
  <c r="D150" i="3"/>
  <c r="C150" i="3"/>
  <c r="L150" i="3" s="1"/>
  <c r="M150" i="3" s="1"/>
  <c r="B150" i="3"/>
  <c r="A150" i="3"/>
  <c r="AB149" i="3"/>
  <c r="AA149" i="3"/>
  <c r="Z149" i="3"/>
  <c r="Y149" i="3"/>
  <c r="X149" i="3"/>
  <c r="W149" i="3"/>
  <c r="V149" i="3"/>
  <c r="T149" i="3"/>
  <c r="S149" i="3"/>
  <c r="R149" i="3"/>
  <c r="Q149" i="3"/>
  <c r="P149" i="3"/>
  <c r="O149" i="3"/>
  <c r="N149" i="3"/>
  <c r="K149" i="3"/>
  <c r="J149" i="3"/>
  <c r="I149" i="3"/>
  <c r="H149" i="3"/>
  <c r="G149" i="3"/>
  <c r="F149" i="3"/>
  <c r="E149" i="3"/>
  <c r="D149" i="3"/>
  <c r="C149" i="3"/>
  <c r="L149" i="3" s="1"/>
  <c r="M149" i="3" s="1"/>
  <c r="B149" i="3"/>
  <c r="A149" i="3"/>
  <c r="AB148" i="3"/>
  <c r="AA148" i="3"/>
  <c r="Z148" i="3"/>
  <c r="Y148" i="3"/>
  <c r="X148" i="3"/>
  <c r="W148" i="3"/>
  <c r="V148" i="3"/>
  <c r="T148" i="3"/>
  <c r="S148" i="3"/>
  <c r="R148" i="3"/>
  <c r="Q148" i="3"/>
  <c r="P148" i="3"/>
  <c r="O148" i="3"/>
  <c r="N148" i="3"/>
  <c r="K148" i="3"/>
  <c r="J148" i="3"/>
  <c r="I148" i="3"/>
  <c r="H148" i="3"/>
  <c r="G148" i="3"/>
  <c r="F148" i="3"/>
  <c r="E148" i="3"/>
  <c r="D148" i="3"/>
  <c r="C148" i="3"/>
  <c r="L148" i="3" s="1"/>
  <c r="M148" i="3" s="1"/>
  <c r="B148" i="3"/>
  <c r="A148" i="3"/>
  <c r="AB147" i="3"/>
  <c r="AA147" i="3"/>
  <c r="Z147" i="3"/>
  <c r="Y147" i="3"/>
  <c r="X147" i="3"/>
  <c r="W147" i="3"/>
  <c r="V147" i="3"/>
  <c r="T147" i="3"/>
  <c r="S147" i="3"/>
  <c r="R147" i="3"/>
  <c r="Q147" i="3"/>
  <c r="P147" i="3"/>
  <c r="O147" i="3"/>
  <c r="N147" i="3"/>
  <c r="K147" i="3"/>
  <c r="J147" i="3"/>
  <c r="I147" i="3"/>
  <c r="H147" i="3"/>
  <c r="G147" i="3"/>
  <c r="F147" i="3"/>
  <c r="E147" i="3"/>
  <c r="D147" i="3"/>
  <c r="C147" i="3"/>
  <c r="L147" i="3" s="1"/>
  <c r="M147" i="3" s="1"/>
  <c r="B147" i="3"/>
  <c r="A147" i="3"/>
  <c r="AB146" i="3"/>
  <c r="AA146" i="3"/>
  <c r="Z146" i="3"/>
  <c r="Y146" i="3"/>
  <c r="X146" i="3"/>
  <c r="W146" i="3"/>
  <c r="V146" i="3"/>
  <c r="T146" i="3"/>
  <c r="S146" i="3"/>
  <c r="R146" i="3"/>
  <c r="Q146" i="3"/>
  <c r="P146" i="3"/>
  <c r="O146" i="3"/>
  <c r="N146" i="3"/>
  <c r="K146" i="3"/>
  <c r="J146" i="3"/>
  <c r="I146" i="3"/>
  <c r="H146" i="3"/>
  <c r="G146" i="3"/>
  <c r="F146" i="3"/>
  <c r="E146" i="3"/>
  <c r="D146" i="3"/>
  <c r="C146" i="3"/>
  <c r="L146" i="3" s="1"/>
  <c r="M146" i="3" s="1"/>
  <c r="B146" i="3"/>
  <c r="A146" i="3"/>
  <c r="AB145" i="3"/>
  <c r="AA145" i="3"/>
  <c r="Z145" i="3"/>
  <c r="Y145" i="3"/>
  <c r="X145" i="3"/>
  <c r="W145" i="3"/>
  <c r="V145" i="3"/>
  <c r="T145" i="3"/>
  <c r="S145" i="3"/>
  <c r="R145" i="3"/>
  <c r="Q145" i="3"/>
  <c r="P145" i="3"/>
  <c r="O145" i="3"/>
  <c r="N145" i="3"/>
  <c r="K145" i="3"/>
  <c r="J145" i="3"/>
  <c r="I145" i="3"/>
  <c r="H145" i="3"/>
  <c r="G145" i="3"/>
  <c r="F145" i="3"/>
  <c r="E145" i="3"/>
  <c r="D145" i="3"/>
  <c r="C145" i="3"/>
  <c r="L145" i="3" s="1"/>
  <c r="M145" i="3" s="1"/>
  <c r="B145" i="3"/>
  <c r="A145" i="3"/>
  <c r="AB144" i="3"/>
  <c r="AA144" i="3"/>
  <c r="Z144" i="3"/>
  <c r="Y144" i="3"/>
  <c r="X144" i="3"/>
  <c r="W144" i="3"/>
  <c r="V144" i="3"/>
  <c r="T144" i="3"/>
  <c r="S144" i="3"/>
  <c r="R144" i="3"/>
  <c r="Q144" i="3"/>
  <c r="P144" i="3"/>
  <c r="O144" i="3"/>
  <c r="N144" i="3"/>
  <c r="K144" i="3"/>
  <c r="J144" i="3"/>
  <c r="I144" i="3"/>
  <c r="H144" i="3"/>
  <c r="G144" i="3"/>
  <c r="F144" i="3"/>
  <c r="E144" i="3"/>
  <c r="D144" i="3"/>
  <c r="C144" i="3"/>
  <c r="L144" i="3" s="1"/>
  <c r="M144" i="3" s="1"/>
  <c r="B144" i="3"/>
  <c r="A144" i="3"/>
  <c r="AB143" i="3"/>
  <c r="AA143" i="3"/>
  <c r="Z143" i="3"/>
  <c r="Y143" i="3"/>
  <c r="X143" i="3"/>
  <c r="W143" i="3"/>
  <c r="V143" i="3"/>
  <c r="T143" i="3"/>
  <c r="S143" i="3"/>
  <c r="R143" i="3"/>
  <c r="Q143" i="3"/>
  <c r="P143" i="3"/>
  <c r="O143" i="3"/>
  <c r="N143" i="3"/>
  <c r="K143" i="3"/>
  <c r="J143" i="3"/>
  <c r="I143" i="3"/>
  <c r="H143" i="3"/>
  <c r="G143" i="3"/>
  <c r="F143" i="3"/>
  <c r="E143" i="3"/>
  <c r="D143" i="3"/>
  <c r="C143" i="3"/>
  <c r="L143" i="3" s="1"/>
  <c r="M143" i="3" s="1"/>
  <c r="B143" i="3"/>
  <c r="A143" i="3"/>
  <c r="AB142" i="3"/>
  <c r="AA142" i="3"/>
  <c r="Z142" i="3"/>
  <c r="Y142" i="3"/>
  <c r="X142" i="3"/>
  <c r="W142" i="3"/>
  <c r="V142" i="3"/>
  <c r="T142" i="3"/>
  <c r="S142" i="3"/>
  <c r="R142" i="3"/>
  <c r="Q142" i="3"/>
  <c r="P142" i="3"/>
  <c r="O142" i="3"/>
  <c r="N142" i="3"/>
  <c r="K142" i="3"/>
  <c r="J142" i="3"/>
  <c r="I142" i="3"/>
  <c r="H142" i="3"/>
  <c r="G142" i="3"/>
  <c r="F142" i="3"/>
  <c r="E142" i="3"/>
  <c r="D142" i="3"/>
  <c r="C142" i="3"/>
  <c r="L142" i="3" s="1"/>
  <c r="M142" i="3" s="1"/>
  <c r="B142" i="3"/>
  <c r="A142" i="3"/>
  <c r="AB141" i="3"/>
  <c r="AA141" i="3"/>
  <c r="Z141" i="3"/>
  <c r="Y141" i="3"/>
  <c r="X141" i="3"/>
  <c r="W141" i="3"/>
  <c r="V141" i="3"/>
  <c r="T141" i="3"/>
  <c r="S141" i="3"/>
  <c r="R141" i="3"/>
  <c r="Q141" i="3"/>
  <c r="P141" i="3"/>
  <c r="O141" i="3"/>
  <c r="N141" i="3"/>
  <c r="K141" i="3"/>
  <c r="J141" i="3"/>
  <c r="I141" i="3"/>
  <c r="H141" i="3"/>
  <c r="G141" i="3"/>
  <c r="F141" i="3"/>
  <c r="E141" i="3"/>
  <c r="D141" i="3"/>
  <c r="C141" i="3"/>
  <c r="L141" i="3" s="1"/>
  <c r="M141" i="3" s="1"/>
  <c r="B141" i="3"/>
  <c r="A141" i="3"/>
  <c r="AB140" i="3"/>
  <c r="AA140" i="3"/>
  <c r="Z140" i="3"/>
  <c r="Y140" i="3"/>
  <c r="X140" i="3"/>
  <c r="W140" i="3"/>
  <c r="V140" i="3"/>
  <c r="T140" i="3"/>
  <c r="S140" i="3"/>
  <c r="R140" i="3"/>
  <c r="Q140" i="3"/>
  <c r="P140" i="3"/>
  <c r="O140" i="3"/>
  <c r="N140" i="3"/>
  <c r="K140" i="3"/>
  <c r="J140" i="3"/>
  <c r="I140" i="3"/>
  <c r="H140" i="3"/>
  <c r="G140" i="3"/>
  <c r="F140" i="3"/>
  <c r="E140" i="3"/>
  <c r="D140" i="3"/>
  <c r="C140" i="3"/>
  <c r="L140" i="3" s="1"/>
  <c r="M140" i="3" s="1"/>
  <c r="B140" i="3"/>
  <c r="A140" i="3"/>
  <c r="AB139" i="3"/>
  <c r="AA139" i="3"/>
  <c r="Z139" i="3"/>
  <c r="Y139" i="3"/>
  <c r="X139" i="3"/>
  <c r="W139" i="3"/>
  <c r="V139" i="3"/>
  <c r="T139" i="3"/>
  <c r="S139" i="3"/>
  <c r="R139" i="3"/>
  <c r="Q139" i="3"/>
  <c r="P139" i="3"/>
  <c r="O139" i="3"/>
  <c r="N139" i="3"/>
  <c r="K139" i="3"/>
  <c r="J139" i="3"/>
  <c r="I139" i="3"/>
  <c r="H139" i="3"/>
  <c r="G139" i="3"/>
  <c r="F139" i="3"/>
  <c r="E139" i="3"/>
  <c r="D139" i="3"/>
  <c r="C139" i="3"/>
  <c r="L139" i="3" s="1"/>
  <c r="M139" i="3" s="1"/>
  <c r="B139" i="3"/>
  <c r="A139" i="3"/>
  <c r="AB138" i="3"/>
  <c r="AA138" i="3"/>
  <c r="Z138" i="3"/>
  <c r="Y138" i="3"/>
  <c r="X138" i="3"/>
  <c r="W138" i="3"/>
  <c r="V138" i="3"/>
  <c r="T138" i="3"/>
  <c r="S138" i="3"/>
  <c r="R138" i="3"/>
  <c r="Q138" i="3"/>
  <c r="P138" i="3"/>
  <c r="O138" i="3"/>
  <c r="N138" i="3"/>
  <c r="K138" i="3"/>
  <c r="J138" i="3"/>
  <c r="I138" i="3"/>
  <c r="H138" i="3"/>
  <c r="G138" i="3"/>
  <c r="F138" i="3"/>
  <c r="E138" i="3"/>
  <c r="D138" i="3"/>
  <c r="C138" i="3"/>
  <c r="L138" i="3" s="1"/>
  <c r="M138" i="3" s="1"/>
  <c r="B138" i="3"/>
  <c r="A138" i="3"/>
  <c r="AB137" i="3"/>
  <c r="AA137" i="3"/>
  <c r="Z137" i="3"/>
  <c r="Y137" i="3"/>
  <c r="X137" i="3"/>
  <c r="W137" i="3"/>
  <c r="V137" i="3"/>
  <c r="T137" i="3"/>
  <c r="S137" i="3"/>
  <c r="R137" i="3"/>
  <c r="Q137" i="3"/>
  <c r="P137" i="3"/>
  <c r="O137" i="3"/>
  <c r="N137" i="3"/>
  <c r="K137" i="3"/>
  <c r="J137" i="3"/>
  <c r="I137" i="3"/>
  <c r="H137" i="3"/>
  <c r="G137" i="3"/>
  <c r="F137" i="3"/>
  <c r="E137" i="3"/>
  <c r="D137" i="3"/>
  <c r="C137" i="3"/>
  <c r="L137" i="3" s="1"/>
  <c r="M137" i="3" s="1"/>
  <c r="B137" i="3"/>
  <c r="A137" i="3"/>
  <c r="AB136" i="3"/>
  <c r="AA136" i="3"/>
  <c r="Z136" i="3"/>
  <c r="Y136" i="3"/>
  <c r="X136" i="3"/>
  <c r="W136" i="3"/>
  <c r="V136" i="3"/>
  <c r="T136" i="3"/>
  <c r="S136" i="3"/>
  <c r="R136" i="3"/>
  <c r="Q136" i="3"/>
  <c r="P136" i="3"/>
  <c r="O136" i="3"/>
  <c r="N136" i="3"/>
  <c r="K136" i="3"/>
  <c r="J136" i="3"/>
  <c r="I136" i="3"/>
  <c r="H136" i="3"/>
  <c r="G136" i="3"/>
  <c r="F136" i="3"/>
  <c r="E136" i="3"/>
  <c r="D136" i="3"/>
  <c r="C136" i="3"/>
  <c r="L136" i="3" s="1"/>
  <c r="M136" i="3" s="1"/>
  <c r="B136" i="3"/>
  <c r="A136" i="3"/>
  <c r="AB135" i="3"/>
  <c r="AA135" i="3"/>
  <c r="Z135" i="3"/>
  <c r="Y135" i="3"/>
  <c r="X135" i="3"/>
  <c r="W135" i="3"/>
  <c r="V135" i="3"/>
  <c r="T135" i="3"/>
  <c r="S135" i="3"/>
  <c r="R135" i="3"/>
  <c r="Q135" i="3"/>
  <c r="P135" i="3"/>
  <c r="O135" i="3"/>
  <c r="N135" i="3"/>
  <c r="K135" i="3"/>
  <c r="J135" i="3"/>
  <c r="I135" i="3"/>
  <c r="H135" i="3"/>
  <c r="G135" i="3"/>
  <c r="F135" i="3"/>
  <c r="E135" i="3"/>
  <c r="D135" i="3"/>
  <c r="C135" i="3"/>
  <c r="L135" i="3" s="1"/>
  <c r="M135" i="3" s="1"/>
  <c r="B135" i="3"/>
  <c r="A135" i="3"/>
  <c r="AB134" i="3"/>
  <c r="AA134" i="3"/>
  <c r="Z134" i="3"/>
  <c r="Y134" i="3"/>
  <c r="X134" i="3"/>
  <c r="W134" i="3"/>
  <c r="V134" i="3"/>
  <c r="T134" i="3"/>
  <c r="S134" i="3"/>
  <c r="R134" i="3"/>
  <c r="Q134" i="3"/>
  <c r="P134" i="3"/>
  <c r="O134" i="3"/>
  <c r="N134" i="3"/>
  <c r="K134" i="3"/>
  <c r="J134" i="3"/>
  <c r="I134" i="3"/>
  <c r="H134" i="3"/>
  <c r="G134" i="3"/>
  <c r="F134" i="3"/>
  <c r="E134" i="3"/>
  <c r="D134" i="3"/>
  <c r="C134" i="3"/>
  <c r="L134" i="3" s="1"/>
  <c r="M134" i="3" s="1"/>
  <c r="B134" i="3"/>
  <c r="A134" i="3"/>
  <c r="AB133" i="3"/>
  <c r="AA133" i="3"/>
  <c r="Z133" i="3"/>
  <c r="Y133" i="3"/>
  <c r="X133" i="3"/>
  <c r="W133" i="3"/>
  <c r="V133" i="3"/>
  <c r="T133" i="3"/>
  <c r="S133" i="3"/>
  <c r="R133" i="3"/>
  <c r="Q133" i="3"/>
  <c r="P133" i="3"/>
  <c r="O133" i="3"/>
  <c r="N133" i="3"/>
  <c r="K133" i="3"/>
  <c r="J133" i="3"/>
  <c r="I133" i="3"/>
  <c r="H133" i="3"/>
  <c r="G133" i="3"/>
  <c r="F133" i="3"/>
  <c r="E133" i="3"/>
  <c r="D133" i="3"/>
  <c r="C133" i="3"/>
  <c r="L133" i="3" s="1"/>
  <c r="M133" i="3" s="1"/>
  <c r="B133" i="3"/>
  <c r="A133" i="3"/>
  <c r="AB132" i="3"/>
  <c r="AA132" i="3"/>
  <c r="Z132" i="3"/>
  <c r="Y132" i="3"/>
  <c r="X132" i="3"/>
  <c r="W132" i="3"/>
  <c r="V132" i="3"/>
  <c r="T132" i="3"/>
  <c r="S132" i="3"/>
  <c r="R132" i="3"/>
  <c r="Q132" i="3"/>
  <c r="P132" i="3"/>
  <c r="O132" i="3"/>
  <c r="N132" i="3"/>
  <c r="K132" i="3"/>
  <c r="J132" i="3"/>
  <c r="I132" i="3"/>
  <c r="H132" i="3"/>
  <c r="G132" i="3"/>
  <c r="F132" i="3"/>
  <c r="E132" i="3"/>
  <c r="D132" i="3"/>
  <c r="C132" i="3"/>
  <c r="L132" i="3" s="1"/>
  <c r="M132" i="3" s="1"/>
  <c r="B132" i="3"/>
  <c r="A132" i="3"/>
  <c r="AB131" i="3"/>
  <c r="AA131" i="3"/>
  <c r="Z131" i="3"/>
  <c r="Y131" i="3"/>
  <c r="X131" i="3"/>
  <c r="W131" i="3"/>
  <c r="V131" i="3"/>
  <c r="T131" i="3"/>
  <c r="S131" i="3"/>
  <c r="R131" i="3"/>
  <c r="Q131" i="3"/>
  <c r="P131" i="3"/>
  <c r="O131" i="3"/>
  <c r="N131" i="3"/>
  <c r="K131" i="3"/>
  <c r="J131" i="3"/>
  <c r="I131" i="3"/>
  <c r="H131" i="3"/>
  <c r="G131" i="3"/>
  <c r="F131" i="3"/>
  <c r="E131" i="3"/>
  <c r="D131" i="3"/>
  <c r="C131" i="3"/>
  <c r="L131" i="3" s="1"/>
  <c r="M131" i="3" s="1"/>
  <c r="B131" i="3"/>
  <c r="A131" i="3"/>
  <c r="AB130" i="3"/>
  <c r="AA130" i="3"/>
  <c r="Z130" i="3"/>
  <c r="Y130" i="3"/>
  <c r="X130" i="3"/>
  <c r="W130" i="3"/>
  <c r="V130" i="3"/>
  <c r="T130" i="3"/>
  <c r="S130" i="3"/>
  <c r="R130" i="3"/>
  <c r="Q130" i="3"/>
  <c r="P130" i="3"/>
  <c r="O130" i="3"/>
  <c r="N130" i="3"/>
  <c r="K130" i="3"/>
  <c r="J130" i="3"/>
  <c r="I130" i="3"/>
  <c r="H130" i="3"/>
  <c r="G130" i="3"/>
  <c r="F130" i="3"/>
  <c r="E130" i="3"/>
  <c r="D130" i="3"/>
  <c r="C130" i="3"/>
  <c r="L130" i="3" s="1"/>
  <c r="M130" i="3" s="1"/>
  <c r="B130" i="3"/>
  <c r="A130" i="3"/>
  <c r="AB129" i="3"/>
  <c r="AA129" i="3"/>
  <c r="Z129" i="3"/>
  <c r="Y129" i="3"/>
  <c r="X129" i="3"/>
  <c r="W129" i="3"/>
  <c r="V129" i="3"/>
  <c r="T129" i="3"/>
  <c r="S129" i="3"/>
  <c r="R129" i="3"/>
  <c r="Q129" i="3"/>
  <c r="P129" i="3"/>
  <c r="O129" i="3"/>
  <c r="N129" i="3"/>
  <c r="K129" i="3"/>
  <c r="J129" i="3"/>
  <c r="I129" i="3"/>
  <c r="H129" i="3"/>
  <c r="G129" i="3"/>
  <c r="F129" i="3"/>
  <c r="E129" i="3"/>
  <c r="D129" i="3"/>
  <c r="C129" i="3"/>
  <c r="L129" i="3" s="1"/>
  <c r="M129" i="3" s="1"/>
  <c r="B129" i="3"/>
  <c r="A129" i="3"/>
  <c r="AB128" i="3"/>
  <c r="AA128" i="3"/>
  <c r="Z128" i="3"/>
  <c r="Y128" i="3"/>
  <c r="X128" i="3"/>
  <c r="W128" i="3"/>
  <c r="V128" i="3"/>
  <c r="T128" i="3"/>
  <c r="S128" i="3"/>
  <c r="R128" i="3"/>
  <c r="Q128" i="3"/>
  <c r="P128" i="3"/>
  <c r="O128" i="3"/>
  <c r="N128" i="3"/>
  <c r="K128" i="3"/>
  <c r="J128" i="3"/>
  <c r="I128" i="3"/>
  <c r="H128" i="3"/>
  <c r="G128" i="3"/>
  <c r="F128" i="3"/>
  <c r="E128" i="3"/>
  <c r="D128" i="3"/>
  <c r="C128" i="3"/>
  <c r="L128" i="3" s="1"/>
  <c r="M128" i="3" s="1"/>
  <c r="B128" i="3"/>
  <c r="A128" i="3"/>
  <c r="AB127" i="3"/>
  <c r="AA127" i="3"/>
  <c r="Z127" i="3"/>
  <c r="Y127" i="3"/>
  <c r="X127" i="3"/>
  <c r="W127" i="3"/>
  <c r="V127" i="3"/>
  <c r="T127" i="3"/>
  <c r="S127" i="3"/>
  <c r="R127" i="3"/>
  <c r="Q127" i="3"/>
  <c r="P127" i="3"/>
  <c r="O127" i="3"/>
  <c r="N127" i="3"/>
  <c r="K127" i="3"/>
  <c r="J127" i="3"/>
  <c r="I127" i="3"/>
  <c r="H127" i="3"/>
  <c r="G127" i="3"/>
  <c r="F127" i="3"/>
  <c r="E127" i="3"/>
  <c r="D127" i="3"/>
  <c r="C127" i="3"/>
  <c r="L127" i="3" s="1"/>
  <c r="M127" i="3" s="1"/>
  <c r="B127" i="3"/>
  <c r="A127" i="3"/>
  <c r="AB126" i="3"/>
  <c r="AA126" i="3"/>
  <c r="Z126" i="3"/>
  <c r="Y126" i="3"/>
  <c r="X126" i="3"/>
  <c r="W126" i="3"/>
  <c r="V126" i="3"/>
  <c r="T126" i="3"/>
  <c r="S126" i="3"/>
  <c r="R126" i="3"/>
  <c r="Q126" i="3"/>
  <c r="P126" i="3"/>
  <c r="O126" i="3"/>
  <c r="N126" i="3"/>
  <c r="K126" i="3"/>
  <c r="J126" i="3"/>
  <c r="I126" i="3"/>
  <c r="H126" i="3"/>
  <c r="G126" i="3"/>
  <c r="F126" i="3"/>
  <c r="E126" i="3"/>
  <c r="D126" i="3"/>
  <c r="C126" i="3"/>
  <c r="L126" i="3" s="1"/>
  <c r="M126" i="3" s="1"/>
  <c r="B126" i="3"/>
  <c r="A126" i="3"/>
  <c r="AB125" i="3"/>
  <c r="AA125" i="3"/>
  <c r="Z125" i="3"/>
  <c r="Y125" i="3"/>
  <c r="X125" i="3"/>
  <c r="W125" i="3"/>
  <c r="V125" i="3"/>
  <c r="T125" i="3"/>
  <c r="S125" i="3"/>
  <c r="R125" i="3"/>
  <c r="Q125" i="3"/>
  <c r="P125" i="3"/>
  <c r="O125" i="3"/>
  <c r="N125" i="3"/>
  <c r="K125" i="3"/>
  <c r="J125" i="3"/>
  <c r="I125" i="3"/>
  <c r="H125" i="3"/>
  <c r="G125" i="3"/>
  <c r="F125" i="3"/>
  <c r="E125" i="3"/>
  <c r="D125" i="3"/>
  <c r="C125" i="3"/>
  <c r="L125" i="3" s="1"/>
  <c r="M125" i="3" s="1"/>
  <c r="B125" i="3"/>
  <c r="A125" i="3"/>
  <c r="AB124" i="3"/>
  <c r="AA124" i="3"/>
  <c r="Z124" i="3"/>
  <c r="Y124" i="3"/>
  <c r="X124" i="3"/>
  <c r="W124" i="3"/>
  <c r="V124" i="3"/>
  <c r="T124" i="3"/>
  <c r="S124" i="3"/>
  <c r="R124" i="3"/>
  <c r="Q124" i="3"/>
  <c r="P124" i="3"/>
  <c r="O124" i="3"/>
  <c r="N124" i="3"/>
  <c r="K124" i="3"/>
  <c r="J124" i="3"/>
  <c r="I124" i="3"/>
  <c r="H124" i="3"/>
  <c r="G124" i="3"/>
  <c r="F124" i="3"/>
  <c r="E124" i="3"/>
  <c r="D124" i="3"/>
  <c r="C124" i="3"/>
  <c r="L124" i="3" s="1"/>
  <c r="M124" i="3" s="1"/>
  <c r="B124" i="3"/>
  <c r="A124" i="3"/>
  <c r="AB123" i="3"/>
  <c r="AA123" i="3"/>
  <c r="Z123" i="3"/>
  <c r="Y123" i="3"/>
  <c r="X123" i="3"/>
  <c r="W123" i="3"/>
  <c r="V123" i="3"/>
  <c r="T123" i="3"/>
  <c r="S123" i="3"/>
  <c r="R123" i="3"/>
  <c r="Q123" i="3"/>
  <c r="P123" i="3"/>
  <c r="O123" i="3"/>
  <c r="N123" i="3"/>
  <c r="K123" i="3"/>
  <c r="J123" i="3"/>
  <c r="I123" i="3"/>
  <c r="H123" i="3"/>
  <c r="G123" i="3"/>
  <c r="F123" i="3"/>
  <c r="E123" i="3"/>
  <c r="D123" i="3"/>
  <c r="C123" i="3"/>
  <c r="L123" i="3" s="1"/>
  <c r="M123" i="3" s="1"/>
  <c r="B123" i="3"/>
  <c r="A123" i="3"/>
  <c r="AB122" i="3"/>
  <c r="AA122" i="3"/>
  <c r="Z122" i="3"/>
  <c r="Y122" i="3"/>
  <c r="X122" i="3"/>
  <c r="W122" i="3"/>
  <c r="V122" i="3"/>
  <c r="T122" i="3"/>
  <c r="S122" i="3"/>
  <c r="R122" i="3"/>
  <c r="Q122" i="3"/>
  <c r="P122" i="3"/>
  <c r="O122" i="3"/>
  <c r="N122" i="3"/>
  <c r="K122" i="3"/>
  <c r="J122" i="3"/>
  <c r="I122" i="3"/>
  <c r="H122" i="3"/>
  <c r="G122" i="3"/>
  <c r="F122" i="3"/>
  <c r="E122" i="3"/>
  <c r="D122" i="3"/>
  <c r="C122" i="3"/>
  <c r="L122" i="3" s="1"/>
  <c r="M122" i="3" s="1"/>
  <c r="B122" i="3"/>
  <c r="A122" i="3"/>
  <c r="AB121" i="3"/>
  <c r="AA121" i="3"/>
  <c r="Z121" i="3"/>
  <c r="Y121" i="3"/>
  <c r="X121" i="3"/>
  <c r="W121" i="3"/>
  <c r="V121" i="3"/>
  <c r="T121" i="3"/>
  <c r="S121" i="3"/>
  <c r="R121" i="3"/>
  <c r="Q121" i="3"/>
  <c r="P121" i="3"/>
  <c r="O121" i="3"/>
  <c r="N121" i="3"/>
  <c r="K121" i="3"/>
  <c r="J121" i="3"/>
  <c r="I121" i="3"/>
  <c r="H121" i="3"/>
  <c r="G121" i="3"/>
  <c r="F121" i="3"/>
  <c r="E121" i="3"/>
  <c r="D121" i="3"/>
  <c r="C121" i="3"/>
  <c r="L121" i="3" s="1"/>
  <c r="M121" i="3" s="1"/>
  <c r="B121" i="3"/>
  <c r="A121" i="3"/>
  <c r="AB120" i="3"/>
  <c r="AC120" i="3" s="1"/>
  <c r="AA120" i="3"/>
  <c r="Z120" i="3"/>
  <c r="Y120" i="3"/>
  <c r="X120" i="3"/>
  <c r="W120" i="3"/>
  <c r="V120" i="3"/>
  <c r="T120" i="3"/>
  <c r="S120" i="3"/>
  <c r="R120" i="3"/>
  <c r="Q120" i="3"/>
  <c r="P120" i="3"/>
  <c r="O120" i="3"/>
  <c r="N120" i="3"/>
  <c r="K120" i="3"/>
  <c r="J120" i="3"/>
  <c r="I120" i="3"/>
  <c r="H120" i="3"/>
  <c r="G120" i="3"/>
  <c r="F120" i="3"/>
  <c r="E120" i="3"/>
  <c r="D120" i="3"/>
  <c r="C120" i="3"/>
  <c r="L120" i="3" s="1"/>
  <c r="M120" i="3" s="1"/>
  <c r="B120" i="3"/>
  <c r="A120" i="3"/>
  <c r="AB119" i="3"/>
  <c r="AA119" i="3"/>
  <c r="Z119" i="3"/>
  <c r="Y119" i="3"/>
  <c r="X119" i="3"/>
  <c r="W119" i="3"/>
  <c r="V119" i="3"/>
  <c r="T119" i="3"/>
  <c r="S119" i="3"/>
  <c r="R119" i="3"/>
  <c r="Q119" i="3"/>
  <c r="P119" i="3"/>
  <c r="O119" i="3"/>
  <c r="N119" i="3"/>
  <c r="K119" i="3"/>
  <c r="J119" i="3"/>
  <c r="I119" i="3"/>
  <c r="H119" i="3"/>
  <c r="G119" i="3"/>
  <c r="F119" i="3"/>
  <c r="E119" i="3"/>
  <c r="D119" i="3"/>
  <c r="C119" i="3"/>
  <c r="L119" i="3" s="1"/>
  <c r="M119" i="3" s="1"/>
  <c r="B119" i="3"/>
  <c r="A119" i="3"/>
  <c r="AB118" i="3"/>
  <c r="AA118" i="3"/>
  <c r="Z118" i="3"/>
  <c r="Y118" i="3"/>
  <c r="X118" i="3"/>
  <c r="W118" i="3"/>
  <c r="V118" i="3"/>
  <c r="T118" i="3"/>
  <c r="S118" i="3"/>
  <c r="R118" i="3"/>
  <c r="Q118" i="3"/>
  <c r="P118" i="3"/>
  <c r="O118" i="3"/>
  <c r="N118" i="3"/>
  <c r="K118" i="3"/>
  <c r="J118" i="3"/>
  <c r="I118" i="3"/>
  <c r="H118" i="3"/>
  <c r="G118" i="3"/>
  <c r="F118" i="3"/>
  <c r="E118" i="3"/>
  <c r="D118" i="3"/>
  <c r="C118" i="3"/>
  <c r="L118" i="3" s="1"/>
  <c r="M118" i="3" s="1"/>
  <c r="B118" i="3"/>
  <c r="A118" i="3"/>
  <c r="AB117" i="3"/>
  <c r="AA117" i="3"/>
  <c r="Z117" i="3"/>
  <c r="Y117" i="3"/>
  <c r="X117" i="3"/>
  <c r="W117" i="3"/>
  <c r="V117" i="3"/>
  <c r="T117" i="3"/>
  <c r="S117" i="3"/>
  <c r="R117" i="3"/>
  <c r="Q117" i="3"/>
  <c r="P117" i="3"/>
  <c r="O117" i="3"/>
  <c r="N117" i="3"/>
  <c r="K117" i="3"/>
  <c r="J117" i="3"/>
  <c r="I117" i="3"/>
  <c r="H117" i="3"/>
  <c r="G117" i="3"/>
  <c r="F117" i="3"/>
  <c r="E117" i="3"/>
  <c r="D117" i="3"/>
  <c r="C117" i="3"/>
  <c r="L117" i="3" s="1"/>
  <c r="M117" i="3" s="1"/>
  <c r="B117" i="3"/>
  <c r="A117" i="3"/>
  <c r="AB116" i="3"/>
  <c r="AA116" i="3"/>
  <c r="Z116" i="3"/>
  <c r="Y116" i="3"/>
  <c r="X116" i="3"/>
  <c r="W116" i="3"/>
  <c r="V116" i="3"/>
  <c r="T116" i="3"/>
  <c r="S116" i="3"/>
  <c r="R116" i="3"/>
  <c r="Q116" i="3"/>
  <c r="P116" i="3"/>
  <c r="O116" i="3"/>
  <c r="N116" i="3"/>
  <c r="K116" i="3"/>
  <c r="J116" i="3"/>
  <c r="I116" i="3"/>
  <c r="H116" i="3"/>
  <c r="G116" i="3"/>
  <c r="F116" i="3"/>
  <c r="E116" i="3"/>
  <c r="D116" i="3"/>
  <c r="C116" i="3"/>
  <c r="L116" i="3" s="1"/>
  <c r="M116" i="3" s="1"/>
  <c r="B116" i="3"/>
  <c r="A116" i="3"/>
  <c r="AB115" i="3"/>
  <c r="AC115" i="3" s="1"/>
  <c r="AA115" i="3"/>
  <c r="Z115" i="3"/>
  <c r="Y115" i="3"/>
  <c r="X115" i="3"/>
  <c r="W115" i="3"/>
  <c r="V115" i="3"/>
  <c r="T115" i="3"/>
  <c r="S115" i="3"/>
  <c r="R115" i="3"/>
  <c r="Q115" i="3"/>
  <c r="P115" i="3"/>
  <c r="O115" i="3"/>
  <c r="N115" i="3"/>
  <c r="K115" i="3"/>
  <c r="J115" i="3"/>
  <c r="I115" i="3"/>
  <c r="H115" i="3"/>
  <c r="G115" i="3"/>
  <c r="F115" i="3"/>
  <c r="E115" i="3"/>
  <c r="D115" i="3"/>
  <c r="C115" i="3"/>
  <c r="L115" i="3" s="1"/>
  <c r="M115" i="3" s="1"/>
  <c r="B115" i="3"/>
  <c r="A115" i="3"/>
  <c r="AB114" i="3"/>
  <c r="AA114" i="3"/>
  <c r="Z114" i="3"/>
  <c r="Y114" i="3"/>
  <c r="X114" i="3"/>
  <c r="W114" i="3"/>
  <c r="V114" i="3"/>
  <c r="T114" i="3"/>
  <c r="S114" i="3"/>
  <c r="R114" i="3"/>
  <c r="Q114" i="3"/>
  <c r="P114" i="3"/>
  <c r="O114" i="3"/>
  <c r="N114" i="3"/>
  <c r="K114" i="3"/>
  <c r="J114" i="3"/>
  <c r="I114" i="3"/>
  <c r="H114" i="3"/>
  <c r="G114" i="3"/>
  <c r="F114" i="3"/>
  <c r="E114" i="3"/>
  <c r="D114" i="3"/>
  <c r="C114" i="3"/>
  <c r="L114" i="3" s="1"/>
  <c r="M114" i="3" s="1"/>
  <c r="B114" i="3"/>
  <c r="A114" i="3"/>
  <c r="AB113" i="3"/>
  <c r="AC113" i="3" s="1"/>
  <c r="AA113" i="3"/>
  <c r="Z113" i="3"/>
  <c r="Y113" i="3"/>
  <c r="X113" i="3"/>
  <c r="W113" i="3"/>
  <c r="V113" i="3"/>
  <c r="T113" i="3"/>
  <c r="S113" i="3"/>
  <c r="R113" i="3"/>
  <c r="Q113" i="3"/>
  <c r="P113" i="3"/>
  <c r="O113" i="3"/>
  <c r="N113" i="3"/>
  <c r="K113" i="3"/>
  <c r="J113" i="3"/>
  <c r="I113" i="3"/>
  <c r="H113" i="3"/>
  <c r="G113" i="3"/>
  <c r="F113" i="3"/>
  <c r="E113" i="3"/>
  <c r="D113" i="3"/>
  <c r="C113" i="3"/>
  <c r="L113" i="3" s="1"/>
  <c r="M113" i="3" s="1"/>
  <c r="B113" i="3"/>
  <c r="A113" i="3"/>
  <c r="AB112" i="3"/>
  <c r="AA112" i="3"/>
  <c r="Z112" i="3"/>
  <c r="Y112" i="3"/>
  <c r="X112" i="3"/>
  <c r="W112" i="3"/>
  <c r="V112" i="3"/>
  <c r="T112" i="3"/>
  <c r="S112" i="3"/>
  <c r="R112" i="3"/>
  <c r="Q112" i="3"/>
  <c r="P112" i="3"/>
  <c r="O112" i="3"/>
  <c r="N112" i="3"/>
  <c r="K112" i="3"/>
  <c r="J112" i="3"/>
  <c r="I112" i="3"/>
  <c r="H112" i="3"/>
  <c r="G112" i="3"/>
  <c r="F112" i="3"/>
  <c r="E112" i="3"/>
  <c r="D112" i="3"/>
  <c r="C112" i="3"/>
  <c r="L112" i="3" s="1"/>
  <c r="M112" i="3" s="1"/>
  <c r="B112" i="3"/>
  <c r="A112" i="3"/>
  <c r="AB111" i="3"/>
  <c r="AA111" i="3"/>
  <c r="Z111" i="3"/>
  <c r="Y111" i="3"/>
  <c r="X111" i="3"/>
  <c r="W111" i="3"/>
  <c r="V111" i="3"/>
  <c r="T111" i="3"/>
  <c r="S111" i="3"/>
  <c r="R111" i="3"/>
  <c r="Q111" i="3"/>
  <c r="P111" i="3"/>
  <c r="O111" i="3"/>
  <c r="N111" i="3"/>
  <c r="K111" i="3"/>
  <c r="J111" i="3"/>
  <c r="I111" i="3"/>
  <c r="H111" i="3"/>
  <c r="G111" i="3"/>
  <c r="F111" i="3"/>
  <c r="E111" i="3"/>
  <c r="D111" i="3"/>
  <c r="C111" i="3"/>
  <c r="L111" i="3" s="1"/>
  <c r="M111" i="3" s="1"/>
  <c r="B111" i="3"/>
  <c r="A111" i="3"/>
  <c r="AB110" i="3"/>
  <c r="AA110" i="3"/>
  <c r="Z110" i="3"/>
  <c r="Y110" i="3"/>
  <c r="X110" i="3"/>
  <c r="W110" i="3"/>
  <c r="V110" i="3"/>
  <c r="T110" i="3"/>
  <c r="S110" i="3"/>
  <c r="R110" i="3"/>
  <c r="Q110" i="3"/>
  <c r="P110" i="3"/>
  <c r="O110" i="3"/>
  <c r="N110" i="3"/>
  <c r="K110" i="3"/>
  <c r="J110" i="3"/>
  <c r="I110" i="3"/>
  <c r="H110" i="3"/>
  <c r="G110" i="3"/>
  <c r="F110" i="3"/>
  <c r="E110" i="3"/>
  <c r="D110" i="3"/>
  <c r="C110" i="3"/>
  <c r="L110" i="3" s="1"/>
  <c r="M110" i="3" s="1"/>
  <c r="B110" i="3"/>
  <c r="A110" i="3"/>
  <c r="AB109" i="3"/>
  <c r="AA109" i="3"/>
  <c r="Z109" i="3"/>
  <c r="Y109" i="3"/>
  <c r="X109" i="3"/>
  <c r="W109" i="3"/>
  <c r="V109" i="3"/>
  <c r="T109" i="3"/>
  <c r="S109" i="3"/>
  <c r="R109" i="3"/>
  <c r="Q109" i="3"/>
  <c r="P109" i="3"/>
  <c r="O109" i="3"/>
  <c r="N109" i="3"/>
  <c r="K109" i="3"/>
  <c r="J109" i="3"/>
  <c r="I109" i="3"/>
  <c r="H109" i="3"/>
  <c r="G109" i="3"/>
  <c r="F109" i="3"/>
  <c r="E109" i="3"/>
  <c r="D109" i="3"/>
  <c r="C109" i="3"/>
  <c r="L109" i="3" s="1"/>
  <c r="M109" i="3" s="1"/>
  <c r="B109" i="3"/>
  <c r="A109" i="3"/>
  <c r="AB108" i="3"/>
  <c r="AA108" i="3"/>
  <c r="Z108" i="3"/>
  <c r="Y108" i="3"/>
  <c r="X108" i="3"/>
  <c r="W108" i="3"/>
  <c r="V108" i="3"/>
  <c r="T108" i="3"/>
  <c r="S108" i="3"/>
  <c r="R108" i="3"/>
  <c r="Q108" i="3"/>
  <c r="P108" i="3"/>
  <c r="O108" i="3"/>
  <c r="N108" i="3"/>
  <c r="K108" i="3"/>
  <c r="J108" i="3"/>
  <c r="I108" i="3"/>
  <c r="H108" i="3"/>
  <c r="G108" i="3"/>
  <c r="F108" i="3"/>
  <c r="E108" i="3"/>
  <c r="D108" i="3"/>
  <c r="C108" i="3"/>
  <c r="L108" i="3" s="1"/>
  <c r="M108" i="3" s="1"/>
  <c r="B108" i="3"/>
  <c r="A108" i="3"/>
  <c r="AB107" i="3"/>
  <c r="AA107" i="3"/>
  <c r="Z107" i="3"/>
  <c r="Y107" i="3"/>
  <c r="X107" i="3"/>
  <c r="W107" i="3"/>
  <c r="V107" i="3"/>
  <c r="T107" i="3"/>
  <c r="S107" i="3"/>
  <c r="R107" i="3"/>
  <c r="Q107" i="3"/>
  <c r="P107" i="3"/>
  <c r="O107" i="3"/>
  <c r="N107" i="3"/>
  <c r="K107" i="3"/>
  <c r="J107" i="3"/>
  <c r="I107" i="3"/>
  <c r="H107" i="3"/>
  <c r="G107" i="3"/>
  <c r="F107" i="3"/>
  <c r="E107" i="3"/>
  <c r="D107" i="3"/>
  <c r="C107" i="3"/>
  <c r="L107" i="3" s="1"/>
  <c r="M107" i="3" s="1"/>
  <c r="B107" i="3"/>
  <c r="A107" i="3"/>
  <c r="AB106" i="3"/>
  <c r="AA106" i="3"/>
  <c r="Z106" i="3"/>
  <c r="Y106" i="3"/>
  <c r="X106" i="3"/>
  <c r="W106" i="3"/>
  <c r="V106" i="3"/>
  <c r="T106" i="3"/>
  <c r="S106" i="3"/>
  <c r="R106" i="3"/>
  <c r="Q106" i="3"/>
  <c r="P106" i="3"/>
  <c r="O106" i="3"/>
  <c r="N106" i="3"/>
  <c r="K106" i="3"/>
  <c r="J106" i="3"/>
  <c r="I106" i="3"/>
  <c r="H106" i="3"/>
  <c r="G106" i="3"/>
  <c r="F106" i="3"/>
  <c r="E106" i="3"/>
  <c r="D106" i="3"/>
  <c r="C106" i="3"/>
  <c r="L106" i="3" s="1"/>
  <c r="M106" i="3" s="1"/>
  <c r="B106" i="3"/>
  <c r="A106" i="3"/>
  <c r="AB105" i="3"/>
  <c r="AA105" i="3"/>
  <c r="Z105" i="3"/>
  <c r="Y105" i="3"/>
  <c r="X105" i="3"/>
  <c r="W105" i="3"/>
  <c r="V105" i="3"/>
  <c r="T105" i="3"/>
  <c r="S105" i="3"/>
  <c r="R105" i="3"/>
  <c r="Q105" i="3"/>
  <c r="P105" i="3"/>
  <c r="O105" i="3"/>
  <c r="N105" i="3"/>
  <c r="K105" i="3"/>
  <c r="J105" i="3"/>
  <c r="I105" i="3"/>
  <c r="H105" i="3"/>
  <c r="G105" i="3"/>
  <c r="F105" i="3"/>
  <c r="E105" i="3"/>
  <c r="D105" i="3"/>
  <c r="C105" i="3"/>
  <c r="L105" i="3" s="1"/>
  <c r="M105" i="3" s="1"/>
  <c r="B105" i="3"/>
  <c r="A105" i="3"/>
  <c r="AB104" i="3"/>
  <c r="AA104" i="3"/>
  <c r="Z104" i="3"/>
  <c r="Y104" i="3"/>
  <c r="X104" i="3"/>
  <c r="W104" i="3"/>
  <c r="V104" i="3"/>
  <c r="T104" i="3"/>
  <c r="S104" i="3"/>
  <c r="R104" i="3"/>
  <c r="Q104" i="3"/>
  <c r="P104" i="3"/>
  <c r="O104" i="3"/>
  <c r="N104" i="3"/>
  <c r="K104" i="3"/>
  <c r="J104" i="3"/>
  <c r="I104" i="3"/>
  <c r="H104" i="3"/>
  <c r="G104" i="3"/>
  <c r="F104" i="3"/>
  <c r="E104" i="3"/>
  <c r="D104" i="3"/>
  <c r="C104" i="3"/>
  <c r="L104" i="3" s="1"/>
  <c r="M104" i="3" s="1"/>
  <c r="B104" i="3"/>
  <c r="A104" i="3"/>
  <c r="AB103" i="3"/>
  <c r="AA103" i="3"/>
  <c r="Z103" i="3"/>
  <c r="Y103" i="3"/>
  <c r="X103" i="3"/>
  <c r="W103" i="3"/>
  <c r="V103" i="3"/>
  <c r="T103" i="3"/>
  <c r="S103" i="3"/>
  <c r="R103" i="3"/>
  <c r="Q103" i="3"/>
  <c r="P103" i="3"/>
  <c r="O103" i="3"/>
  <c r="N103" i="3"/>
  <c r="K103" i="3"/>
  <c r="J103" i="3"/>
  <c r="I103" i="3"/>
  <c r="H103" i="3"/>
  <c r="G103" i="3"/>
  <c r="F103" i="3"/>
  <c r="E103" i="3"/>
  <c r="D103" i="3"/>
  <c r="C103" i="3"/>
  <c r="L103" i="3" s="1"/>
  <c r="M103" i="3" s="1"/>
  <c r="B103" i="3"/>
  <c r="A103" i="3"/>
  <c r="AB102" i="3"/>
  <c r="AA102" i="3"/>
  <c r="Z102" i="3"/>
  <c r="Y102" i="3"/>
  <c r="X102" i="3"/>
  <c r="W102" i="3"/>
  <c r="V102" i="3"/>
  <c r="T102" i="3"/>
  <c r="S102" i="3"/>
  <c r="R102" i="3"/>
  <c r="Q102" i="3"/>
  <c r="P102" i="3"/>
  <c r="O102" i="3"/>
  <c r="N102" i="3"/>
  <c r="K102" i="3"/>
  <c r="J102" i="3"/>
  <c r="I102" i="3"/>
  <c r="H102" i="3"/>
  <c r="G102" i="3"/>
  <c r="F102" i="3"/>
  <c r="E102" i="3"/>
  <c r="D102" i="3"/>
  <c r="C102" i="3"/>
  <c r="L102" i="3" s="1"/>
  <c r="M102" i="3" s="1"/>
  <c r="B102" i="3"/>
  <c r="A102" i="3"/>
  <c r="AB101" i="3"/>
  <c r="AA101" i="3"/>
  <c r="Z101" i="3"/>
  <c r="Y101" i="3"/>
  <c r="X101" i="3"/>
  <c r="W101" i="3"/>
  <c r="V101" i="3"/>
  <c r="T101" i="3"/>
  <c r="S101" i="3"/>
  <c r="R101" i="3"/>
  <c r="Q101" i="3"/>
  <c r="P101" i="3"/>
  <c r="O101" i="3"/>
  <c r="N101" i="3"/>
  <c r="K101" i="3"/>
  <c r="J101" i="3"/>
  <c r="I101" i="3"/>
  <c r="H101" i="3"/>
  <c r="G101" i="3"/>
  <c r="F101" i="3"/>
  <c r="E101" i="3"/>
  <c r="D101" i="3"/>
  <c r="C101" i="3"/>
  <c r="L101" i="3" s="1"/>
  <c r="M101" i="3" s="1"/>
  <c r="B101" i="3"/>
  <c r="A101" i="3"/>
  <c r="AB100" i="3"/>
  <c r="AA100" i="3"/>
  <c r="Z100" i="3"/>
  <c r="Y100" i="3"/>
  <c r="X100" i="3"/>
  <c r="W100" i="3"/>
  <c r="V100" i="3"/>
  <c r="T100" i="3"/>
  <c r="S100" i="3"/>
  <c r="R100" i="3"/>
  <c r="Q100" i="3"/>
  <c r="P100" i="3"/>
  <c r="O100" i="3"/>
  <c r="N100" i="3"/>
  <c r="K100" i="3"/>
  <c r="J100" i="3"/>
  <c r="I100" i="3"/>
  <c r="H100" i="3"/>
  <c r="G100" i="3"/>
  <c r="F100" i="3"/>
  <c r="E100" i="3"/>
  <c r="D100" i="3"/>
  <c r="C100" i="3"/>
  <c r="L100" i="3" s="1"/>
  <c r="M100" i="3" s="1"/>
  <c r="B100" i="3"/>
  <c r="A100" i="3"/>
  <c r="AB99" i="3"/>
  <c r="AA99" i="3"/>
  <c r="Z99" i="3"/>
  <c r="Y99" i="3"/>
  <c r="X99" i="3"/>
  <c r="W99" i="3"/>
  <c r="V99" i="3"/>
  <c r="T99" i="3"/>
  <c r="S99" i="3"/>
  <c r="R99" i="3"/>
  <c r="Q99" i="3"/>
  <c r="P99" i="3"/>
  <c r="O99" i="3"/>
  <c r="N99" i="3"/>
  <c r="K99" i="3"/>
  <c r="J99" i="3"/>
  <c r="I99" i="3"/>
  <c r="H99" i="3"/>
  <c r="G99" i="3"/>
  <c r="F99" i="3"/>
  <c r="E99" i="3"/>
  <c r="D99" i="3"/>
  <c r="C99" i="3"/>
  <c r="L99" i="3" s="1"/>
  <c r="M99" i="3" s="1"/>
  <c r="B99" i="3"/>
  <c r="A99" i="3"/>
  <c r="AB98" i="3"/>
  <c r="AA98" i="3"/>
  <c r="Z98" i="3"/>
  <c r="Y98" i="3"/>
  <c r="X98" i="3"/>
  <c r="W98" i="3"/>
  <c r="V98" i="3"/>
  <c r="T98" i="3"/>
  <c r="S98" i="3"/>
  <c r="R98" i="3"/>
  <c r="Q98" i="3"/>
  <c r="P98" i="3"/>
  <c r="O98" i="3"/>
  <c r="N98" i="3"/>
  <c r="K98" i="3"/>
  <c r="J98" i="3"/>
  <c r="I98" i="3"/>
  <c r="H98" i="3"/>
  <c r="G98" i="3"/>
  <c r="F98" i="3"/>
  <c r="E98" i="3"/>
  <c r="D98" i="3"/>
  <c r="C98" i="3"/>
  <c r="L98" i="3" s="1"/>
  <c r="M98" i="3" s="1"/>
  <c r="B98" i="3"/>
  <c r="A98" i="3"/>
  <c r="AB97" i="3"/>
  <c r="AA97" i="3"/>
  <c r="Z97" i="3"/>
  <c r="Y97" i="3"/>
  <c r="X97" i="3"/>
  <c r="W97" i="3"/>
  <c r="V97" i="3"/>
  <c r="T97" i="3"/>
  <c r="S97" i="3"/>
  <c r="R97" i="3"/>
  <c r="Q97" i="3"/>
  <c r="P97" i="3"/>
  <c r="O97" i="3"/>
  <c r="N97" i="3"/>
  <c r="K97" i="3"/>
  <c r="J97" i="3"/>
  <c r="I97" i="3"/>
  <c r="H97" i="3"/>
  <c r="G97" i="3"/>
  <c r="F97" i="3"/>
  <c r="E97" i="3"/>
  <c r="D97" i="3"/>
  <c r="C97" i="3"/>
  <c r="L97" i="3" s="1"/>
  <c r="M97" i="3" s="1"/>
  <c r="B97" i="3"/>
  <c r="A97" i="3"/>
  <c r="AB96" i="3"/>
  <c r="AC96" i="3" s="1"/>
  <c r="AA96" i="3"/>
  <c r="Z96" i="3"/>
  <c r="Y96" i="3"/>
  <c r="X96" i="3"/>
  <c r="W96" i="3"/>
  <c r="V96" i="3"/>
  <c r="T96" i="3"/>
  <c r="S96" i="3"/>
  <c r="R96" i="3"/>
  <c r="Q96" i="3"/>
  <c r="P96" i="3"/>
  <c r="O96" i="3"/>
  <c r="N96" i="3"/>
  <c r="K96" i="3"/>
  <c r="J96" i="3"/>
  <c r="I96" i="3"/>
  <c r="H96" i="3"/>
  <c r="G96" i="3"/>
  <c r="F96" i="3"/>
  <c r="E96" i="3"/>
  <c r="D96" i="3"/>
  <c r="C96" i="3"/>
  <c r="L96" i="3" s="1"/>
  <c r="M96" i="3" s="1"/>
  <c r="B96" i="3"/>
  <c r="A96" i="3"/>
  <c r="AB95" i="3"/>
  <c r="AA95" i="3"/>
  <c r="Z95" i="3"/>
  <c r="Y95" i="3"/>
  <c r="X95" i="3"/>
  <c r="W95" i="3"/>
  <c r="V95" i="3"/>
  <c r="T95" i="3"/>
  <c r="S95" i="3"/>
  <c r="R95" i="3"/>
  <c r="Q95" i="3"/>
  <c r="P95" i="3"/>
  <c r="O95" i="3"/>
  <c r="N95" i="3"/>
  <c r="K95" i="3"/>
  <c r="J95" i="3"/>
  <c r="I95" i="3"/>
  <c r="H95" i="3"/>
  <c r="G95" i="3"/>
  <c r="F95" i="3"/>
  <c r="E95" i="3"/>
  <c r="D95" i="3"/>
  <c r="C95" i="3"/>
  <c r="L95" i="3" s="1"/>
  <c r="M95" i="3" s="1"/>
  <c r="B95" i="3"/>
  <c r="A95" i="3"/>
  <c r="AB94" i="3"/>
  <c r="AA94" i="3"/>
  <c r="Z94" i="3"/>
  <c r="Y94" i="3"/>
  <c r="X94" i="3"/>
  <c r="W94" i="3"/>
  <c r="V94" i="3"/>
  <c r="T94" i="3"/>
  <c r="S94" i="3"/>
  <c r="R94" i="3"/>
  <c r="Q94" i="3"/>
  <c r="P94" i="3"/>
  <c r="O94" i="3"/>
  <c r="N94" i="3"/>
  <c r="K94" i="3"/>
  <c r="J94" i="3"/>
  <c r="I94" i="3"/>
  <c r="H94" i="3"/>
  <c r="G94" i="3"/>
  <c r="F94" i="3"/>
  <c r="E94" i="3"/>
  <c r="D94" i="3"/>
  <c r="C94" i="3"/>
  <c r="L94" i="3" s="1"/>
  <c r="M94" i="3" s="1"/>
  <c r="B94" i="3"/>
  <c r="A94" i="3"/>
  <c r="AB93" i="3"/>
  <c r="AA93" i="3"/>
  <c r="Z93" i="3"/>
  <c r="Y93" i="3"/>
  <c r="X93" i="3"/>
  <c r="W93" i="3"/>
  <c r="V93" i="3"/>
  <c r="T93" i="3"/>
  <c r="S93" i="3"/>
  <c r="R93" i="3"/>
  <c r="Q93" i="3"/>
  <c r="P93" i="3"/>
  <c r="O93" i="3"/>
  <c r="N93" i="3"/>
  <c r="K93" i="3"/>
  <c r="J93" i="3"/>
  <c r="I93" i="3"/>
  <c r="H93" i="3"/>
  <c r="G93" i="3"/>
  <c r="F93" i="3"/>
  <c r="E93" i="3"/>
  <c r="D93" i="3"/>
  <c r="C93" i="3"/>
  <c r="L93" i="3" s="1"/>
  <c r="M93" i="3" s="1"/>
  <c r="B93" i="3"/>
  <c r="A93" i="3"/>
  <c r="AB92" i="3"/>
  <c r="AA92" i="3"/>
  <c r="Z92" i="3"/>
  <c r="Y92" i="3"/>
  <c r="X92" i="3"/>
  <c r="W92" i="3"/>
  <c r="V92" i="3"/>
  <c r="T92" i="3"/>
  <c r="S92" i="3"/>
  <c r="R92" i="3"/>
  <c r="Q92" i="3"/>
  <c r="P92" i="3"/>
  <c r="O92" i="3"/>
  <c r="N92" i="3"/>
  <c r="K92" i="3"/>
  <c r="J92" i="3"/>
  <c r="I92" i="3"/>
  <c r="H92" i="3"/>
  <c r="G92" i="3"/>
  <c r="F92" i="3"/>
  <c r="E92" i="3"/>
  <c r="D92" i="3"/>
  <c r="C92" i="3"/>
  <c r="L92" i="3" s="1"/>
  <c r="M92" i="3" s="1"/>
  <c r="B92" i="3"/>
  <c r="A92" i="3"/>
  <c r="AB91" i="3"/>
  <c r="AA91" i="3"/>
  <c r="Z91" i="3"/>
  <c r="Y91" i="3"/>
  <c r="X91" i="3"/>
  <c r="W91" i="3"/>
  <c r="V91" i="3"/>
  <c r="T91" i="3"/>
  <c r="S91" i="3"/>
  <c r="R91" i="3"/>
  <c r="Q91" i="3"/>
  <c r="P91" i="3"/>
  <c r="O91" i="3"/>
  <c r="N91" i="3"/>
  <c r="K91" i="3"/>
  <c r="J91" i="3"/>
  <c r="I91" i="3"/>
  <c r="H91" i="3"/>
  <c r="G91" i="3"/>
  <c r="F91" i="3"/>
  <c r="E91" i="3"/>
  <c r="D91" i="3"/>
  <c r="C91" i="3"/>
  <c r="L91" i="3" s="1"/>
  <c r="M91" i="3" s="1"/>
  <c r="B91" i="3"/>
  <c r="A91" i="3"/>
  <c r="AB90" i="3"/>
  <c r="AA90" i="3"/>
  <c r="Z90" i="3"/>
  <c r="Y90" i="3"/>
  <c r="X90" i="3"/>
  <c r="W90" i="3"/>
  <c r="V90" i="3"/>
  <c r="T90" i="3"/>
  <c r="S90" i="3"/>
  <c r="R90" i="3"/>
  <c r="Q90" i="3"/>
  <c r="P90" i="3"/>
  <c r="O90" i="3"/>
  <c r="N90" i="3"/>
  <c r="K90" i="3"/>
  <c r="J90" i="3"/>
  <c r="I90" i="3"/>
  <c r="H90" i="3"/>
  <c r="G90" i="3"/>
  <c r="F90" i="3"/>
  <c r="E90" i="3"/>
  <c r="D90" i="3"/>
  <c r="C90" i="3"/>
  <c r="L90" i="3" s="1"/>
  <c r="M90" i="3" s="1"/>
  <c r="B90" i="3"/>
  <c r="A90" i="3"/>
  <c r="AB89" i="3"/>
  <c r="AA89" i="3"/>
  <c r="Z89" i="3"/>
  <c r="Y89" i="3"/>
  <c r="X89" i="3"/>
  <c r="W89" i="3"/>
  <c r="V89" i="3"/>
  <c r="T89" i="3"/>
  <c r="S89" i="3"/>
  <c r="R89" i="3"/>
  <c r="Q89" i="3"/>
  <c r="P89" i="3"/>
  <c r="O89" i="3"/>
  <c r="N89" i="3"/>
  <c r="K89" i="3"/>
  <c r="J89" i="3"/>
  <c r="I89" i="3"/>
  <c r="H89" i="3"/>
  <c r="G89" i="3"/>
  <c r="F89" i="3"/>
  <c r="E89" i="3"/>
  <c r="D89" i="3"/>
  <c r="C89" i="3"/>
  <c r="L89" i="3" s="1"/>
  <c r="M89" i="3" s="1"/>
  <c r="B89" i="3"/>
  <c r="A89" i="3"/>
  <c r="AB88" i="3"/>
  <c r="AA88" i="3"/>
  <c r="Z88" i="3"/>
  <c r="Y88" i="3"/>
  <c r="X88" i="3"/>
  <c r="W88" i="3"/>
  <c r="V88" i="3"/>
  <c r="T88" i="3"/>
  <c r="S88" i="3"/>
  <c r="R88" i="3"/>
  <c r="Q88" i="3"/>
  <c r="P88" i="3"/>
  <c r="O88" i="3"/>
  <c r="N88" i="3"/>
  <c r="K88" i="3"/>
  <c r="J88" i="3"/>
  <c r="I88" i="3"/>
  <c r="H88" i="3"/>
  <c r="G88" i="3"/>
  <c r="F88" i="3"/>
  <c r="E88" i="3"/>
  <c r="D88" i="3"/>
  <c r="C88" i="3"/>
  <c r="L88" i="3" s="1"/>
  <c r="M88" i="3" s="1"/>
  <c r="B88" i="3"/>
  <c r="A88" i="3"/>
  <c r="AB87" i="3"/>
  <c r="AA87" i="3"/>
  <c r="Z87" i="3"/>
  <c r="Y87" i="3"/>
  <c r="X87" i="3"/>
  <c r="W87" i="3"/>
  <c r="V87" i="3"/>
  <c r="T87" i="3"/>
  <c r="S87" i="3"/>
  <c r="R87" i="3"/>
  <c r="Q87" i="3"/>
  <c r="P87" i="3"/>
  <c r="O87" i="3"/>
  <c r="N87" i="3"/>
  <c r="K87" i="3"/>
  <c r="J87" i="3"/>
  <c r="I87" i="3"/>
  <c r="H87" i="3"/>
  <c r="G87" i="3"/>
  <c r="F87" i="3"/>
  <c r="E87" i="3"/>
  <c r="D87" i="3"/>
  <c r="C87" i="3"/>
  <c r="L87" i="3" s="1"/>
  <c r="M87" i="3" s="1"/>
  <c r="B87" i="3"/>
  <c r="A87" i="3"/>
  <c r="AB86" i="3"/>
  <c r="AA86" i="3"/>
  <c r="Z86" i="3"/>
  <c r="Y86" i="3"/>
  <c r="X86" i="3"/>
  <c r="W86" i="3"/>
  <c r="V86" i="3"/>
  <c r="T86" i="3"/>
  <c r="S86" i="3"/>
  <c r="R86" i="3"/>
  <c r="Q86" i="3"/>
  <c r="P86" i="3"/>
  <c r="O86" i="3"/>
  <c r="N86" i="3"/>
  <c r="K86" i="3"/>
  <c r="J86" i="3"/>
  <c r="I86" i="3"/>
  <c r="H86" i="3"/>
  <c r="G86" i="3"/>
  <c r="F86" i="3"/>
  <c r="E86" i="3"/>
  <c r="D86" i="3"/>
  <c r="C86" i="3"/>
  <c r="L86" i="3" s="1"/>
  <c r="M86" i="3" s="1"/>
  <c r="B86" i="3"/>
  <c r="A86" i="3"/>
  <c r="AB85" i="3"/>
  <c r="AA85" i="3"/>
  <c r="Z85" i="3"/>
  <c r="Y85" i="3"/>
  <c r="X85" i="3"/>
  <c r="W85" i="3"/>
  <c r="V85" i="3"/>
  <c r="T85" i="3"/>
  <c r="S85" i="3"/>
  <c r="R85" i="3"/>
  <c r="Q85" i="3"/>
  <c r="P85" i="3"/>
  <c r="O85" i="3"/>
  <c r="N85" i="3"/>
  <c r="K85" i="3"/>
  <c r="J85" i="3"/>
  <c r="I85" i="3"/>
  <c r="H85" i="3"/>
  <c r="G85" i="3"/>
  <c r="F85" i="3"/>
  <c r="E85" i="3"/>
  <c r="D85" i="3"/>
  <c r="C85" i="3"/>
  <c r="L85" i="3" s="1"/>
  <c r="M85" i="3" s="1"/>
  <c r="B85" i="3"/>
  <c r="A85" i="3"/>
  <c r="AB84" i="3"/>
  <c r="AA84" i="3"/>
  <c r="Z84" i="3"/>
  <c r="Y84" i="3"/>
  <c r="X84" i="3"/>
  <c r="W84" i="3"/>
  <c r="V84" i="3"/>
  <c r="T84" i="3"/>
  <c r="S84" i="3"/>
  <c r="R84" i="3"/>
  <c r="Q84" i="3"/>
  <c r="P84" i="3"/>
  <c r="O84" i="3"/>
  <c r="N84" i="3"/>
  <c r="K84" i="3"/>
  <c r="J84" i="3"/>
  <c r="I84" i="3"/>
  <c r="H84" i="3"/>
  <c r="G84" i="3"/>
  <c r="F84" i="3"/>
  <c r="E84" i="3"/>
  <c r="D84" i="3"/>
  <c r="C84" i="3"/>
  <c r="L84" i="3" s="1"/>
  <c r="M84" i="3" s="1"/>
  <c r="B84" i="3"/>
  <c r="A84" i="3"/>
  <c r="AB83" i="3"/>
  <c r="AA83" i="3"/>
  <c r="Z83" i="3"/>
  <c r="Y83" i="3"/>
  <c r="X83" i="3"/>
  <c r="W83" i="3"/>
  <c r="V83" i="3"/>
  <c r="T83" i="3"/>
  <c r="S83" i="3"/>
  <c r="R83" i="3"/>
  <c r="Q83" i="3"/>
  <c r="P83" i="3"/>
  <c r="O83" i="3"/>
  <c r="N83" i="3"/>
  <c r="K83" i="3"/>
  <c r="J83" i="3"/>
  <c r="I83" i="3"/>
  <c r="H83" i="3"/>
  <c r="G83" i="3"/>
  <c r="F83" i="3"/>
  <c r="E83" i="3"/>
  <c r="D83" i="3"/>
  <c r="C83" i="3"/>
  <c r="L83" i="3" s="1"/>
  <c r="M83" i="3" s="1"/>
  <c r="B83" i="3"/>
  <c r="A83" i="3"/>
  <c r="AB82" i="3"/>
  <c r="AA82" i="3"/>
  <c r="Z82" i="3"/>
  <c r="Y82" i="3"/>
  <c r="X82" i="3"/>
  <c r="W82" i="3"/>
  <c r="V82" i="3"/>
  <c r="T82" i="3"/>
  <c r="S82" i="3"/>
  <c r="R82" i="3"/>
  <c r="Q82" i="3"/>
  <c r="P82" i="3"/>
  <c r="O82" i="3"/>
  <c r="N82" i="3"/>
  <c r="K82" i="3"/>
  <c r="J82" i="3"/>
  <c r="I82" i="3"/>
  <c r="H82" i="3"/>
  <c r="G82" i="3"/>
  <c r="F82" i="3"/>
  <c r="E82" i="3"/>
  <c r="D82" i="3"/>
  <c r="C82" i="3"/>
  <c r="L82" i="3" s="1"/>
  <c r="M82" i="3" s="1"/>
  <c r="B82" i="3"/>
  <c r="A82" i="3"/>
  <c r="AB81" i="3"/>
  <c r="AA81" i="3"/>
  <c r="Z81" i="3"/>
  <c r="Y81" i="3"/>
  <c r="X81" i="3"/>
  <c r="W81" i="3"/>
  <c r="V81" i="3"/>
  <c r="T81" i="3"/>
  <c r="S81" i="3"/>
  <c r="R81" i="3"/>
  <c r="Q81" i="3"/>
  <c r="P81" i="3"/>
  <c r="O81" i="3"/>
  <c r="N81" i="3"/>
  <c r="K81" i="3"/>
  <c r="J81" i="3"/>
  <c r="I81" i="3"/>
  <c r="H81" i="3"/>
  <c r="G81" i="3"/>
  <c r="F81" i="3"/>
  <c r="E81" i="3"/>
  <c r="D81" i="3"/>
  <c r="C81" i="3"/>
  <c r="L81" i="3" s="1"/>
  <c r="M81" i="3" s="1"/>
  <c r="B81" i="3"/>
  <c r="A81" i="3"/>
  <c r="AB80" i="3"/>
  <c r="AA80" i="3"/>
  <c r="Z80" i="3"/>
  <c r="Y80" i="3"/>
  <c r="X80" i="3"/>
  <c r="W80" i="3"/>
  <c r="V80" i="3"/>
  <c r="T80" i="3"/>
  <c r="S80" i="3"/>
  <c r="R80" i="3"/>
  <c r="Q80" i="3"/>
  <c r="P80" i="3"/>
  <c r="O80" i="3"/>
  <c r="N80" i="3"/>
  <c r="K80" i="3"/>
  <c r="J80" i="3"/>
  <c r="I80" i="3"/>
  <c r="H80" i="3"/>
  <c r="G80" i="3"/>
  <c r="F80" i="3"/>
  <c r="E80" i="3"/>
  <c r="D80" i="3"/>
  <c r="C80" i="3"/>
  <c r="L80" i="3" s="1"/>
  <c r="M80" i="3" s="1"/>
  <c r="B80" i="3"/>
  <c r="A80" i="3"/>
  <c r="AB79" i="3"/>
  <c r="AA79" i="3"/>
  <c r="Z79" i="3"/>
  <c r="Y79" i="3"/>
  <c r="X79" i="3"/>
  <c r="W79" i="3"/>
  <c r="V79" i="3"/>
  <c r="T79" i="3"/>
  <c r="S79" i="3"/>
  <c r="R79" i="3"/>
  <c r="Q79" i="3"/>
  <c r="P79" i="3"/>
  <c r="O79" i="3"/>
  <c r="N79" i="3"/>
  <c r="K79" i="3"/>
  <c r="J79" i="3"/>
  <c r="I79" i="3"/>
  <c r="H79" i="3"/>
  <c r="G79" i="3"/>
  <c r="F79" i="3"/>
  <c r="E79" i="3"/>
  <c r="D79" i="3"/>
  <c r="C79" i="3"/>
  <c r="L79" i="3" s="1"/>
  <c r="M79" i="3" s="1"/>
  <c r="B79" i="3"/>
  <c r="A79" i="3"/>
  <c r="AB78" i="3"/>
  <c r="AA78" i="3"/>
  <c r="Z78" i="3"/>
  <c r="Y78" i="3"/>
  <c r="X78" i="3"/>
  <c r="W78" i="3"/>
  <c r="V78" i="3"/>
  <c r="T78" i="3"/>
  <c r="S78" i="3"/>
  <c r="R78" i="3"/>
  <c r="Q78" i="3"/>
  <c r="P78" i="3"/>
  <c r="O78" i="3"/>
  <c r="N78" i="3"/>
  <c r="K78" i="3"/>
  <c r="J78" i="3"/>
  <c r="I78" i="3"/>
  <c r="H78" i="3"/>
  <c r="G78" i="3"/>
  <c r="F78" i="3"/>
  <c r="E78" i="3"/>
  <c r="D78" i="3"/>
  <c r="C78" i="3"/>
  <c r="L78" i="3" s="1"/>
  <c r="M78" i="3" s="1"/>
  <c r="B78" i="3"/>
  <c r="A78" i="3"/>
  <c r="AB77" i="3"/>
  <c r="AA77" i="3"/>
  <c r="Z77" i="3"/>
  <c r="Y77" i="3"/>
  <c r="X77" i="3"/>
  <c r="W77" i="3"/>
  <c r="V77" i="3"/>
  <c r="T77" i="3"/>
  <c r="S77" i="3"/>
  <c r="R77" i="3"/>
  <c r="Q77" i="3"/>
  <c r="P77" i="3"/>
  <c r="O77" i="3"/>
  <c r="N77" i="3"/>
  <c r="K77" i="3"/>
  <c r="J77" i="3"/>
  <c r="I77" i="3"/>
  <c r="H77" i="3"/>
  <c r="G77" i="3"/>
  <c r="F77" i="3"/>
  <c r="E77" i="3"/>
  <c r="D77" i="3"/>
  <c r="C77" i="3"/>
  <c r="L77" i="3" s="1"/>
  <c r="M77" i="3" s="1"/>
  <c r="B77" i="3"/>
  <c r="A77" i="3"/>
  <c r="AB76" i="3"/>
  <c r="AA76" i="3"/>
  <c r="Z76" i="3"/>
  <c r="Y76" i="3"/>
  <c r="X76" i="3"/>
  <c r="W76" i="3"/>
  <c r="V76" i="3"/>
  <c r="T76" i="3"/>
  <c r="S76" i="3"/>
  <c r="R76" i="3"/>
  <c r="Q76" i="3"/>
  <c r="P76" i="3"/>
  <c r="O76" i="3"/>
  <c r="N76" i="3"/>
  <c r="K76" i="3"/>
  <c r="J76" i="3"/>
  <c r="I76" i="3"/>
  <c r="H76" i="3"/>
  <c r="G76" i="3"/>
  <c r="F76" i="3"/>
  <c r="E76" i="3"/>
  <c r="D76" i="3"/>
  <c r="C76" i="3"/>
  <c r="L76" i="3" s="1"/>
  <c r="M76" i="3" s="1"/>
  <c r="B76" i="3"/>
  <c r="A76" i="3"/>
  <c r="AB75" i="3"/>
  <c r="AA75" i="3"/>
  <c r="Z75" i="3"/>
  <c r="Y75" i="3"/>
  <c r="X75" i="3"/>
  <c r="W75" i="3"/>
  <c r="V75" i="3"/>
  <c r="T75" i="3"/>
  <c r="S75" i="3"/>
  <c r="R75" i="3"/>
  <c r="Q75" i="3"/>
  <c r="P75" i="3"/>
  <c r="O75" i="3"/>
  <c r="N75" i="3"/>
  <c r="K75" i="3"/>
  <c r="J75" i="3"/>
  <c r="I75" i="3"/>
  <c r="H75" i="3"/>
  <c r="G75" i="3"/>
  <c r="F75" i="3"/>
  <c r="E75" i="3"/>
  <c r="D75" i="3"/>
  <c r="C75" i="3"/>
  <c r="L75" i="3" s="1"/>
  <c r="M75" i="3" s="1"/>
  <c r="B75" i="3"/>
  <c r="A75" i="3"/>
  <c r="AB74" i="3"/>
  <c r="AA74" i="3"/>
  <c r="Z74" i="3"/>
  <c r="Y74" i="3"/>
  <c r="X74" i="3"/>
  <c r="W74" i="3"/>
  <c r="V74" i="3"/>
  <c r="T74" i="3"/>
  <c r="S74" i="3"/>
  <c r="R74" i="3"/>
  <c r="Q74" i="3"/>
  <c r="P74" i="3"/>
  <c r="O74" i="3"/>
  <c r="N74" i="3"/>
  <c r="K74" i="3"/>
  <c r="J74" i="3"/>
  <c r="I74" i="3"/>
  <c r="H74" i="3"/>
  <c r="G74" i="3"/>
  <c r="F74" i="3"/>
  <c r="E74" i="3"/>
  <c r="D74" i="3"/>
  <c r="C74" i="3"/>
  <c r="L74" i="3" s="1"/>
  <c r="M74" i="3" s="1"/>
  <c r="B74" i="3"/>
  <c r="A74" i="3"/>
  <c r="AB73" i="3"/>
  <c r="AA73" i="3"/>
  <c r="Z73" i="3"/>
  <c r="Y73" i="3"/>
  <c r="X73" i="3"/>
  <c r="W73" i="3"/>
  <c r="V73" i="3"/>
  <c r="T73" i="3"/>
  <c r="S73" i="3"/>
  <c r="R73" i="3"/>
  <c r="Q73" i="3"/>
  <c r="P73" i="3"/>
  <c r="O73" i="3"/>
  <c r="N73" i="3"/>
  <c r="K73" i="3"/>
  <c r="J73" i="3"/>
  <c r="I73" i="3"/>
  <c r="H73" i="3"/>
  <c r="G73" i="3"/>
  <c r="F73" i="3"/>
  <c r="E73" i="3"/>
  <c r="D73" i="3"/>
  <c r="C73" i="3"/>
  <c r="L73" i="3" s="1"/>
  <c r="M73" i="3" s="1"/>
  <c r="B73" i="3"/>
  <c r="A73" i="3"/>
  <c r="AB72" i="3"/>
  <c r="AA72" i="3"/>
  <c r="Z72" i="3"/>
  <c r="Y72" i="3"/>
  <c r="X72" i="3"/>
  <c r="W72" i="3"/>
  <c r="V72" i="3"/>
  <c r="T72" i="3"/>
  <c r="S72" i="3"/>
  <c r="R72" i="3"/>
  <c r="Q72" i="3"/>
  <c r="P72" i="3"/>
  <c r="O72" i="3"/>
  <c r="N72" i="3"/>
  <c r="K72" i="3"/>
  <c r="J72" i="3"/>
  <c r="I72" i="3"/>
  <c r="H72" i="3"/>
  <c r="G72" i="3"/>
  <c r="F72" i="3"/>
  <c r="E72" i="3"/>
  <c r="D72" i="3"/>
  <c r="C72" i="3"/>
  <c r="L72" i="3" s="1"/>
  <c r="M72" i="3" s="1"/>
  <c r="B72" i="3"/>
  <c r="A72" i="3"/>
  <c r="AB71" i="3"/>
  <c r="AA71" i="3"/>
  <c r="Z71" i="3"/>
  <c r="Y71" i="3"/>
  <c r="X71" i="3"/>
  <c r="W71" i="3"/>
  <c r="V71" i="3"/>
  <c r="T71" i="3"/>
  <c r="S71" i="3"/>
  <c r="R71" i="3"/>
  <c r="Q71" i="3"/>
  <c r="P71" i="3"/>
  <c r="O71" i="3"/>
  <c r="N71" i="3"/>
  <c r="K71" i="3"/>
  <c r="J71" i="3"/>
  <c r="I71" i="3"/>
  <c r="H71" i="3"/>
  <c r="G71" i="3"/>
  <c r="F71" i="3"/>
  <c r="E71" i="3"/>
  <c r="D71" i="3"/>
  <c r="C71" i="3"/>
  <c r="L71" i="3" s="1"/>
  <c r="M71" i="3" s="1"/>
  <c r="B71" i="3"/>
  <c r="A71" i="3"/>
  <c r="AB70" i="3"/>
  <c r="AA70" i="3"/>
  <c r="Z70" i="3"/>
  <c r="Y70" i="3"/>
  <c r="X70" i="3"/>
  <c r="W70" i="3"/>
  <c r="V70" i="3"/>
  <c r="T70" i="3"/>
  <c r="S70" i="3"/>
  <c r="R70" i="3"/>
  <c r="Q70" i="3"/>
  <c r="P70" i="3"/>
  <c r="O70" i="3"/>
  <c r="N70" i="3"/>
  <c r="K70" i="3"/>
  <c r="J70" i="3"/>
  <c r="I70" i="3"/>
  <c r="H70" i="3"/>
  <c r="G70" i="3"/>
  <c r="F70" i="3"/>
  <c r="E70" i="3"/>
  <c r="D70" i="3"/>
  <c r="C70" i="3"/>
  <c r="L70" i="3" s="1"/>
  <c r="M70" i="3" s="1"/>
  <c r="B70" i="3"/>
  <c r="A70" i="3"/>
  <c r="AB69" i="3"/>
  <c r="AA69" i="3"/>
  <c r="Z69" i="3"/>
  <c r="Y69" i="3"/>
  <c r="X69" i="3"/>
  <c r="W69" i="3"/>
  <c r="V69" i="3"/>
  <c r="T69" i="3"/>
  <c r="S69" i="3"/>
  <c r="R69" i="3"/>
  <c r="Q69" i="3"/>
  <c r="P69" i="3"/>
  <c r="O69" i="3"/>
  <c r="N69" i="3"/>
  <c r="K69" i="3"/>
  <c r="J69" i="3"/>
  <c r="I69" i="3"/>
  <c r="H69" i="3"/>
  <c r="G69" i="3"/>
  <c r="F69" i="3"/>
  <c r="E69" i="3"/>
  <c r="D69" i="3"/>
  <c r="C69" i="3"/>
  <c r="L69" i="3" s="1"/>
  <c r="M69" i="3" s="1"/>
  <c r="B69" i="3"/>
  <c r="A69" i="3"/>
  <c r="AB68" i="3"/>
  <c r="AA68" i="3"/>
  <c r="Z68" i="3"/>
  <c r="Y68" i="3"/>
  <c r="X68" i="3"/>
  <c r="W68" i="3"/>
  <c r="V68" i="3"/>
  <c r="T68" i="3"/>
  <c r="S68" i="3"/>
  <c r="R68" i="3"/>
  <c r="Q68" i="3"/>
  <c r="P68" i="3"/>
  <c r="O68" i="3"/>
  <c r="N68" i="3"/>
  <c r="K68" i="3"/>
  <c r="J68" i="3"/>
  <c r="I68" i="3"/>
  <c r="H68" i="3"/>
  <c r="G68" i="3"/>
  <c r="F68" i="3"/>
  <c r="E68" i="3"/>
  <c r="D68" i="3"/>
  <c r="C68" i="3"/>
  <c r="L68" i="3" s="1"/>
  <c r="M68" i="3" s="1"/>
  <c r="B68" i="3"/>
  <c r="A68" i="3"/>
  <c r="AB67" i="3"/>
  <c r="AA67" i="3"/>
  <c r="Z67" i="3"/>
  <c r="Y67" i="3"/>
  <c r="X67" i="3"/>
  <c r="W67" i="3"/>
  <c r="V67" i="3"/>
  <c r="T67" i="3"/>
  <c r="S67" i="3"/>
  <c r="R67" i="3"/>
  <c r="Q67" i="3"/>
  <c r="P67" i="3"/>
  <c r="O67" i="3"/>
  <c r="N67" i="3"/>
  <c r="K67" i="3"/>
  <c r="J67" i="3"/>
  <c r="I67" i="3"/>
  <c r="H67" i="3"/>
  <c r="G67" i="3"/>
  <c r="F67" i="3"/>
  <c r="E67" i="3"/>
  <c r="D67" i="3"/>
  <c r="C67" i="3"/>
  <c r="L67" i="3" s="1"/>
  <c r="M67" i="3" s="1"/>
  <c r="B67" i="3"/>
  <c r="A67" i="3"/>
  <c r="AB66" i="3"/>
  <c r="AA66" i="3"/>
  <c r="Z66" i="3"/>
  <c r="Y66" i="3"/>
  <c r="X66" i="3"/>
  <c r="W66" i="3"/>
  <c r="V66" i="3"/>
  <c r="T66" i="3"/>
  <c r="S66" i="3"/>
  <c r="R66" i="3"/>
  <c r="Q66" i="3"/>
  <c r="P66" i="3"/>
  <c r="O66" i="3"/>
  <c r="N66" i="3"/>
  <c r="K66" i="3"/>
  <c r="J66" i="3"/>
  <c r="I66" i="3"/>
  <c r="H66" i="3"/>
  <c r="G66" i="3"/>
  <c r="F66" i="3"/>
  <c r="E66" i="3"/>
  <c r="D66" i="3"/>
  <c r="C66" i="3"/>
  <c r="L66" i="3" s="1"/>
  <c r="M66" i="3" s="1"/>
  <c r="B66" i="3"/>
  <c r="A66" i="3"/>
  <c r="AB65" i="3"/>
  <c r="AA65" i="3"/>
  <c r="Z65" i="3"/>
  <c r="Y65" i="3"/>
  <c r="X65" i="3"/>
  <c r="W65" i="3"/>
  <c r="V65" i="3"/>
  <c r="T65" i="3"/>
  <c r="S65" i="3"/>
  <c r="R65" i="3"/>
  <c r="Q65" i="3"/>
  <c r="P65" i="3"/>
  <c r="O65" i="3"/>
  <c r="N65" i="3"/>
  <c r="K65" i="3"/>
  <c r="J65" i="3"/>
  <c r="I65" i="3"/>
  <c r="H65" i="3"/>
  <c r="G65" i="3"/>
  <c r="F65" i="3"/>
  <c r="E65" i="3"/>
  <c r="D65" i="3"/>
  <c r="C65" i="3"/>
  <c r="L65" i="3" s="1"/>
  <c r="M65" i="3" s="1"/>
  <c r="B65" i="3"/>
  <c r="A65" i="3"/>
  <c r="AB64" i="3"/>
  <c r="AA64" i="3"/>
  <c r="Z64" i="3"/>
  <c r="Y64" i="3"/>
  <c r="X64" i="3"/>
  <c r="W64" i="3"/>
  <c r="V64" i="3"/>
  <c r="T64" i="3"/>
  <c r="S64" i="3"/>
  <c r="R64" i="3"/>
  <c r="Q64" i="3"/>
  <c r="P64" i="3"/>
  <c r="O64" i="3"/>
  <c r="N64" i="3"/>
  <c r="K64" i="3"/>
  <c r="J64" i="3"/>
  <c r="I64" i="3"/>
  <c r="H64" i="3"/>
  <c r="G64" i="3"/>
  <c r="F64" i="3"/>
  <c r="E64" i="3"/>
  <c r="D64" i="3"/>
  <c r="C64" i="3"/>
  <c r="L64" i="3" s="1"/>
  <c r="M64" i="3" s="1"/>
  <c r="B64" i="3"/>
  <c r="A64" i="3"/>
  <c r="AB63" i="3"/>
  <c r="AA63" i="3"/>
  <c r="Z63" i="3"/>
  <c r="Y63" i="3"/>
  <c r="X63" i="3"/>
  <c r="W63" i="3"/>
  <c r="V63" i="3"/>
  <c r="T63" i="3"/>
  <c r="S63" i="3"/>
  <c r="R63" i="3"/>
  <c r="Q63" i="3"/>
  <c r="P63" i="3"/>
  <c r="O63" i="3"/>
  <c r="N63" i="3"/>
  <c r="K63" i="3"/>
  <c r="J63" i="3"/>
  <c r="I63" i="3"/>
  <c r="H63" i="3"/>
  <c r="G63" i="3"/>
  <c r="F63" i="3"/>
  <c r="E63" i="3"/>
  <c r="D63" i="3"/>
  <c r="C63" i="3"/>
  <c r="L63" i="3" s="1"/>
  <c r="M63" i="3" s="1"/>
  <c r="B63" i="3"/>
  <c r="A63" i="3"/>
  <c r="AB62" i="3"/>
  <c r="AA62" i="3"/>
  <c r="Z62" i="3"/>
  <c r="Y62" i="3"/>
  <c r="X62" i="3"/>
  <c r="W62" i="3"/>
  <c r="V62" i="3"/>
  <c r="T62" i="3"/>
  <c r="S62" i="3"/>
  <c r="R62" i="3"/>
  <c r="Q62" i="3"/>
  <c r="P62" i="3"/>
  <c r="O62" i="3"/>
  <c r="N62" i="3"/>
  <c r="K62" i="3"/>
  <c r="J62" i="3"/>
  <c r="I62" i="3"/>
  <c r="H62" i="3"/>
  <c r="G62" i="3"/>
  <c r="F62" i="3"/>
  <c r="E62" i="3"/>
  <c r="D62" i="3"/>
  <c r="C62" i="3"/>
  <c r="L62" i="3" s="1"/>
  <c r="M62" i="3" s="1"/>
  <c r="B62" i="3"/>
  <c r="A62" i="3"/>
  <c r="AB61" i="3"/>
  <c r="AA61" i="3"/>
  <c r="Z61" i="3"/>
  <c r="Y61" i="3"/>
  <c r="X61" i="3"/>
  <c r="W61" i="3"/>
  <c r="V61" i="3"/>
  <c r="T61" i="3"/>
  <c r="S61" i="3"/>
  <c r="R61" i="3"/>
  <c r="Q61" i="3"/>
  <c r="P61" i="3"/>
  <c r="O61" i="3"/>
  <c r="N61" i="3"/>
  <c r="K61" i="3"/>
  <c r="J61" i="3"/>
  <c r="I61" i="3"/>
  <c r="H61" i="3"/>
  <c r="G61" i="3"/>
  <c r="F61" i="3"/>
  <c r="E61" i="3"/>
  <c r="D61" i="3"/>
  <c r="C61" i="3"/>
  <c r="L61" i="3" s="1"/>
  <c r="M61" i="3" s="1"/>
  <c r="B61" i="3"/>
  <c r="A61" i="3"/>
  <c r="AB60" i="3"/>
  <c r="AA60" i="3"/>
  <c r="Z60" i="3"/>
  <c r="Y60" i="3"/>
  <c r="X60" i="3"/>
  <c r="W60" i="3"/>
  <c r="V60" i="3"/>
  <c r="T60" i="3"/>
  <c r="S60" i="3"/>
  <c r="R60" i="3"/>
  <c r="Q60" i="3"/>
  <c r="P60" i="3"/>
  <c r="O60" i="3"/>
  <c r="N60" i="3"/>
  <c r="K60" i="3"/>
  <c r="J60" i="3"/>
  <c r="I60" i="3"/>
  <c r="H60" i="3"/>
  <c r="G60" i="3"/>
  <c r="F60" i="3"/>
  <c r="E60" i="3"/>
  <c r="D60" i="3"/>
  <c r="C60" i="3"/>
  <c r="L60" i="3" s="1"/>
  <c r="M60" i="3" s="1"/>
  <c r="B60" i="3"/>
  <c r="A60" i="3"/>
  <c r="AB59" i="3"/>
  <c r="AA59" i="3"/>
  <c r="Z59" i="3"/>
  <c r="Y59" i="3"/>
  <c r="X59" i="3"/>
  <c r="W59" i="3"/>
  <c r="V59" i="3"/>
  <c r="T59" i="3"/>
  <c r="S59" i="3"/>
  <c r="R59" i="3"/>
  <c r="Q59" i="3"/>
  <c r="P59" i="3"/>
  <c r="O59" i="3"/>
  <c r="N59" i="3"/>
  <c r="K59" i="3"/>
  <c r="J59" i="3"/>
  <c r="I59" i="3"/>
  <c r="H59" i="3"/>
  <c r="G59" i="3"/>
  <c r="F59" i="3"/>
  <c r="E59" i="3"/>
  <c r="D59" i="3"/>
  <c r="C59" i="3"/>
  <c r="L59" i="3" s="1"/>
  <c r="M59" i="3" s="1"/>
  <c r="B59" i="3"/>
  <c r="A59" i="3"/>
  <c r="AB58" i="3"/>
  <c r="AA58" i="3"/>
  <c r="Z58" i="3"/>
  <c r="Y58" i="3"/>
  <c r="X58" i="3"/>
  <c r="W58" i="3"/>
  <c r="V58" i="3"/>
  <c r="T58" i="3"/>
  <c r="S58" i="3"/>
  <c r="R58" i="3"/>
  <c r="Q58" i="3"/>
  <c r="P58" i="3"/>
  <c r="O58" i="3"/>
  <c r="N58" i="3"/>
  <c r="K58" i="3"/>
  <c r="J58" i="3"/>
  <c r="I58" i="3"/>
  <c r="H58" i="3"/>
  <c r="G58" i="3"/>
  <c r="F58" i="3"/>
  <c r="E58" i="3"/>
  <c r="D58" i="3"/>
  <c r="C58" i="3"/>
  <c r="L58" i="3" s="1"/>
  <c r="M58" i="3" s="1"/>
  <c r="B58" i="3"/>
  <c r="A58" i="3"/>
  <c r="AB57" i="3"/>
  <c r="AA57" i="3"/>
  <c r="Z57" i="3"/>
  <c r="Y57" i="3"/>
  <c r="X57" i="3"/>
  <c r="W57" i="3"/>
  <c r="V57" i="3"/>
  <c r="T57" i="3"/>
  <c r="S57" i="3"/>
  <c r="R57" i="3"/>
  <c r="Q57" i="3"/>
  <c r="P57" i="3"/>
  <c r="O57" i="3"/>
  <c r="N57" i="3"/>
  <c r="K57" i="3"/>
  <c r="J57" i="3"/>
  <c r="I57" i="3"/>
  <c r="H57" i="3"/>
  <c r="G57" i="3"/>
  <c r="F57" i="3"/>
  <c r="E57" i="3"/>
  <c r="D57" i="3"/>
  <c r="C57" i="3"/>
  <c r="L57" i="3" s="1"/>
  <c r="M57" i="3" s="1"/>
  <c r="B57" i="3"/>
  <c r="A57" i="3"/>
  <c r="AB56" i="3"/>
  <c r="AA56" i="3"/>
  <c r="Z56" i="3"/>
  <c r="Y56" i="3"/>
  <c r="X56" i="3"/>
  <c r="W56" i="3"/>
  <c r="V56" i="3"/>
  <c r="T56" i="3"/>
  <c r="S56" i="3"/>
  <c r="R56" i="3"/>
  <c r="Q56" i="3"/>
  <c r="P56" i="3"/>
  <c r="O56" i="3"/>
  <c r="N56" i="3"/>
  <c r="K56" i="3"/>
  <c r="J56" i="3"/>
  <c r="I56" i="3"/>
  <c r="H56" i="3"/>
  <c r="G56" i="3"/>
  <c r="F56" i="3"/>
  <c r="E56" i="3"/>
  <c r="D56" i="3"/>
  <c r="C56" i="3"/>
  <c r="L56" i="3" s="1"/>
  <c r="M56" i="3" s="1"/>
  <c r="B56" i="3"/>
  <c r="A56" i="3"/>
  <c r="AB55" i="3"/>
  <c r="AA55" i="3"/>
  <c r="Z55" i="3"/>
  <c r="Y55" i="3"/>
  <c r="X55" i="3"/>
  <c r="W55" i="3"/>
  <c r="V55" i="3"/>
  <c r="T55" i="3"/>
  <c r="S55" i="3"/>
  <c r="R55" i="3"/>
  <c r="Q55" i="3"/>
  <c r="P55" i="3"/>
  <c r="O55" i="3"/>
  <c r="N55" i="3"/>
  <c r="K55" i="3"/>
  <c r="J55" i="3"/>
  <c r="I55" i="3"/>
  <c r="H55" i="3"/>
  <c r="G55" i="3"/>
  <c r="F55" i="3"/>
  <c r="E55" i="3"/>
  <c r="D55" i="3"/>
  <c r="C55" i="3"/>
  <c r="L55" i="3" s="1"/>
  <c r="M55" i="3" s="1"/>
  <c r="B55" i="3"/>
  <c r="A55" i="3"/>
  <c r="AB54" i="3"/>
  <c r="AC54" i="3" s="1"/>
  <c r="AA54" i="3"/>
  <c r="Z54" i="3"/>
  <c r="Y54" i="3"/>
  <c r="X54" i="3"/>
  <c r="W54" i="3"/>
  <c r="V54" i="3"/>
  <c r="T54" i="3"/>
  <c r="S54" i="3"/>
  <c r="R54" i="3"/>
  <c r="Q54" i="3"/>
  <c r="P54" i="3"/>
  <c r="O54" i="3"/>
  <c r="N54" i="3"/>
  <c r="K54" i="3"/>
  <c r="J54" i="3"/>
  <c r="I54" i="3"/>
  <c r="H54" i="3"/>
  <c r="G54" i="3"/>
  <c r="F54" i="3"/>
  <c r="E54" i="3"/>
  <c r="D54" i="3"/>
  <c r="C54" i="3"/>
  <c r="L54" i="3" s="1"/>
  <c r="M54" i="3" s="1"/>
  <c r="B54" i="3"/>
  <c r="A54" i="3"/>
  <c r="AB53" i="3"/>
  <c r="AA53" i="3"/>
  <c r="Z53" i="3"/>
  <c r="Y53" i="3"/>
  <c r="X53" i="3"/>
  <c r="W53" i="3"/>
  <c r="V53" i="3"/>
  <c r="T53" i="3"/>
  <c r="S53" i="3"/>
  <c r="R53" i="3"/>
  <c r="Q53" i="3"/>
  <c r="P53" i="3"/>
  <c r="O53" i="3"/>
  <c r="N53" i="3"/>
  <c r="K53" i="3"/>
  <c r="J53" i="3"/>
  <c r="I53" i="3"/>
  <c r="H53" i="3"/>
  <c r="G53" i="3"/>
  <c r="F53" i="3"/>
  <c r="E53" i="3"/>
  <c r="D53" i="3"/>
  <c r="C53" i="3"/>
  <c r="L53" i="3" s="1"/>
  <c r="M53" i="3" s="1"/>
  <c r="B53" i="3"/>
  <c r="A53" i="3"/>
  <c r="AB52" i="3"/>
  <c r="AA52" i="3"/>
  <c r="Z52" i="3"/>
  <c r="Y52" i="3"/>
  <c r="X52" i="3"/>
  <c r="W52" i="3"/>
  <c r="V52" i="3"/>
  <c r="T52" i="3"/>
  <c r="S52" i="3"/>
  <c r="R52" i="3"/>
  <c r="Q52" i="3"/>
  <c r="P52" i="3"/>
  <c r="O52" i="3"/>
  <c r="N52" i="3"/>
  <c r="K52" i="3"/>
  <c r="J52" i="3"/>
  <c r="I52" i="3"/>
  <c r="H52" i="3"/>
  <c r="G52" i="3"/>
  <c r="F52" i="3"/>
  <c r="E52" i="3"/>
  <c r="D52" i="3"/>
  <c r="C52" i="3"/>
  <c r="L52" i="3" s="1"/>
  <c r="M52" i="3" s="1"/>
  <c r="B52" i="3"/>
  <c r="A52" i="3"/>
  <c r="AB51" i="3"/>
  <c r="AA51" i="3"/>
  <c r="Z51" i="3"/>
  <c r="Y51" i="3"/>
  <c r="X51" i="3"/>
  <c r="W51" i="3"/>
  <c r="V51" i="3"/>
  <c r="T51" i="3"/>
  <c r="S51" i="3"/>
  <c r="R51" i="3"/>
  <c r="Q51" i="3"/>
  <c r="P51" i="3"/>
  <c r="O51" i="3"/>
  <c r="N51" i="3"/>
  <c r="K51" i="3"/>
  <c r="J51" i="3"/>
  <c r="I51" i="3"/>
  <c r="H51" i="3"/>
  <c r="G51" i="3"/>
  <c r="F51" i="3"/>
  <c r="E51" i="3"/>
  <c r="D51" i="3"/>
  <c r="C51" i="3"/>
  <c r="L51" i="3" s="1"/>
  <c r="M51" i="3" s="1"/>
  <c r="B51" i="3"/>
  <c r="A51" i="3"/>
  <c r="AB50" i="3"/>
  <c r="AA50" i="3"/>
  <c r="Z50" i="3"/>
  <c r="Y50" i="3"/>
  <c r="X50" i="3"/>
  <c r="W50" i="3"/>
  <c r="V50" i="3"/>
  <c r="T50" i="3"/>
  <c r="S50" i="3"/>
  <c r="R50" i="3"/>
  <c r="Q50" i="3"/>
  <c r="P50" i="3"/>
  <c r="O50" i="3"/>
  <c r="N50" i="3"/>
  <c r="K50" i="3"/>
  <c r="J50" i="3"/>
  <c r="I50" i="3"/>
  <c r="H50" i="3"/>
  <c r="G50" i="3"/>
  <c r="F50" i="3"/>
  <c r="E50" i="3"/>
  <c r="D50" i="3"/>
  <c r="C50" i="3"/>
  <c r="L50" i="3" s="1"/>
  <c r="M50" i="3" s="1"/>
  <c r="B50" i="3"/>
  <c r="A50" i="3"/>
  <c r="AB49" i="3"/>
  <c r="AA49" i="3"/>
  <c r="Z49" i="3"/>
  <c r="Y49" i="3"/>
  <c r="X49" i="3"/>
  <c r="W49" i="3"/>
  <c r="V49" i="3"/>
  <c r="T49" i="3"/>
  <c r="S49" i="3"/>
  <c r="R49" i="3"/>
  <c r="Q49" i="3"/>
  <c r="P49" i="3"/>
  <c r="O49" i="3"/>
  <c r="N49" i="3"/>
  <c r="K49" i="3"/>
  <c r="J49" i="3"/>
  <c r="I49" i="3"/>
  <c r="H49" i="3"/>
  <c r="G49" i="3"/>
  <c r="F49" i="3"/>
  <c r="E49" i="3"/>
  <c r="D49" i="3"/>
  <c r="C49" i="3"/>
  <c r="L49" i="3" s="1"/>
  <c r="M49" i="3" s="1"/>
  <c r="B49" i="3"/>
  <c r="A49" i="3"/>
  <c r="AB48" i="3"/>
  <c r="AA48" i="3"/>
  <c r="Z48" i="3"/>
  <c r="Y48" i="3"/>
  <c r="X48" i="3"/>
  <c r="W48" i="3"/>
  <c r="V48" i="3"/>
  <c r="T48" i="3"/>
  <c r="S48" i="3"/>
  <c r="R48" i="3"/>
  <c r="Q48" i="3"/>
  <c r="P48" i="3"/>
  <c r="O48" i="3"/>
  <c r="N48" i="3"/>
  <c r="K48" i="3"/>
  <c r="J48" i="3"/>
  <c r="I48" i="3"/>
  <c r="H48" i="3"/>
  <c r="G48" i="3"/>
  <c r="F48" i="3"/>
  <c r="E48" i="3"/>
  <c r="D48" i="3"/>
  <c r="C48" i="3"/>
  <c r="L48" i="3" s="1"/>
  <c r="M48" i="3" s="1"/>
  <c r="B48" i="3"/>
  <c r="A48" i="3"/>
  <c r="AB47" i="3"/>
  <c r="AA47" i="3"/>
  <c r="Z47" i="3"/>
  <c r="Y47" i="3"/>
  <c r="X47" i="3"/>
  <c r="W47" i="3"/>
  <c r="V47" i="3"/>
  <c r="T47" i="3"/>
  <c r="S47" i="3"/>
  <c r="R47" i="3"/>
  <c r="Q47" i="3"/>
  <c r="P47" i="3"/>
  <c r="O47" i="3"/>
  <c r="N47" i="3"/>
  <c r="K47" i="3"/>
  <c r="J47" i="3"/>
  <c r="I47" i="3"/>
  <c r="H47" i="3"/>
  <c r="G47" i="3"/>
  <c r="F47" i="3"/>
  <c r="E47" i="3"/>
  <c r="D47" i="3"/>
  <c r="C47" i="3"/>
  <c r="L47" i="3" s="1"/>
  <c r="M47" i="3" s="1"/>
  <c r="B47" i="3"/>
  <c r="A47" i="3"/>
  <c r="AB46" i="3"/>
  <c r="AA46" i="3"/>
  <c r="Z46" i="3"/>
  <c r="Y46" i="3"/>
  <c r="X46" i="3"/>
  <c r="W46" i="3"/>
  <c r="V46" i="3"/>
  <c r="T46" i="3"/>
  <c r="S46" i="3"/>
  <c r="R46" i="3"/>
  <c r="Q46" i="3"/>
  <c r="P46" i="3"/>
  <c r="O46" i="3"/>
  <c r="N46" i="3"/>
  <c r="K46" i="3"/>
  <c r="J46" i="3"/>
  <c r="I46" i="3"/>
  <c r="H46" i="3"/>
  <c r="G46" i="3"/>
  <c r="F46" i="3"/>
  <c r="E46" i="3"/>
  <c r="D46" i="3"/>
  <c r="C46" i="3"/>
  <c r="L46" i="3" s="1"/>
  <c r="M46" i="3" s="1"/>
  <c r="B46" i="3"/>
  <c r="A46" i="3"/>
  <c r="AB45" i="3"/>
  <c r="AC45" i="3" s="1"/>
  <c r="AA45" i="3"/>
  <c r="Z45" i="3"/>
  <c r="Y45" i="3"/>
  <c r="X45" i="3"/>
  <c r="W45" i="3"/>
  <c r="V45" i="3"/>
  <c r="T45" i="3"/>
  <c r="S45" i="3"/>
  <c r="R45" i="3"/>
  <c r="Q45" i="3"/>
  <c r="P45" i="3"/>
  <c r="O45" i="3"/>
  <c r="N45" i="3"/>
  <c r="K45" i="3"/>
  <c r="J45" i="3"/>
  <c r="I45" i="3"/>
  <c r="H45" i="3"/>
  <c r="G45" i="3"/>
  <c r="F45" i="3"/>
  <c r="E45" i="3"/>
  <c r="D45" i="3"/>
  <c r="C45" i="3"/>
  <c r="L45" i="3" s="1"/>
  <c r="M45" i="3" s="1"/>
  <c r="B45" i="3"/>
  <c r="A45" i="3"/>
  <c r="AB44" i="3"/>
  <c r="AA44" i="3"/>
  <c r="Z44" i="3"/>
  <c r="Y44" i="3"/>
  <c r="X44" i="3"/>
  <c r="W44" i="3"/>
  <c r="V44" i="3"/>
  <c r="T44" i="3"/>
  <c r="S44" i="3"/>
  <c r="R44" i="3"/>
  <c r="Q44" i="3"/>
  <c r="P44" i="3"/>
  <c r="O44" i="3"/>
  <c r="N44" i="3"/>
  <c r="K44" i="3"/>
  <c r="J44" i="3"/>
  <c r="I44" i="3"/>
  <c r="H44" i="3"/>
  <c r="G44" i="3"/>
  <c r="F44" i="3"/>
  <c r="E44" i="3"/>
  <c r="D44" i="3"/>
  <c r="C44" i="3"/>
  <c r="L44" i="3" s="1"/>
  <c r="M44" i="3" s="1"/>
  <c r="B44" i="3"/>
  <c r="A44" i="3"/>
  <c r="AB43" i="3"/>
  <c r="AA43" i="3"/>
  <c r="Z43" i="3"/>
  <c r="Y43" i="3"/>
  <c r="X43" i="3"/>
  <c r="W43" i="3"/>
  <c r="V43" i="3"/>
  <c r="T43" i="3"/>
  <c r="S43" i="3"/>
  <c r="R43" i="3"/>
  <c r="Q43" i="3"/>
  <c r="P43" i="3"/>
  <c r="O43" i="3"/>
  <c r="N43" i="3"/>
  <c r="K43" i="3"/>
  <c r="J43" i="3"/>
  <c r="I43" i="3"/>
  <c r="H43" i="3"/>
  <c r="G43" i="3"/>
  <c r="F43" i="3"/>
  <c r="E43" i="3"/>
  <c r="D43" i="3"/>
  <c r="C43" i="3"/>
  <c r="L43" i="3" s="1"/>
  <c r="M43" i="3" s="1"/>
  <c r="B43" i="3"/>
  <c r="A43" i="3"/>
  <c r="AB42" i="3"/>
  <c r="AA42" i="3"/>
  <c r="Z42" i="3"/>
  <c r="Y42" i="3"/>
  <c r="X42" i="3"/>
  <c r="W42" i="3"/>
  <c r="V42" i="3"/>
  <c r="T42" i="3"/>
  <c r="S42" i="3"/>
  <c r="R42" i="3"/>
  <c r="Q42" i="3"/>
  <c r="P42" i="3"/>
  <c r="O42" i="3"/>
  <c r="N42" i="3"/>
  <c r="K42" i="3"/>
  <c r="J42" i="3"/>
  <c r="I42" i="3"/>
  <c r="H42" i="3"/>
  <c r="G42" i="3"/>
  <c r="F42" i="3"/>
  <c r="E42" i="3"/>
  <c r="D42" i="3"/>
  <c r="C42" i="3"/>
  <c r="L42" i="3" s="1"/>
  <c r="M42" i="3" s="1"/>
  <c r="B42" i="3"/>
  <c r="A42" i="3"/>
  <c r="AB41" i="3"/>
  <c r="AA41" i="3"/>
  <c r="Z41" i="3"/>
  <c r="Y41" i="3"/>
  <c r="X41" i="3"/>
  <c r="W41" i="3"/>
  <c r="V41" i="3"/>
  <c r="T41" i="3"/>
  <c r="S41" i="3"/>
  <c r="R41" i="3"/>
  <c r="Q41" i="3"/>
  <c r="P41" i="3"/>
  <c r="O41" i="3"/>
  <c r="N41" i="3"/>
  <c r="K41" i="3"/>
  <c r="J41" i="3"/>
  <c r="I41" i="3"/>
  <c r="H41" i="3"/>
  <c r="G41" i="3"/>
  <c r="F41" i="3"/>
  <c r="E41" i="3"/>
  <c r="D41" i="3"/>
  <c r="C41" i="3"/>
  <c r="L41" i="3" s="1"/>
  <c r="M41" i="3" s="1"/>
  <c r="B41" i="3"/>
  <c r="A41" i="3"/>
  <c r="AB40" i="3"/>
  <c r="AA40" i="3"/>
  <c r="Z40" i="3"/>
  <c r="Y40" i="3"/>
  <c r="X40" i="3"/>
  <c r="W40" i="3"/>
  <c r="V40" i="3"/>
  <c r="T40" i="3"/>
  <c r="S40" i="3"/>
  <c r="R40" i="3"/>
  <c r="Q40" i="3"/>
  <c r="P40" i="3"/>
  <c r="O40" i="3"/>
  <c r="N40" i="3"/>
  <c r="K40" i="3"/>
  <c r="J40" i="3"/>
  <c r="I40" i="3"/>
  <c r="H40" i="3"/>
  <c r="G40" i="3"/>
  <c r="F40" i="3"/>
  <c r="E40" i="3"/>
  <c r="D40" i="3"/>
  <c r="C40" i="3"/>
  <c r="L40" i="3" s="1"/>
  <c r="M40" i="3" s="1"/>
  <c r="B40" i="3"/>
  <c r="A40" i="3"/>
  <c r="AB39" i="3"/>
  <c r="AC39" i="3" s="1"/>
  <c r="AA39" i="3"/>
  <c r="Z39" i="3"/>
  <c r="Y39" i="3"/>
  <c r="X39" i="3"/>
  <c r="W39" i="3"/>
  <c r="V39" i="3"/>
  <c r="T39" i="3"/>
  <c r="S39" i="3"/>
  <c r="R39" i="3"/>
  <c r="Q39" i="3"/>
  <c r="P39" i="3"/>
  <c r="O39" i="3"/>
  <c r="N39" i="3"/>
  <c r="K39" i="3"/>
  <c r="J39" i="3"/>
  <c r="I39" i="3"/>
  <c r="H39" i="3"/>
  <c r="G39" i="3"/>
  <c r="F39" i="3"/>
  <c r="E39" i="3"/>
  <c r="D39" i="3"/>
  <c r="C39" i="3"/>
  <c r="L39" i="3" s="1"/>
  <c r="M39" i="3" s="1"/>
  <c r="B39" i="3"/>
  <c r="A39" i="3"/>
  <c r="AB38" i="3"/>
  <c r="AA38" i="3"/>
  <c r="Z38" i="3"/>
  <c r="Y38" i="3"/>
  <c r="X38" i="3"/>
  <c r="W38" i="3"/>
  <c r="V38" i="3"/>
  <c r="T38" i="3"/>
  <c r="S38" i="3"/>
  <c r="R38" i="3"/>
  <c r="Q38" i="3"/>
  <c r="P38" i="3"/>
  <c r="O38" i="3"/>
  <c r="N38" i="3"/>
  <c r="K38" i="3"/>
  <c r="J38" i="3"/>
  <c r="I38" i="3"/>
  <c r="H38" i="3"/>
  <c r="G38" i="3"/>
  <c r="F38" i="3"/>
  <c r="E38" i="3"/>
  <c r="D38" i="3"/>
  <c r="C38" i="3"/>
  <c r="L38" i="3" s="1"/>
  <c r="M38" i="3" s="1"/>
  <c r="B38" i="3"/>
  <c r="A38" i="3"/>
  <c r="AB37" i="3"/>
  <c r="AA37" i="3"/>
  <c r="Z37" i="3"/>
  <c r="Y37" i="3"/>
  <c r="X37" i="3"/>
  <c r="W37" i="3"/>
  <c r="V37" i="3"/>
  <c r="T37" i="3"/>
  <c r="S37" i="3"/>
  <c r="R37" i="3"/>
  <c r="Q37" i="3"/>
  <c r="P37" i="3"/>
  <c r="O37" i="3"/>
  <c r="N37" i="3"/>
  <c r="K37" i="3"/>
  <c r="J37" i="3"/>
  <c r="I37" i="3"/>
  <c r="H37" i="3"/>
  <c r="G37" i="3"/>
  <c r="F37" i="3"/>
  <c r="E37" i="3"/>
  <c r="D37" i="3"/>
  <c r="C37" i="3"/>
  <c r="L37" i="3" s="1"/>
  <c r="M37" i="3" s="1"/>
  <c r="B37" i="3"/>
  <c r="A37" i="3"/>
  <c r="AB36" i="3"/>
  <c r="AA36" i="3"/>
  <c r="Z36" i="3"/>
  <c r="Y36" i="3"/>
  <c r="X36" i="3"/>
  <c r="W36" i="3"/>
  <c r="V36" i="3"/>
  <c r="T36" i="3"/>
  <c r="S36" i="3"/>
  <c r="R36" i="3"/>
  <c r="Q36" i="3"/>
  <c r="P36" i="3"/>
  <c r="O36" i="3"/>
  <c r="N36" i="3"/>
  <c r="K36" i="3"/>
  <c r="J36" i="3"/>
  <c r="I36" i="3"/>
  <c r="H36" i="3"/>
  <c r="G36" i="3"/>
  <c r="F36" i="3"/>
  <c r="E36" i="3"/>
  <c r="D36" i="3"/>
  <c r="C36" i="3"/>
  <c r="L36" i="3" s="1"/>
  <c r="M36" i="3" s="1"/>
  <c r="B36" i="3"/>
  <c r="A36" i="3"/>
  <c r="AB35" i="3"/>
  <c r="AA35" i="3"/>
  <c r="Z35" i="3"/>
  <c r="Y35" i="3"/>
  <c r="X35" i="3"/>
  <c r="W35" i="3"/>
  <c r="V35" i="3"/>
  <c r="T35" i="3"/>
  <c r="S35" i="3"/>
  <c r="R35" i="3"/>
  <c r="Q35" i="3"/>
  <c r="P35" i="3"/>
  <c r="O35" i="3"/>
  <c r="N35" i="3"/>
  <c r="K35" i="3"/>
  <c r="J35" i="3"/>
  <c r="I35" i="3"/>
  <c r="H35" i="3"/>
  <c r="G35" i="3"/>
  <c r="F35" i="3"/>
  <c r="E35" i="3"/>
  <c r="D35" i="3"/>
  <c r="C35" i="3"/>
  <c r="L35" i="3" s="1"/>
  <c r="M35" i="3" s="1"/>
  <c r="B35" i="3"/>
  <c r="A35" i="3"/>
  <c r="AB34" i="3"/>
  <c r="AA34" i="3"/>
  <c r="Z34" i="3"/>
  <c r="Y34" i="3"/>
  <c r="X34" i="3"/>
  <c r="W34" i="3"/>
  <c r="V34" i="3"/>
  <c r="T34" i="3"/>
  <c r="S34" i="3"/>
  <c r="R34" i="3"/>
  <c r="Q34" i="3"/>
  <c r="P34" i="3"/>
  <c r="O34" i="3"/>
  <c r="N34" i="3"/>
  <c r="K34" i="3"/>
  <c r="J34" i="3"/>
  <c r="I34" i="3"/>
  <c r="H34" i="3"/>
  <c r="G34" i="3"/>
  <c r="F34" i="3"/>
  <c r="E34" i="3"/>
  <c r="D34" i="3"/>
  <c r="C34" i="3"/>
  <c r="L34" i="3" s="1"/>
  <c r="M34" i="3" s="1"/>
  <c r="B34" i="3"/>
  <c r="A34" i="3"/>
  <c r="AB33" i="3"/>
  <c r="AA33" i="3"/>
  <c r="Z33" i="3"/>
  <c r="Y33" i="3"/>
  <c r="X33" i="3"/>
  <c r="W33" i="3"/>
  <c r="V33" i="3"/>
  <c r="T33" i="3"/>
  <c r="S33" i="3"/>
  <c r="R33" i="3"/>
  <c r="Q33" i="3"/>
  <c r="P33" i="3"/>
  <c r="O33" i="3"/>
  <c r="N33" i="3"/>
  <c r="K33" i="3"/>
  <c r="J33" i="3"/>
  <c r="I33" i="3"/>
  <c r="H33" i="3"/>
  <c r="G33" i="3"/>
  <c r="F33" i="3"/>
  <c r="E33" i="3"/>
  <c r="D33" i="3"/>
  <c r="C33" i="3"/>
  <c r="L33" i="3" s="1"/>
  <c r="M33" i="3" s="1"/>
  <c r="B33" i="3"/>
  <c r="A33" i="3"/>
  <c r="AB32" i="3"/>
  <c r="AA32" i="3"/>
  <c r="Z32" i="3"/>
  <c r="Y32" i="3"/>
  <c r="X32" i="3"/>
  <c r="W32" i="3"/>
  <c r="V32" i="3"/>
  <c r="T32" i="3"/>
  <c r="S32" i="3"/>
  <c r="R32" i="3"/>
  <c r="Q32" i="3"/>
  <c r="P32" i="3"/>
  <c r="O32" i="3"/>
  <c r="N32" i="3"/>
  <c r="K32" i="3"/>
  <c r="J32" i="3"/>
  <c r="I32" i="3"/>
  <c r="H32" i="3"/>
  <c r="G32" i="3"/>
  <c r="F32" i="3"/>
  <c r="E32" i="3"/>
  <c r="D32" i="3"/>
  <c r="C32" i="3"/>
  <c r="L32" i="3" s="1"/>
  <c r="M32" i="3" s="1"/>
  <c r="B32" i="3"/>
  <c r="A32" i="3"/>
  <c r="AB31" i="3"/>
  <c r="AA31" i="3"/>
  <c r="Z31" i="3"/>
  <c r="Y31" i="3"/>
  <c r="X31" i="3"/>
  <c r="W31" i="3"/>
  <c r="V31" i="3"/>
  <c r="T31" i="3"/>
  <c r="S31" i="3"/>
  <c r="R31" i="3"/>
  <c r="Q31" i="3"/>
  <c r="P31" i="3"/>
  <c r="O31" i="3"/>
  <c r="N31" i="3"/>
  <c r="K31" i="3"/>
  <c r="J31" i="3"/>
  <c r="I31" i="3"/>
  <c r="H31" i="3"/>
  <c r="G31" i="3"/>
  <c r="F31" i="3"/>
  <c r="E31" i="3"/>
  <c r="D31" i="3"/>
  <c r="C31" i="3"/>
  <c r="L31" i="3" s="1"/>
  <c r="M31" i="3" s="1"/>
  <c r="B31" i="3"/>
  <c r="A31" i="3"/>
  <c r="AB30" i="3"/>
  <c r="AA30" i="3"/>
  <c r="Z30" i="3"/>
  <c r="Y30" i="3"/>
  <c r="X30" i="3"/>
  <c r="W30" i="3"/>
  <c r="V30" i="3"/>
  <c r="T30" i="3"/>
  <c r="S30" i="3"/>
  <c r="R30" i="3"/>
  <c r="Q30" i="3"/>
  <c r="P30" i="3"/>
  <c r="O30" i="3"/>
  <c r="N30" i="3"/>
  <c r="K30" i="3"/>
  <c r="J30" i="3"/>
  <c r="I30" i="3"/>
  <c r="H30" i="3"/>
  <c r="G30" i="3"/>
  <c r="F30" i="3"/>
  <c r="E30" i="3"/>
  <c r="D30" i="3"/>
  <c r="C30" i="3"/>
  <c r="L30" i="3" s="1"/>
  <c r="M30" i="3" s="1"/>
  <c r="B30" i="3"/>
  <c r="A30" i="3"/>
  <c r="AB29" i="3"/>
  <c r="AA29" i="3"/>
  <c r="Z29" i="3"/>
  <c r="Y29" i="3"/>
  <c r="X29" i="3"/>
  <c r="W29" i="3"/>
  <c r="V29" i="3"/>
  <c r="T29" i="3"/>
  <c r="S29" i="3"/>
  <c r="R29" i="3"/>
  <c r="Q29" i="3"/>
  <c r="P29" i="3"/>
  <c r="O29" i="3"/>
  <c r="N29" i="3"/>
  <c r="K29" i="3"/>
  <c r="J29" i="3"/>
  <c r="I29" i="3"/>
  <c r="H29" i="3"/>
  <c r="G29" i="3"/>
  <c r="F29" i="3"/>
  <c r="E29" i="3"/>
  <c r="D29" i="3"/>
  <c r="C29" i="3"/>
  <c r="L29" i="3" s="1"/>
  <c r="M29" i="3" s="1"/>
  <c r="B29" i="3"/>
  <c r="A29" i="3"/>
  <c r="AB28" i="3"/>
  <c r="AA28" i="3"/>
  <c r="Z28" i="3"/>
  <c r="Y28" i="3"/>
  <c r="X28" i="3"/>
  <c r="W28" i="3"/>
  <c r="V28" i="3"/>
  <c r="T28" i="3"/>
  <c r="S28" i="3"/>
  <c r="R28" i="3"/>
  <c r="Q28" i="3"/>
  <c r="P28" i="3"/>
  <c r="O28" i="3"/>
  <c r="N28" i="3"/>
  <c r="K28" i="3"/>
  <c r="J28" i="3"/>
  <c r="I28" i="3"/>
  <c r="H28" i="3"/>
  <c r="G28" i="3"/>
  <c r="F28" i="3"/>
  <c r="E28" i="3"/>
  <c r="D28" i="3"/>
  <c r="C28" i="3"/>
  <c r="L28" i="3" s="1"/>
  <c r="M28" i="3" s="1"/>
  <c r="B28" i="3"/>
  <c r="A28" i="3"/>
  <c r="AB27" i="3"/>
  <c r="AA27" i="3"/>
  <c r="Z27" i="3"/>
  <c r="Y27" i="3"/>
  <c r="X27" i="3"/>
  <c r="W27" i="3"/>
  <c r="V27" i="3"/>
  <c r="T27" i="3"/>
  <c r="S27" i="3"/>
  <c r="R27" i="3"/>
  <c r="Q27" i="3"/>
  <c r="P27" i="3"/>
  <c r="O27" i="3"/>
  <c r="N27" i="3"/>
  <c r="K27" i="3"/>
  <c r="J27" i="3"/>
  <c r="I27" i="3"/>
  <c r="H27" i="3"/>
  <c r="G27" i="3"/>
  <c r="F27" i="3"/>
  <c r="E27" i="3"/>
  <c r="D27" i="3"/>
  <c r="C27" i="3"/>
  <c r="L27" i="3" s="1"/>
  <c r="M27" i="3" s="1"/>
  <c r="B27" i="3"/>
  <c r="A27" i="3"/>
  <c r="AB26" i="3"/>
  <c r="AA26" i="3"/>
  <c r="Z26" i="3"/>
  <c r="Y26" i="3"/>
  <c r="X26" i="3"/>
  <c r="W26" i="3"/>
  <c r="V26" i="3"/>
  <c r="T26" i="3"/>
  <c r="S26" i="3"/>
  <c r="R26" i="3"/>
  <c r="Q26" i="3"/>
  <c r="P26" i="3"/>
  <c r="O26" i="3"/>
  <c r="N26" i="3"/>
  <c r="K26" i="3"/>
  <c r="J26" i="3"/>
  <c r="I26" i="3"/>
  <c r="H26" i="3"/>
  <c r="G26" i="3"/>
  <c r="F26" i="3"/>
  <c r="E26" i="3"/>
  <c r="D26" i="3"/>
  <c r="C26" i="3"/>
  <c r="L26" i="3" s="1"/>
  <c r="M26" i="3" s="1"/>
  <c r="B26" i="3"/>
  <c r="A26" i="3"/>
  <c r="AB25" i="3"/>
  <c r="AA25" i="3"/>
  <c r="Z25" i="3"/>
  <c r="Y25" i="3"/>
  <c r="X25" i="3"/>
  <c r="W25" i="3"/>
  <c r="V25" i="3"/>
  <c r="T25" i="3"/>
  <c r="S25" i="3"/>
  <c r="R25" i="3"/>
  <c r="Q25" i="3"/>
  <c r="P25" i="3"/>
  <c r="O25" i="3"/>
  <c r="N25" i="3"/>
  <c r="K25" i="3"/>
  <c r="J25" i="3"/>
  <c r="I25" i="3"/>
  <c r="H25" i="3"/>
  <c r="G25" i="3"/>
  <c r="F25" i="3"/>
  <c r="E25" i="3"/>
  <c r="D25" i="3"/>
  <c r="C25" i="3"/>
  <c r="L25" i="3" s="1"/>
  <c r="M25" i="3" s="1"/>
  <c r="B25" i="3"/>
  <c r="A25" i="3"/>
  <c r="AB24" i="3"/>
  <c r="AA24" i="3"/>
  <c r="Z24" i="3"/>
  <c r="Y24" i="3"/>
  <c r="X24" i="3"/>
  <c r="W24" i="3"/>
  <c r="V24" i="3"/>
  <c r="T24" i="3"/>
  <c r="S24" i="3"/>
  <c r="R24" i="3"/>
  <c r="Q24" i="3"/>
  <c r="P24" i="3"/>
  <c r="O24" i="3"/>
  <c r="N24" i="3"/>
  <c r="K24" i="3"/>
  <c r="J24" i="3"/>
  <c r="I24" i="3"/>
  <c r="H24" i="3"/>
  <c r="G24" i="3"/>
  <c r="F24" i="3"/>
  <c r="E24" i="3"/>
  <c r="D24" i="3"/>
  <c r="C24" i="3"/>
  <c r="L24" i="3" s="1"/>
  <c r="M24" i="3" s="1"/>
  <c r="B24" i="3"/>
  <c r="A24" i="3"/>
  <c r="AB23" i="3"/>
  <c r="AA23" i="3"/>
  <c r="Z23" i="3"/>
  <c r="Y23" i="3"/>
  <c r="X23" i="3"/>
  <c r="W23" i="3"/>
  <c r="V23" i="3"/>
  <c r="T23" i="3"/>
  <c r="S23" i="3"/>
  <c r="R23" i="3"/>
  <c r="Q23" i="3"/>
  <c r="P23" i="3"/>
  <c r="O23" i="3"/>
  <c r="N23" i="3"/>
  <c r="K23" i="3"/>
  <c r="J23" i="3"/>
  <c r="I23" i="3"/>
  <c r="H23" i="3"/>
  <c r="G23" i="3"/>
  <c r="F23" i="3"/>
  <c r="E23" i="3"/>
  <c r="D23" i="3"/>
  <c r="C23" i="3"/>
  <c r="L23" i="3" s="1"/>
  <c r="M23" i="3" s="1"/>
  <c r="B23" i="3"/>
  <c r="A23" i="3"/>
  <c r="AB22" i="3"/>
  <c r="AA22" i="3"/>
  <c r="Z22" i="3"/>
  <c r="Y22" i="3"/>
  <c r="X22" i="3"/>
  <c r="W22" i="3"/>
  <c r="V22" i="3"/>
  <c r="T22" i="3"/>
  <c r="S22" i="3"/>
  <c r="R22" i="3"/>
  <c r="Q22" i="3"/>
  <c r="P22" i="3"/>
  <c r="O22" i="3"/>
  <c r="N22" i="3"/>
  <c r="K22" i="3"/>
  <c r="J22" i="3"/>
  <c r="I22" i="3"/>
  <c r="H22" i="3"/>
  <c r="G22" i="3"/>
  <c r="F22" i="3"/>
  <c r="E22" i="3"/>
  <c r="D22" i="3"/>
  <c r="C22" i="3"/>
  <c r="L22" i="3" s="1"/>
  <c r="M22" i="3" s="1"/>
  <c r="B22" i="3"/>
  <c r="A22" i="3"/>
  <c r="AB21" i="3"/>
  <c r="AA21" i="3"/>
  <c r="Z21" i="3"/>
  <c r="Y21" i="3"/>
  <c r="X21" i="3"/>
  <c r="W21" i="3"/>
  <c r="V21" i="3"/>
  <c r="T21" i="3"/>
  <c r="S21" i="3"/>
  <c r="R21" i="3"/>
  <c r="Q21" i="3"/>
  <c r="P21" i="3"/>
  <c r="O21" i="3"/>
  <c r="N21" i="3"/>
  <c r="K21" i="3"/>
  <c r="J21" i="3"/>
  <c r="I21" i="3"/>
  <c r="H21" i="3"/>
  <c r="G21" i="3"/>
  <c r="F21" i="3"/>
  <c r="E21" i="3"/>
  <c r="D21" i="3"/>
  <c r="C21" i="3"/>
  <c r="L21" i="3" s="1"/>
  <c r="M21" i="3" s="1"/>
  <c r="B21" i="3"/>
  <c r="A21" i="3"/>
  <c r="AB20" i="3"/>
  <c r="AC20" i="3" s="1"/>
  <c r="AA20" i="3"/>
  <c r="Z20" i="3"/>
  <c r="Y20" i="3"/>
  <c r="X20" i="3"/>
  <c r="W20" i="3"/>
  <c r="V20" i="3"/>
  <c r="T20" i="3"/>
  <c r="S20" i="3"/>
  <c r="R20" i="3"/>
  <c r="Q20" i="3"/>
  <c r="P20" i="3"/>
  <c r="O20" i="3"/>
  <c r="N20" i="3"/>
  <c r="K20" i="3"/>
  <c r="J20" i="3"/>
  <c r="I20" i="3"/>
  <c r="H20" i="3"/>
  <c r="G20" i="3"/>
  <c r="F20" i="3"/>
  <c r="E20" i="3"/>
  <c r="D20" i="3"/>
  <c r="C20" i="3"/>
  <c r="L20" i="3" s="1"/>
  <c r="M20" i="3" s="1"/>
  <c r="B20" i="3"/>
  <c r="A20" i="3"/>
  <c r="AB19" i="3"/>
  <c r="AA19" i="3"/>
  <c r="Z19" i="3"/>
  <c r="Y19" i="3"/>
  <c r="X19" i="3"/>
  <c r="W19" i="3"/>
  <c r="V19" i="3"/>
  <c r="T19" i="3"/>
  <c r="S19" i="3"/>
  <c r="R19" i="3"/>
  <c r="Q19" i="3"/>
  <c r="P19" i="3"/>
  <c r="O19" i="3"/>
  <c r="N19" i="3"/>
  <c r="K19" i="3"/>
  <c r="J19" i="3"/>
  <c r="I19" i="3"/>
  <c r="H19" i="3"/>
  <c r="G19" i="3"/>
  <c r="F19" i="3"/>
  <c r="E19" i="3"/>
  <c r="D19" i="3"/>
  <c r="C19" i="3"/>
  <c r="L19" i="3" s="1"/>
  <c r="M19" i="3" s="1"/>
  <c r="B19" i="3"/>
  <c r="A19" i="3"/>
  <c r="AB18" i="3"/>
  <c r="AA18" i="3"/>
  <c r="Z18" i="3"/>
  <c r="Y18" i="3"/>
  <c r="X18" i="3"/>
  <c r="W18" i="3"/>
  <c r="V18" i="3"/>
  <c r="T18" i="3"/>
  <c r="S18" i="3"/>
  <c r="R18" i="3"/>
  <c r="Q18" i="3"/>
  <c r="P18" i="3"/>
  <c r="O18" i="3"/>
  <c r="N18" i="3"/>
  <c r="K18" i="3"/>
  <c r="J18" i="3"/>
  <c r="I18" i="3"/>
  <c r="H18" i="3"/>
  <c r="G18" i="3"/>
  <c r="F18" i="3"/>
  <c r="E18" i="3"/>
  <c r="D18" i="3"/>
  <c r="C18" i="3"/>
  <c r="L18" i="3" s="1"/>
  <c r="M18" i="3" s="1"/>
  <c r="B18" i="3"/>
  <c r="A18" i="3"/>
  <c r="AB17" i="3"/>
  <c r="AA17" i="3"/>
  <c r="Z17" i="3"/>
  <c r="Y17" i="3"/>
  <c r="X17" i="3"/>
  <c r="W17" i="3"/>
  <c r="V17" i="3"/>
  <c r="T17" i="3"/>
  <c r="S17" i="3"/>
  <c r="R17" i="3"/>
  <c r="Q17" i="3"/>
  <c r="P17" i="3"/>
  <c r="O17" i="3"/>
  <c r="N17" i="3"/>
  <c r="K17" i="3"/>
  <c r="J17" i="3"/>
  <c r="I17" i="3"/>
  <c r="H17" i="3"/>
  <c r="G17" i="3"/>
  <c r="F17" i="3"/>
  <c r="E17" i="3"/>
  <c r="D17" i="3"/>
  <c r="C17" i="3"/>
  <c r="L17" i="3" s="1"/>
  <c r="M17" i="3" s="1"/>
  <c r="B17" i="3"/>
  <c r="A17" i="3"/>
  <c r="AB16" i="3"/>
  <c r="AA16" i="3"/>
  <c r="Z16" i="3"/>
  <c r="Y16" i="3"/>
  <c r="X16" i="3"/>
  <c r="W16" i="3"/>
  <c r="V16" i="3"/>
  <c r="T16" i="3"/>
  <c r="S16" i="3"/>
  <c r="R16" i="3"/>
  <c r="Q16" i="3"/>
  <c r="P16" i="3"/>
  <c r="O16" i="3"/>
  <c r="N16" i="3"/>
  <c r="K16" i="3"/>
  <c r="J16" i="3"/>
  <c r="I16" i="3"/>
  <c r="H16" i="3"/>
  <c r="G16" i="3"/>
  <c r="F16" i="3"/>
  <c r="E16" i="3"/>
  <c r="D16" i="3"/>
  <c r="C16" i="3"/>
  <c r="L16" i="3" s="1"/>
  <c r="M16" i="3" s="1"/>
  <c r="B16" i="3"/>
  <c r="A16" i="3"/>
  <c r="AB15" i="3"/>
  <c r="AA15" i="3"/>
  <c r="Z15" i="3"/>
  <c r="Y15" i="3"/>
  <c r="X15" i="3"/>
  <c r="W15" i="3"/>
  <c r="V15" i="3"/>
  <c r="T15" i="3"/>
  <c r="S15" i="3"/>
  <c r="R15" i="3"/>
  <c r="Q15" i="3"/>
  <c r="P15" i="3"/>
  <c r="O15" i="3"/>
  <c r="N15" i="3"/>
  <c r="K15" i="3"/>
  <c r="J15" i="3"/>
  <c r="I15" i="3"/>
  <c r="H15" i="3"/>
  <c r="G15" i="3"/>
  <c r="F15" i="3"/>
  <c r="E15" i="3"/>
  <c r="D15" i="3"/>
  <c r="C15" i="3"/>
  <c r="L15" i="3" s="1"/>
  <c r="M15" i="3" s="1"/>
  <c r="B15" i="3"/>
  <c r="A15" i="3"/>
  <c r="AB14" i="3"/>
  <c r="AA14" i="3"/>
  <c r="Z14" i="3"/>
  <c r="Y14" i="3"/>
  <c r="X14" i="3"/>
  <c r="W14" i="3"/>
  <c r="V14" i="3"/>
  <c r="T14" i="3"/>
  <c r="S14" i="3"/>
  <c r="R14" i="3"/>
  <c r="Q14" i="3"/>
  <c r="P14" i="3"/>
  <c r="O14" i="3"/>
  <c r="N14" i="3"/>
  <c r="K14" i="3"/>
  <c r="J14" i="3"/>
  <c r="I14" i="3"/>
  <c r="H14" i="3"/>
  <c r="G14" i="3"/>
  <c r="F14" i="3"/>
  <c r="E14" i="3"/>
  <c r="D14" i="3"/>
  <c r="C14" i="3"/>
  <c r="L14" i="3" s="1"/>
  <c r="M14" i="3" s="1"/>
  <c r="B14" i="3"/>
  <c r="A14" i="3"/>
  <c r="AB13" i="3"/>
  <c r="AA13" i="3"/>
  <c r="Z13" i="3"/>
  <c r="Y13" i="3"/>
  <c r="X13" i="3"/>
  <c r="W13" i="3"/>
  <c r="V13" i="3"/>
  <c r="T13" i="3"/>
  <c r="S13" i="3"/>
  <c r="R13" i="3"/>
  <c r="Q13" i="3"/>
  <c r="P13" i="3"/>
  <c r="O13" i="3"/>
  <c r="N13" i="3"/>
  <c r="K13" i="3"/>
  <c r="J13" i="3"/>
  <c r="I13" i="3"/>
  <c r="H13" i="3"/>
  <c r="G13" i="3"/>
  <c r="F13" i="3"/>
  <c r="E13" i="3"/>
  <c r="D13" i="3"/>
  <c r="C13" i="3"/>
  <c r="L13" i="3" s="1"/>
  <c r="M13" i="3" s="1"/>
  <c r="B13" i="3"/>
  <c r="A13" i="3"/>
  <c r="AB12" i="3"/>
  <c r="AA12" i="3"/>
  <c r="Z12" i="3"/>
  <c r="Y12" i="3"/>
  <c r="X12" i="3"/>
  <c r="W12" i="3"/>
  <c r="V12" i="3"/>
  <c r="T12" i="3"/>
  <c r="S12" i="3"/>
  <c r="R12" i="3"/>
  <c r="Q12" i="3"/>
  <c r="P12" i="3"/>
  <c r="O12" i="3"/>
  <c r="N12" i="3"/>
  <c r="K12" i="3"/>
  <c r="J12" i="3"/>
  <c r="I12" i="3"/>
  <c r="H12" i="3"/>
  <c r="G12" i="3"/>
  <c r="F12" i="3"/>
  <c r="E12" i="3"/>
  <c r="D12" i="3"/>
  <c r="C12" i="3"/>
  <c r="L12" i="3" s="1"/>
  <c r="M12" i="3" s="1"/>
  <c r="B12" i="3"/>
  <c r="A12" i="3"/>
  <c r="AB11" i="3"/>
  <c r="AA11" i="3"/>
  <c r="Z11" i="3"/>
  <c r="Y11" i="3"/>
  <c r="X11" i="3"/>
  <c r="W11" i="3"/>
  <c r="V11" i="3"/>
  <c r="T11" i="3"/>
  <c r="S11" i="3"/>
  <c r="R11" i="3"/>
  <c r="Q11" i="3"/>
  <c r="P11" i="3"/>
  <c r="O11" i="3"/>
  <c r="N11" i="3"/>
  <c r="K11" i="3"/>
  <c r="J11" i="3"/>
  <c r="I11" i="3"/>
  <c r="H11" i="3"/>
  <c r="G11" i="3"/>
  <c r="F11" i="3"/>
  <c r="E11" i="3"/>
  <c r="D11" i="3"/>
  <c r="C11" i="3"/>
  <c r="L11" i="3" s="1"/>
  <c r="M11" i="3" s="1"/>
  <c r="B11" i="3"/>
  <c r="A11" i="3"/>
  <c r="AC551" i="3" l="1"/>
  <c r="AC599" i="3"/>
  <c r="AC607" i="3"/>
  <c r="AC232" i="3"/>
  <c r="AC489" i="3"/>
  <c r="AC505" i="3"/>
  <c r="AC513" i="3"/>
  <c r="AC365" i="3"/>
  <c r="AC65" i="3"/>
  <c r="AC226" i="3"/>
  <c r="AC50" i="3"/>
  <c r="AC74" i="3"/>
  <c r="AC136" i="3"/>
  <c r="AC282" i="3"/>
  <c r="AC373" i="3"/>
  <c r="AC319" i="3"/>
  <c r="AC34" i="3"/>
  <c r="AC98" i="3"/>
  <c r="AC19" i="3"/>
  <c r="AC27" i="3"/>
  <c r="AC35" i="3"/>
  <c r="AC144" i="3"/>
  <c r="AC174" i="3"/>
  <c r="AC374" i="3"/>
  <c r="AC349" i="3"/>
  <c r="AC42" i="3"/>
  <c r="AC84" i="3"/>
  <c r="AC138" i="3"/>
  <c r="AC182" i="3"/>
  <c r="AC190" i="3"/>
  <c r="AC356" i="3"/>
  <c r="AC364" i="3"/>
  <c r="AC391" i="3"/>
  <c r="AC488" i="3"/>
  <c r="AC224" i="3"/>
  <c r="AC210" i="3"/>
  <c r="AC25" i="3"/>
  <c r="AC29" i="3"/>
  <c r="AC317" i="3"/>
  <c r="AC448" i="3"/>
  <c r="AC474" i="3"/>
  <c r="AC542" i="3"/>
  <c r="AC582" i="3"/>
  <c r="AC590" i="3"/>
  <c r="AC43" i="3"/>
  <c r="AC51" i="3"/>
  <c r="AC252" i="3"/>
  <c r="AC268" i="3"/>
  <c r="AC13" i="3"/>
  <c r="AC172" i="3"/>
  <c r="AC324" i="3"/>
  <c r="AC400" i="3"/>
  <c r="AC408" i="3"/>
  <c r="AC416" i="3"/>
  <c r="AC424" i="3"/>
  <c r="AC595" i="3"/>
  <c r="AC603" i="3"/>
  <c r="AC325" i="3"/>
  <c r="AC526" i="3"/>
  <c r="AC532" i="3"/>
  <c r="AC534" i="3"/>
  <c r="AC550" i="3"/>
  <c r="AC288" i="3"/>
  <c r="AC381" i="3"/>
  <c r="AC389" i="3"/>
  <c r="AC58" i="3"/>
  <c r="AC367" i="3"/>
  <c r="AC390" i="3"/>
  <c r="AC134" i="3"/>
  <c r="AC154" i="3"/>
  <c r="AC245" i="3"/>
  <c r="AC278" i="3"/>
  <c r="AC362" i="3"/>
  <c r="AC375" i="3"/>
  <c r="AC383" i="3"/>
  <c r="AC543" i="3"/>
  <c r="AC15" i="3"/>
  <c r="AC22" i="3"/>
  <c r="AC76" i="3"/>
  <c r="AC91" i="3"/>
  <c r="AC112" i="3"/>
  <c r="AC162" i="3"/>
  <c r="AC188" i="3"/>
  <c r="AC234" i="3"/>
  <c r="AC238" i="3"/>
  <c r="AC270" i="3"/>
  <c r="AC277" i="3"/>
  <c r="AC399" i="3"/>
  <c r="AC407" i="3"/>
  <c r="AC415" i="3"/>
  <c r="AC423" i="3"/>
  <c r="AC431" i="3"/>
  <c r="AC439" i="3"/>
  <c r="AC575" i="3"/>
  <c r="AC597" i="3"/>
  <c r="AC106" i="3"/>
  <c r="AC175" i="3"/>
  <c r="AC214" i="3"/>
  <c r="AC239" i="3"/>
  <c r="AC255" i="3"/>
  <c r="AC271" i="3"/>
  <c r="AC307" i="3"/>
  <c r="AC432" i="3"/>
  <c r="AC440" i="3"/>
  <c r="AC456" i="3"/>
  <c r="AC598" i="3"/>
  <c r="AC605" i="3"/>
  <c r="AC31" i="3"/>
  <c r="AC62" i="3"/>
  <c r="AC78" i="3"/>
  <c r="AC99" i="3"/>
  <c r="AC142" i="3"/>
  <c r="AC149" i="3"/>
  <c r="AC176" i="3"/>
  <c r="AC240" i="3"/>
  <c r="AC329" i="3"/>
  <c r="AC337" i="3"/>
  <c r="AC357" i="3"/>
  <c r="AC392" i="3"/>
  <c r="AC499" i="3"/>
  <c r="AC506" i="3"/>
  <c r="AC583" i="3"/>
  <c r="AC591" i="3"/>
  <c r="AC55" i="3"/>
  <c r="AC79" i="3"/>
  <c r="AC108" i="3"/>
  <c r="AC150" i="3"/>
  <c r="AC216" i="3"/>
  <c r="AC351" i="3"/>
  <c r="AC387" i="3"/>
  <c r="AC402" i="3"/>
  <c r="AC410" i="3"/>
  <c r="AC418" i="3"/>
  <c r="AC426" i="3"/>
  <c r="AC434" i="3"/>
  <c r="AC442" i="3"/>
  <c r="AC450" i="3"/>
  <c r="AC554" i="3"/>
  <c r="AC562" i="3"/>
  <c r="AC570" i="3"/>
  <c r="AC584" i="3"/>
  <c r="AC33" i="3"/>
  <c r="AC48" i="3"/>
  <c r="AC102" i="3"/>
  <c r="AC129" i="3"/>
  <c r="AC191" i="3"/>
  <c r="AC248" i="3"/>
  <c r="AC258" i="3"/>
  <c r="AC382" i="3"/>
  <c r="AC480" i="3"/>
  <c r="AC608" i="3"/>
  <c r="AC26" i="3"/>
  <c r="AC49" i="3"/>
  <c r="AC57" i="3"/>
  <c r="AC192" i="3"/>
  <c r="AC94" i="3"/>
  <c r="AC11" i="3"/>
  <c r="AC18" i="3"/>
  <c r="AC24" i="3"/>
  <c r="AC37" i="3"/>
  <c r="AC41" i="3"/>
  <c r="AC52" i="3"/>
  <c r="AC130" i="3"/>
  <c r="AC145" i="3"/>
  <c r="AC164" i="3"/>
  <c r="AC170" i="3"/>
  <c r="AC180" i="3"/>
  <c r="AC202" i="3"/>
  <c r="AC230" i="3"/>
  <c r="AC256" i="3"/>
  <c r="AC274" i="3"/>
  <c r="AC285" i="3"/>
  <c r="AC318" i="3"/>
  <c r="AC335" i="3"/>
  <c r="AC384" i="3"/>
  <c r="AC398" i="3"/>
  <c r="AC478" i="3"/>
  <c r="AC497" i="3"/>
  <c r="AC504" i="3"/>
  <c r="AC517" i="3"/>
  <c r="AC545" i="3"/>
  <c r="AC567" i="3"/>
  <c r="AC574" i="3"/>
  <c r="AC600" i="3"/>
  <c r="AC36" i="3"/>
  <c r="AC225" i="3"/>
  <c r="AC314" i="3"/>
  <c r="AC298" i="3"/>
  <c r="AC458" i="3"/>
  <c r="AC490" i="3"/>
  <c r="AC496" i="3"/>
  <c r="AC242" i="3"/>
  <c r="AC59" i="3"/>
  <c r="AC66" i="3"/>
  <c r="AC73" i="3"/>
  <c r="AC80" i="3"/>
  <c r="AC104" i="3"/>
  <c r="AC128" i="3"/>
  <c r="AC161" i="3"/>
  <c r="AC168" i="3"/>
  <c r="AC209" i="3"/>
  <c r="AC211" i="3"/>
  <c r="AC217" i="3"/>
  <c r="AC220" i="3"/>
  <c r="AC253" i="3"/>
  <c r="AC266" i="3"/>
  <c r="AC296" i="3"/>
  <c r="AC310" i="3"/>
  <c r="AC333" i="3"/>
  <c r="AC358" i="3"/>
  <c r="AC404" i="3"/>
  <c r="AC412" i="3"/>
  <c r="AC420" i="3"/>
  <c r="AC428" i="3"/>
  <c r="AC436" i="3"/>
  <c r="AC444" i="3"/>
  <c r="AC472" i="3"/>
  <c r="AC495" i="3"/>
  <c r="AC529" i="3"/>
  <c r="AC558" i="3"/>
  <c r="AC572" i="3"/>
  <c r="AC592" i="3"/>
  <c r="AC606" i="3"/>
  <c r="AC17" i="3"/>
  <c r="AC40" i="3"/>
  <c r="AC67" i="3"/>
  <c r="AC152" i="3"/>
  <c r="AC184" i="3"/>
  <c r="AC229" i="3"/>
  <c r="AC273" i="3"/>
  <c r="AC287" i="3"/>
  <c r="AC291" i="3"/>
  <c r="AC305" i="3"/>
  <c r="AC311" i="3"/>
  <c r="AC320" i="3"/>
  <c r="AC334" i="3"/>
  <c r="AC341" i="3"/>
  <c r="AC347" i="3"/>
  <c r="AC359" i="3"/>
  <c r="AC372" i="3"/>
  <c r="AC376" i="3"/>
  <c r="AC508" i="3"/>
  <c r="AC510" i="3"/>
  <c r="AC559" i="3"/>
  <c r="AC566" i="3"/>
  <c r="AC201" i="3"/>
  <c r="AC231" i="3"/>
  <c r="AC235" i="3"/>
  <c r="AC241" i="3"/>
  <c r="AC244" i="3"/>
  <c r="AC38" i="3"/>
  <c r="AC68" i="3"/>
  <c r="AC88" i="3"/>
  <c r="AC107" i="3"/>
  <c r="AC116" i="3"/>
  <c r="AC132" i="3"/>
  <c r="AC135" i="3"/>
  <c r="AC153" i="3"/>
  <c r="AC169" i="3"/>
  <c r="AC177" i="3"/>
  <c r="AC185" i="3"/>
  <c r="AC193" i="3"/>
  <c r="AC243" i="3"/>
  <c r="AC254" i="3"/>
  <c r="AC261" i="3"/>
  <c r="AC269" i="3"/>
  <c r="AC284" i="3"/>
  <c r="AC289" i="3"/>
  <c r="AC312" i="3"/>
  <c r="AC12" i="3"/>
  <c r="AC14" i="3"/>
  <c r="AC44" i="3"/>
  <c r="AC53" i="3"/>
  <c r="AC56" i="3"/>
  <c r="AC63" i="3"/>
  <c r="AC70" i="3"/>
  <c r="AC77" i="3"/>
  <c r="AC83" i="3"/>
  <c r="AC92" i="3"/>
  <c r="AC100" i="3"/>
  <c r="AC195" i="3"/>
  <c r="AC204" i="3"/>
  <c r="AC218" i="3"/>
  <c r="AC222" i="3"/>
  <c r="AC247" i="3"/>
  <c r="AC286" i="3"/>
  <c r="AC366" i="3"/>
  <c r="AC21" i="3"/>
  <c r="AC32" i="3"/>
  <c r="AC110" i="3"/>
  <c r="AC122" i="3"/>
  <c r="AC126" i="3"/>
  <c r="AC133" i="3"/>
  <c r="AC140" i="3"/>
  <c r="AC143" i="3"/>
  <c r="AC148" i="3"/>
  <c r="AC151" i="3"/>
  <c r="AC155" i="3"/>
  <c r="AC167" i="3"/>
  <c r="AC187" i="3"/>
  <c r="AC196" i="3"/>
  <c r="AC203" i="3"/>
  <c r="AC212" i="3"/>
  <c r="AC237" i="3"/>
  <c r="AC263" i="3"/>
  <c r="AC275" i="3"/>
  <c r="AC397" i="3"/>
  <c r="AC46" i="3"/>
  <c r="AC61" i="3"/>
  <c r="AC64" i="3"/>
  <c r="AC71" i="3"/>
  <c r="AC90" i="3"/>
  <c r="AC114" i="3"/>
  <c r="AC118" i="3"/>
  <c r="AC280" i="3"/>
  <c r="AC47" i="3"/>
  <c r="AC69" i="3"/>
  <c r="AC72" i="3"/>
  <c r="AC75" i="3"/>
  <c r="AC81" i="3"/>
  <c r="AC82" i="3"/>
  <c r="AC85" i="3"/>
  <c r="AC86" i="3"/>
  <c r="AC121" i="3"/>
  <c r="AC146" i="3"/>
  <c r="AC165" i="3"/>
  <c r="AC173" i="3"/>
  <c r="AC194" i="3"/>
  <c r="AC205" i="3"/>
  <c r="AC219" i="3"/>
  <c r="AC223" i="3"/>
  <c r="AC228" i="3"/>
  <c r="AC264" i="3"/>
  <c r="AC272" i="3"/>
  <c r="AC326" i="3"/>
  <c r="AC16" i="3"/>
  <c r="AC28" i="3"/>
  <c r="AC23" i="3"/>
  <c r="AC30" i="3"/>
  <c r="AC60" i="3"/>
  <c r="AC137" i="3"/>
  <c r="AC158" i="3"/>
  <c r="AC166" i="3"/>
  <c r="AC178" i="3"/>
  <c r="AC186" i="3"/>
  <c r="AC206" i="3"/>
  <c r="AC213" i="3"/>
  <c r="AC227" i="3"/>
  <c r="AC233" i="3"/>
  <c r="AC236" i="3"/>
  <c r="AC293" i="3"/>
  <c r="AC279" i="3"/>
  <c r="AC295" i="3"/>
  <c r="AC300" i="3"/>
  <c r="AC304" i="3"/>
  <c r="AC330" i="3"/>
  <c r="AC344" i="3"/>
  <c r="AC380" i="3"/>
  <c r="AC388" i="3"/>
  <c r="AC463" i="3"/>
  <c r="AC507" i="3"/>
  <c r="AC518" i="3"/>
  <c r="AC521" i="3"/>
  <c r="AC527" i="3"/>
  <c r="AC531" i="3"/>
  <c r="AC539" i="3"/>
  <c r="AC547" i="3"/>
  <c r="AC561" i="3"/>
  <c r="AC569" i="3"/>
  <c r="AC577" i="3"/>
  <c r="AC586" i="3"/>
  <c r="AC306" i="3"/>
  <c r="AC309" i="3"/>
  <c r="AC346" i="3"/>
  <c r="AC369" i="3"/>
  <c r="AC396" i="3"/>
  <c r="AC406" i="3"/>
  <c r="AC422" i="3"/>
  <c r="AC430" i="3"/>
  <c r="AC447" i="3"/>
  <c r="AC452" i="3"/>
  <c r="AC455" i="3"/>
  <c r="AC460" i="3"/>
  <c r="AC477" i="3"/>
  <c r="AC486" i="3"/>
  <c r="AC511" i="3"/>
  <c r="AC528" i="3"/>
  <c r="AC535" i="3"/>
  <c r="AC540" i="3"/>
  <c r="AC585" i="3"/>
  <c r="AC593" i="3"/>
  <c r="AC594" i="3"/>
  <c r="AC602" i="3"/>
  <c r="AC297" i="3"/>
  <c r="AC302" i="3"/>
  <c r="AC316" i="3"/>
  <c r="AC331" i="3"/>
  <c r="AC354" i="3"/>
  <c r="AC360" i="3"/>
  <c r="AC368" i="3"/>
  <c r="AC377" i="3"/>
  <c r="AC385" i="3"/>
  <c r="AC466" i="3"/>
  <c r="AC470" i="3"/>
  <c r="AC482" i="3"/>
  <c r="AC493" i="3"/>
  <c r="AC512" i="3"/>
  <c r="AC515" i="3"/>
  <c r="AC519" i="3"/>
  <c r="AC523" i="3"/>
  <c r="AC536" i="3"/>
  <c r="AC541" i="3"/>
  <c r="AC548" i="3"/>
  <c r="AC579" i="3"/>
  <c r="AC587" i="3"/>
  <c r="AC601" i="3"/>
  <c r="AC609" i="3"/>
  <c r="AC520" i="3"/>
  <c r="AC544" i="3"/>
  <c r="AC549" i="3"/>
  <c r="AC294" i="3"/>
  <c r="AC308" i="3"/>
  <c r="AC332" i="3"/>
  <c r="AC340" i="3"/>
  <c r="AC414" i="3"/>
  <c r="AC438" i="3"/>
  <c r="AC446" i="3"/>
  <c r="AC462" i="3"/>
  <c r="AC471" i="3"/>
  <c r="AC481" i="3"/>
  <c r="AC484" i="3"/>
  <c r="AC494" i="3"/>
  <c r="AC498" i="3"/>
  <c r="AC502" i="3"/>
  <c r="AC525" i="3"/>
  <c r="AC538" i="3"/>
  <c r="AC552" i="3"/>
  <c r="AC557" i="3"/>
  <c r="AC565" i="3"/>
  <c r="AC573" i="3"/>
  <c r="AC580" i="3"/>
  <c r="AC588" i="3"/>
  <c r="AC290" i="3"/>
  <c r="AC301" i="3"/>
  <c r="AC303" i="3"/>
  <c r="AC348" i="3"/>
  <c r="AC363" i="3"/>
  <c r="AC371" i="3"/>
  <c r="AC394" i="3"/>
  <c r="AC401" i="3"/>
  <c r="AC405" i="3"/>
  <c r="AC409" i="3"/>
  <c r="AC413" i="3"/>
  <c r="AC417" i="3"/>
  <c r="AC421" i="3"/>
  <c r="AC425" i="3"/>
  <c r="AC429" i="3"/>
  <c r="AC433" i="3"/>
  <c r="AC437" i="3"/>
  <c r="AC441" i="3"/>
  <c r="AC445" i="3"/>
  <c r="AC449" i="3"/>
  <c r="AC476" i="3"/>
  <c r="AC479" i="3"/>
  <c r="AC483" i="3"/>
  <c r="AC524" i="3"/>
  <c r="AC530" i="3"/>
  <c r="AC537" i="3"/>
  <c r="AC560" i="3"/>
  <c r="AC568" i="3"/>
  <c r="AC576" i="3"/>
  <c r="AC581" i="3"/>
  <c r="AC589" i="3"/>
  <c r="AC596" i="3"/>
  <c r="AC604" i="3"/>
  <c r="AC328" i="3"/>
  <c r="AC336" i="3"/>
  <c r="AC403" i="3"/>
  <c r="AC411" i="3"/>
  <c r="AC419" i="3"/>
  <c r="AC427" i="3"/>
  <c r="AC435" i="3"/>
  <c r="AC443" i="3"/>
  <c r="AC454" i="3"/>
  <c r="AC464" i="3"/>
  <c r="AC514" i="3"/>
  <c r="AC522" i="3"/>
  <c r="AC553" i="3"/>
  <c r="AC610" i="3"/>
  <c r="AC87" i="3"/>
  <c r="AC89" i="3"/>
  <c r="AC93" i="3"/>
  <c r="AC147" i="3"/>
  <c r="AC179" i="3"/>
  <c r="AC207" i="3"/>
  <c r="AC109" i="3"/>
  <c r="AC111" i="3"/>
  <c r="AC123" i="3"/>
  <c r="AC141" i="3"/>
  <c r="AC215" i="3"/>
  <c r="AC103" i="3"/>
  <c r="AC105" i="3"/>
  <c r="AC124" i="3"/>
  <c r="AC131" i="3"/>
  <c r="AC156" i="3"/>
  <c r="AC163" i="3"/>
  <c r="AC101" i="3"/>
  <c r="AC117" i="3"/>
  <c r="AC119" i="3"/>
  <c r="AC181" i="3"/>
  <c r="AC183" i="3"/>
  <c r="AC139" i="3"/>
  <c r="AC171" i="3"/>
  <c r="AC189" i="3"/>
  <c r="AC221" i="3"/>
  <c r="AC95" i="3"/>
  <c r="AC97" i="3"/>
  <c r="AC125" i="3"/>
  <c r="AC127" i="3"/>
  <c r="AC157" i="3"/>
  <c r="AC159" i="3"/>
  <c r="AC197" i="3"/>
  <c r="AC199" i="3"/>
  <c r="AC281" i="3"/>
  <c r="AC283" i="3"/>
  <c r="AC292" i="3"/>
  <c r="AC257" i="3"/>
  <c r="AC259" i="3"/>
  <c r="AC321" i="3"/>
  <c r="AC339" i="3"/>
  <c r="AC395" i="3"/>
  <c r="AC299" i="3"/>
  <c r="AC370" i="3"/>
  <c r="AC393" i="3"/>
  <c r="AC260" i="3"/>
  <c r="AC322" i="3"/>
  <c r="AC345" i="3"/>
  <c r="AC355" i="3"/>
  <c r="AC378" i="3"/>
  <c r="AC386" i="3"/>
  <c r="AC265" i="3"/>
  <c r="AC267" i="3"/>
  <c r="AC276" i="3"/>
  <c r="AC338" i="3"/>
  <c r="AC353" i="3"/>
  <c r="AC249" i="3"/>
  <c r="AC251" i="3"/>
  <c r="AC313" i="3"/>
  <c r="AC315" i="3"/>
  <c r="AC323" i="3"/>
  <c r="AC361" i="3"/>
  <c r="AC379" i="3"/>
  <c r="AC467" i="3"/>
  <c r="AC469" i="3"/>
  <c r="AC501" i="3"/>
  <c r="AC503" i="3"/>
  <c r="AC578" i="3"/>
  <c r="AC475" i="3"/>
  <c r="AC500" i="3"/>
  <c r="AC555" i="3"/>
  <c r="AC563" i="3"/>
  <c r="AC571" i="3"/>
  <c r="AC451" i="3"/>
  <c r="AC453" i="3"/>
  <c r="AC509" i="3"/>
  <c r="AC492" i="3"/>
  <c r="AC459" i="3"/>
  <c r="AC461" i="3"/>
  <c r="AC485" i="3"/>
  <c r="AC487" i="3"/>
  <c r="AC491" i="3"/>
  <c r="AC533" i="3"/>
  <c r="AC54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B61C8D-FE58-4BAC-96FD-ABAF1A5AC4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6FF4801-086F-4DF1-9D29-FD2C56C558DC}" name="WorksheetConnection_Cleaned_Data!$A$10:$AC$625" type="102" refreshedVersion="8" minRefreshableVersion="5">
    <extLst>
      <ext xmlns:x15="http://schemas.microsoft.com/office/spreadsheetml/2010/11/main" uri="{DE250136-89BD-433C-8126-D09CA5730AF9}">
        <x15:connection id="Range" autoDelete="1">
          <x15:rangePr sourceName="_xlcn.WorksheetConnection_Cleaned_DataA10AC625"/>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Range].[State_Clean].[All]}"/>
    <s v="{[Range].[Learning_Mode_Clean].[All]}"/>
    <s v="{[Range].[Course_Type_Clean].[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<sst xmlns="http://schemas.openxmlformats.org/spreadsheetml/2006/main" count="10073" uniqueCount="2184">
  <si>
    <t>Premium Learner</t>
  </si>
  <si>
    <t>Non-Premium Learner</t>
  </si>
  <si>
    <t>Student_ID</t>
  </si>
  <si>
    <t>Name</t>
  </si>
  <si>
    <t>Age</t>
  </si>
  <si>
    <t>Gender</t>
  </si>
  <si>
    <t>City</t>
  </si>
  <si>
    <t>State</t>
  </si>
  <si>
    <t>Course_Type</t>
  </si>
  <si>
    <t>Learning_Center</t>
  </si>
  <si>
    <t>Enrolled_Since</t>
  </si>
  <si>
    <t>Parent_Occupation</t>
  </si>
  <si>
    <t>Age_Group</t>
  </si>
  <si>
    <t>Age Category</t>
  </si>
  <si>
    <t>Learner_Category</t>
  </si>
  <si>
    <t>Learning_Mode_Used</t>
  </si>
  <si>
    <t>Fee_Paid</t>
  </si>
  <si>
    <t>Avg_Monthly_Study_Hours</t>
  </si>
  <si>
    <t>Fee_Outstanding</t>
  </si>
  <si>
    <t>Subscription_Status</t>
  </si>
  <si>
    <t>Performance_Score</t>
  </si>
  <si>
    <t>Sessions_Attended</t>
  </si>
  <si>
    <t>App_Usage</t>
  </si>
  <si>
    <t>Web_Usage</t>
  </si>
  <si>
    <t>Satisfaction_Score</t>
  </si>
  <si>
    <t>Learning_Tenure_Years</t>
  </si>
  <si>
    <t>BYJ1001</t>
  </si>
  <si>
    <t>Aryan Maharaj</t>
  </si>
  <si>
    <t>female</t>
  </si>
  <si>
    <t>Rajahmundry</t>
  </si>
  <si>
    <t>Karnataka</t>
  </si>
  <si>
    <t>Mathematics</t>
  </si>
  <si>
    <t>Lucknow Hub</t>
  </si>
  <si>
    <t>2022</t>
  </si>
  <si>
    <t>Business</t>
  </si>
  <si>
    <t>PREMIUM LEARNER</t>
  </si>
  <si>
    <t>Both App &amp; Web</t>
  </si>
  <si>
    <t>NONE</t>
  </si>
  <si>
    <t>N</t>
  </si>
  <si>
    <t>no</t>
  </si>
  <si>
    <t>BYJ1002</t>
  </si>
  <si>
    <t>Harsh Chahal</t>
  </si>
  <si>
    <t>F</t>
  </si>
  <si>
    <t>Patna</t>
  </si>
  <si>
    <t>Tamil Nadu</t>
  </si>
  <si>
    <t>Spoken English</t>
  </si>
  <si>
    <t>Jaipur Center</t>
  </si>
  <si>
    <t>03-07-2017</t>
  </si>
  <si>
    <t>Retired</t>
  </si>
  <si>
    <t>10-13</t>
  </si>
  <si>
    <t>Kids</t>
  </si>
  <si>
    <t>NON PREMIUM LEARNER</t>
  </si>
  <si>
    <t>active</t>
  </si>
  <si>
    <t>BYJ1003</t>
  </si>
  <si>
    <t>Girik Kamdar</t>
  </si>
  <si>
    <t>MALE</t>
  </si>
  <si>
    <t>Dibrugarh</t>
  </si>
  <si>
    <t>Maharashtra</t>
  </si>
  <si>
    <t>Kolkata Main</t>
  </si>
  <si>
    <t>2020-11-23</t>
  </si>
  <si>
    <t>App Only</t>
  </si>
  <si>
    <t>ACTIVE</t>
  </si>
  <si>
    <t>BYJ1004</t>
  </si>
  <si>
    <t>Rushil Saini</t>
  </si>
  <si>
    <t>Sultan Pur Majra</t>
  </si>
  <si>
    <t>Bengaluru South</t>
  </si>
  <si>
    <t>2016-02-05</t>
  </si>
  <si>
    <t>20+</t>
  </si>
  <si>
    <t>Adult Learners</t>
  </si>
  <si>
    <t>Non Premium Learner</t>
  </si>
  <si>
    <t>Web Only</t>
  </si>
  <si>
    <t>Active</t>
  </si>
  <si>
    <t>No</t>
  </si>
  <si>
    <t xml:space="preserve"> No</t>
  </si>
  <si>
    <t>BYJ1005</t>
  </si>
  <si>
    <t>Abeer Dutta</t>
  </si>
  <si>
    <t>Mau</t>
  </si>
  <si>
    <t>Telangana</t>
  </si>
  <si>
    <t>English</t>
  </si>
  <si>
    <t>Mumbai West</t>
  </si>
  <si>
    <t>2021</t>
  </si>
  <si>
    <t>Government Employee</t>
  </si>
  <si>
    <t>None</t>
  </si>
  <si>
    <t>yes</t>
  </si>
  <si>
    <t>BYJ1006</t>
  </si>
  <si>
    <t>Nachiket Kale</t>
  </si>
  <si>
    <t>M</t>
  </si>
  <si>
    <t>Kota</t>
  </si>
  <si>
    <t>Gujarat</t>
  </si>
  <si>
    <t>2023-02-08</t>
  </si>
  <si>
    <t>Salaried</t>
  </si>
  <si>
    <t>BYJ1007</t>
  </si>
  <si>
    <t>Lajita Chatterjee</t>
  </si>
  <si>
    <t>Male</t>
  </si>
  <si>
    <t>Hapur</t>
  </si>
  <si>
    <t>West Bengal</t>
  </si>
  <si>
    <t>NEET Prep</t>
  </si>
  <si>
    <t xml:space="preserve"> Active</t>
  </si>
  <si>
    <t xml:space="preserve"> Yes</t>
  </si>
  <si>
    <t>BYJ1008</t>
  </si>
  <si>
    <t>Caleb Sharaf</t>
  </si>
  <si>
    <t>male</t>
  </si>
  <si>
    <t>Burhanpur</t>
  </si>
  <si>
    <t>Rajasthan</t>
  </si>
  <si>
    <t>Delhi North</t>
  </si>
  <si>
    <t>Jan 2022</t>
  </si>
  <si>
    <t>Under 10</t>
  </si>
  <si>
    <t>NIL</t>
  </si>
  <si>
    <t>Yes</t>
  </si>
  <si>
    <t>BYJ1009</t>
  </si>
  <si>
    <t>Chaaya Pathak</t>
  </si>
  <si>
    <t>Coimbatore</t>
  </si>
  <si>
    <t>2017-11-28</t>
  </si>
  <si>
    <t>Self-Employed</t>
  </si>
  <si>
    <t>14-16</t>
  </si>
  <si>
    <t>Teens</t>
  </si>
  <si>
    <t>BYJ1010</t>
  </si>
  <si>
    <t>Vedant Mann</t>
  </si>
  <si>
    <t xml:space="preserve"> Male</t>
  </si>
  <si>
    <t>Muzaffarpur</t>
  </si>
  <si>
    <t>Kerala</t>
  </si>
  <si>
    <t>17-04-2024</t>
  </si>
  <si>
    <t>Y</t>
  </si>
  <si>
    <t>BYJ1011</t>
  </si>
  <si>
    <t>Lajita Mall</t>
  </si>
  <si>
    <t>Bharatpur</t>
  </si>
  <si>
    <t>Hyderabad Hub</t>
  </si>
  <si>
    <t>Feb 2016</t>
  </si>
  <si>
    <t>Homemaker</t>
  </si>
  <si>
    <t>CLOSED</t>
  </si>
  <si>
    <t>BYJ1012</t>
  </si>
  <si>
    <t>Kamala Pant</t>
  </si>
  <si>
    <t>Shimoga</t>
  </si>
  <si>
    <t>2022-10-24</t>
  </si>
  <si>
    <t>BYJ1013</t>
  </si>
  <si>
    <t>Onveer Walla</t>
  </si>
  <si>
    <t>Ujjain</t>
  </si>
  <si>
    <t>May 2017</t>
  </si>
  <si>
    <t>Closed</t>
  </si>
  <si>
    <t>BYJ1014</t>
  </si>
  <si>
    <t xml:space="preserve">  Ladli Madan  </t>
  </si>
  <si>
    <t>Anantapur</t>
  </si>
  <si>
    <t>Sep 2020</t>
  </si>
  <si>
    <t>BYJ1015</t>
  </si>
  <si>
    <t>Veer Balay</t>
  </si>
  <si>
    <t>Rewa</t>
  </si>
  <si>
    <t>2019-11-10</t>
  </si>
  <si>
    <t>17-19</t>
  </si>
  <si>
    <t>none</t>
  </si>
  <si>
    <t>BYJ1016</t>
  </si>
  <si>
    <t>Dominic Kakar</t>
  </si>
  <si>
    <t>Rajpur Sonarpur</t>
  </si>
  <si>
    <t>Ahmedabad Center</t>
  </si>
  <si>
    <t>Dec 2025</t>
  </si>
  <si>
    <t>BYJ1017</t>
  </si>
  <si>
    <t>Meghana Shanker</t>
  </si>
  <si>
    <t>Bilaspur</t>
  </si>
  <si>
    <t>2023-07-02</t>
  </si>
  <si>
    <t>closed</t>
  </si>
  <si>
    <t>BYJ1018</t>
  </si>
  <si>
    <t>Yatin Yohannan</t>
  </si>
  <si>
    <t>Bhimavaram</t>
  </si>
  <si>
    <t>Coding</t>
  </si>
  <si>
    <t>2025</t>
  </si>
  <si>
    <t>BYJ1019</t>
  </si>
  <si>
    <t>Mohini Pathak</t>
  </si>
  <si>
    <t>Durgapur</t>
  </si>
  <si>
    <t>Delhi</t>
  </si>
  <si>
    <t>Apr 2018</t>
  </si>
  <si>
    <t>BYJ1020</t>
  </si>
  <si>
    <t>Gavin Batta</t>
  </si>
  <si>
    <t>FEMALE</t>
  </si>
  <si>
    <t>Jamnagar</t>
  </si>
  <si>
    <t>Pune East</t>
  </si>
  <si>
    <t>22-07-2024</t>
  </si>
  <si>
    <t>BYJ1021</t>
  </si>
  <si>
    <t>Pahal Bhatt</t>
  </si>
  <si>
    <t xml:space="preserve"> Female</t>
  </si>
  <si>
    <t>Eluru</t>
  </si>
  <si>
    <t>Robotics</t>
  </si>
  <si>
    <t>28-08-2016</t>
  </si>
  <si>
    <t>BYJ1022</t>
  </si>
  <si>
    <t>Zayan Apte</t>
  </si>
  <si>
    <t>Jorhat</t>
  </si>
  <si>
    <t>Uttar Pradesh</t>
  </si>
  <si>
    <t>Jun 2024</t>
  </si>
  <si>
    <t>BYJ1023</t>
  </si>
  <si>
    <t>Harini Choudhury</t>
  </si>
  <si>
    <t>Female</t>
  </si>
  <si>
    <t>Raebareli</t>
  </si>
  <si>
    <t>JEE Prep</t>
  </si>
  <si>
    <t>2023</t>
  </si>
  <si>
    <t>BYJ1024</t>
  </si>
  <si>
    <t>Sudiksha Aggarwal</t>
  </si>
  <si>
    <t>Orai</t>
  </si>
  <si>
    <t>N/A</t>
  </si>
  <si>
    <t>BYJ1025</t>
  </si>
  <si>
    <t>Yashica Cherian</t>
  </si>
  <si>
    <t>Guna</t>
  </si>
  <si>
    <t>2024-04-21</t>
  </si>
  <si>
    <t>BYJ1026</t>
  </si>
  <si>
    <t>Michael Prakash</t>
  </si>
  <si>
    <t>Panvel</t>
  </si>
  <si>
    <t>2025-01-25</t>
  </si>
  <si>
    <t>BYJ1027</t>
  </si>
  <si>
    <t>Ekiya Suresh</t>
  </si>
  <si>
    <t>Gorakhpur</t>
  </si>
  <si>
    <t>BYJ1028</t>
  </si>
  <si>
    <t>Damyanti Khatri</t>
  </si>
  <si>
    <t>New Delhi</t>
  </si>
  <si>
    <t>23-08-2018</t>
  </si>
  <si>
    <t>BYJ1029</t>
  </si>
  <si>
    <t>Frederick Sunder</t>
  </si>
  <si>
    <t>Katihar</t>
  </si>
  <si>
    <t>15-07-2024</t>
  </si>
  <si>
    <t>BYJ1030</t>
  </si>
  <si>
    <t>Kabir Soman</t>
  </si>
  <si>
    <t>Science</t>
  </si>
  <si>
    <t>16-02-2018</t>
  </si>
  <si>
    <t>BYJ1031</t>
  </si>
  <si>
    <t>Siddharth Zacharia</t>
  </si>
  <si>
    <t>Bijapur</t>
  </si>
  <si>
    <t>12-05-2016</t>
  </si>
  <si>
    <t>BYJ1032</t>
  </si>
  <si>
    <t xml:space="preserve">  Kashvi Sarma  </t>
  </si>
  <si>
    <t>Jamshedpur</t>
  </si>
  <si>
    <t>28-08-2020</t>
  </si>
  <si>
    <t>BYJ1033</t>
  </si>
  <si>
    <t>Umang Bhatt</t>
  </si>
  <si>
    <t>Jaipur</t>
  </si>
  <si>
    <t>2016-10-12</t>
  </si>
  <si>
    <t>BYJ1034</t>
  </si>
  <si>
    <t>Thomas Amble</t>
  </si>
  <si>
    <t>Allahabad</t>
  </si>
  <si>
    <t>12-08-2017</t>
  </si>
  <si>
    <t>BYJ1035</t>
  </si>
  <si>
    <t xml:space="preserve">  Ekansh Balay  </t>
  </si>
  <si>
    <t>Madurai</t>
  </si>
  <si>
    <t>Nov 2021</t>
  </si>
  <si>
    <t>BYJ1036</t>
  </si>
  <si>
    <t>Arya Sunder</t>
  </si>
  <si>
    <t>02-01-2025</t>
  </si>
  <si>
    <t>BYJ1037</t>
  </si>
  <si>
    <t>Urvashi Kibe</t>
  </si>
  <si>
    <t>Vellore</t>
  </si>
  <si>
    <t>Chennai Central</t>
  </si>
  <si>
    <t>2018-05-02</t>
  </si>
  <si>
    <t>BYJ1038</t>
  </si>
  <si>
    <t>Girindra Chatterjee</t>
  </si>
  <si>
    <t>Raichur</t>
  </si>
  <si>
    <t>21-10-2020</t>
  </si>
  <si>
    <t>BYJ1039</t>
  </si>
  <si>
    <t>Nirja Sibal</t>
  </si>
  <si>
    <t>Navi Mumbai</t>
  </si>
  <si>
    <t>2017</t>
  </si>
  <si>
    <t>BYJ1040</t>
  </si>
  <si>
    <t>Neha Nori</t>
  </si>
  <si>
    <t>Kulti</t>
  </si>
  <si>
    <t>Apr 2025</t>
  </si>
  <si>
    <t>BYJ1041</t>
  </si>
  <si>
    <t>Ranveer Yadav</t>
  </si>
  <si>
    <t>Kolhapur</t>
  </si>
  <si>
    <t>06-06-2023</t>
  </si>
  <si>
    <t>BYJ1042</t>
  </si>
  <si>
    <t>Qadim Mallick</t>
  </si>
  <si>
    <t>2025-01-01</t>
  </si>
  <si>
    <t>BYJ1043</t>
  </si>
  <si>
    <t>Saanvi Chaudhari</t>
  </si>
  <si>
    <t>2022-01-11</t>
  </si>
  <si>
    <t>BYJ1044</t>
  </si>
  <si>
    <t>Girik Khalsa</t>
  </si>
  <si>
    <t>2018</t>
  </si>
  <si>
    <t>BYJ1045</t>
  </si>
  <si>
    <t>Vasana Kala</t>
  </si>
  <si>
    <t>27-06-2016</t>
  </si>
  <si>
    <t>BYJ1046</t>
  </si>
  <si>
    <t>Ladli Agate</t>
  </si>
  <si>
    <t>06-10-2024</t>
  </si>
  <si>
    <t>BYJ1047</t>
  </si>
  <si>
    <t>Bhavika Sampath</t>
  </si>
  <si>
    <t>Bhatpara</t>
  </si>
  <si>
    <t>26-11-2022</t>
  </si>
  <si>
    <t>BYJ1048</t>
  </si>
  <si>
    <t>Chaman Kalla</t>
  </si>
  <si>
    <t>Adoni</t>
  </si>
  <si>
    <t>2022-03-06</t>
  </si>
  <si>
    <t>BYJ1049</t>
  </si>
  <si>
    <t>Dipta Bhandari</t>
  </si>
  <si>
    <t>05-10-2019</t>
  </si>
  <si>
    <t>BYJ1050</t>
  </si>
  <si>
    <t>Yadavi Wali</t>
  </si>
  <si>
    <t>Howrah</t>
  </si>
  <si>
    <t>04-06-2016</t>
  </si>
  <si>
    <t>BYJ1051</t>
  </si>
  <si>
    <t>Quincy Biswas</t>
  </si>
  <si>
    <t>Noida</t>
  </si>
  <si>
    <t>2025-04-23</t>
  </si>
  <si>
    <t>BYJ1052</t>
  </si>
  <si>
    <t>Jagdish Koshy</t>
  </si>
  <si>
    <t>Udupi</t>
  </si>
  <si>
    <t>18-06-2016</t>
  </si>
  <si>
    <t>BYJ1053</t>
  </si>
  <si>
    <t>Oni Virk</t>
  </si>
  <si>
    <t>Bhilwara</t>
  </si>
  <si>
    <t>Jun 2017</t>
  </si>
  <si>
    <t>BYJ1054</t>
  </si>
  <si>
    <t>Dipta Khare</t>
  </si>
  <si>
    <t>Tenali</t>
  </si>
  <si>
    <t>14-10-2021</t>
  </si>
  <si>
    <t>BYJ1055</t>
  </si>
  <si>
    <t>Charita Shankar</t>
  </si>
  <si>
    <t>Srinagar</t>
  </si>
  <si>
    <t>2023-02-19</t>
  </si>
  <si>
    <t>BYJ1056</t>
  </si>
  <si>
    <t>Tara Chaudhry</t>
  </si>
  <si>
    <t>Siwan</t>
  </si>
  <si>
    <t>2018-12-23</t>
  </si>
  <si>
    <t>BYJ1057</t>
  </si>
  <si>
    <t>Yashawini Lanka</t>
  </si>
  <si>
    <t>Karnal</t>
  </si>
  <si>
    <t>2024-06-05</t>
  </si>
  <si>
    <t>BYJ1058</t>
  </si>
  <si>
    <t>Yash Pingle</t>
  </si>
  <si>
    <t>Sangli-Miraj &amp; Kupwad</t>
  </si>
  <si>
    <t>BYJ1059</t>
  </si>
  <si>
    <t xml:space="preserve">  Chasmum Wadhwa  </t>
  </si>
  <si>
    <t>Begusarai</t>
  </si>
  <si>
    <t>05-07-2021</t>
  </si>
  <si>
    <t>BYJ1060</t>
  </si>
  <si>
    <t>Hemang Desai</t>
  </si>
  <si>
    <t>Bhiwandi</t>
  </si>
  <si>
    <t>2019</t>
  </si>
  <si>
    <t>BYJ1061</t>
  </si>
  <si>
    <t xml:space="preserve">  Nachiket Magar  </t>
  </si>
  <si>
    <t>Mahbubnagar</t>
  </si>
  <si>
    <t>26-06-2022</t>
  </si>
  <si>
    <t>BYJ1062</t>
  </si>
  <si>
    <t>Hemal Jani</t>
  </si>
  <si>
    <t>19-07-2017</t>
  </si>
  <si>
    <t>BYJ1063</t>
  </si>
  <si>
    <t>Zayan Behl</t>
  </si>
  <si>
    <t>Bhusawal</t>
  </si>
  <si>
    <t>BYJ1064</t>
  </si>
  <si>
    <t>Chaitanya Aggarwal</t>
  </si>
  <si>
    <t>Bikaner</t>
  </si>
  <si>
    <t>26-09-2021</t>
  </si>
  <si>
    <t>BYJ1065</t>
  </si>
  <si>
    <t>Neel Sathe</t>
  </si>
  <si>
    <t>Kishanganj</t>
  </si>
  <si>
    <t>2016-11-17</t>
  </si>
  <si>
    <t>BYJ1066</t>
  </si>
  <si>
    <t>Isaac Borra</t>
  </si>
  <si>
    <t>Bongaigaon</t>
  </si>
  <si>
    <t>Jan 2018</t>
  </si>
  <si>
    <t>BYJ1067</t>
  </si>
  <si>
    <t>Kala Divan</t>
  </si>
  <si>
    <t>Warangal</t>
  </si>
  <si>
    <t>Nov 2025</t>
  </si>
  <si>
    <t>BYJ1068</t>
  </si>
  <si>
    <t xml:space="preserve">  Darika Patla  </t>
  </si>
  <si>
    <t>Secunderabad</t>
  </si>
  <si>
    <t>2021-10-08</t>
  </si>
  <si>
    <t>BYJ1069</t>
  </si>
  <si>
    <t>Zaid Chauhan</t>
  </si>
  <si>
    <t>Karaikudi</t>
  </si>
  <si>
    <t>Dec 2019</t>
  </si>
  <si>
    <t>BYJ1070</t>
  </si>
  <si>
    <t>Mohammed Khalsa</t>
  </si>
  <si>
    <t xml:space="preserve"> Belgaum</t>
  </si>
  <si>
    <t>Jun 2022</t>
  </si>
  <si>
    <t>BYJ1071</t>
  </si>
  <si>
    <t>Aryan Gola</t>
  </si>
  <si>
    <t>Bulandshahr</t>
  </si>
  <si>
    <t>2025-01-08</t>
  </si>
  <si>
    <t>BYJ1072</t>
  </si>
  <si>
    <t>Amara Dutta</t>
  </si>
  <si>
    <t>2020-05-02</t>
  </si>
  <si>
    <t>BYJ1073</t>
  </si>
  <si>
    <t>Upma Kapadia</t>
  </si>
  <si>
    <t>Jaunpur</t>
  </si>
  <si>
    <t>2020</t>
  </si>
  <si>
    <t>BYJ1074</t>
  </si>
  <si>
    <t xml:space="preserve">  Dalaja Kari  </t>
  </si>
  <si>
    <t>Nagpur</t>
  </si>
  <si>
    <t>25-06-2024</t>
  </si>
  <si>
    <t>BYJ1075</t>
  </si>
  <si>
    <t>Mohini Narasimhan</t>
  </si>
  <si>
    <t>18-08-2019</t>
  </si>
  <si>
    <t>BYJ1076</t>
  </si>
  <si>
    <t>Indali Upadhyay</t>
  </si>
  <si>
    <t>Aug 2025</t>
  </si>
  <si>
    <t>BYJ1077</t>
  </si>
  <si>
    <t>Ayaan D’Alia</t>
  </si>
  <si>
    <t>Mangalore</t>
  </si>
  <si>
    <t>BYJ1078</t>
  </si>
  <si>
    <t>Balvan Chopra</t>
  </si>
  <si>
    <t>Mar 2025</t>
  </si>
  <si>
    <t>BYJ1079</t>
  </si>
  <si>
    <t>Rajata Vaidya</t>
  </si>
  <si>
    <t>Kharagpur</t>
  </si>
  <si>
    <t>Sep 2021</t>
  </si>
  <si>
    <t>BYJ1080</t>
  </si>
  <si>
    <t>Aachal Basu</t>
  </si>
  <si>
    <t>Mumbai</t>
  </si>
  <si>
    <t>2024</t>
  </si>
  <si>
    <t>BYJ1081</t>
  </si>
  <si>
    <t>Januja Sankar</t>
  </si>
  <si>
    <t>Bathinda</t>
  </si>
  <si>
    <t>BYJ1082</t>
  </si>
  <si>
    <t>Jeet Mital</t>
  </si>
  <si>
    <t>Alappuzha</t>
  </si>
  <si>
    <t>2022-06-04</t>
  </si>
  <si>
    <t>BYJ1083</t>
  </si>
  <si>
    <t>Neha Merchant</t>
  </si>
  <si>
    <t>Nellore</t>
  </si>
  <si>
    <t>2016</t>
  </si>
  <si>
    <t>BYJ1084</t>
  </si>
  <si>
    <t>Ladli Ghosh</t>
  </si>
  <si>
    <t>Machilipatnam</t>
  </si>
  <si>
    <t>04-08-2016</t>
  </si>
  <si>
    <t>BYJ1085</t>
  </si>
  <si>
    <t>Daksha Mangat</t>
  </si>
  <si>
    <t>Chinsurah</t>
  </si>
  <si>
    <t>2024-07-15</t>
  </si>
  <si>
    <t>BYJ1086</t>
  </si>
  <si>
    <t>Udyati Sathe</t>
  </si>
  <si>
    <t>Kakinada</t>
  </si>
  <si>
    <t>04-10-2022</t>
  </si>
  <si>
    <t>BYJ1087</t>
  </si>
  <si>
    <t>Omkaar Chad</t>
  </si>
  <si>
    <t>Kottayam</t>
  </si>
  <si>
    <t>BYJ1088</t>
  </si>
  <si>
    <t>Girik Keer</t>
  </si>
  <si>
    <t>Kamarhati</t>
  </si>
  <si>
    <t>25-05-2017</t>
  </si>
  <si>
    <t>BYJ1089</t>
  </si>
  <si>
    <t>Manan Bakshi</t>
  </si>
  <si>
    <t>Sambalpur</t>
  </si>
  <si>
    <t>19-01-2019</t>
  </si>
  <si>
    <t>BYJ1090</t>
  </si>
  <si>
    <t>Elijah Shah</t>
  </si>
  <si>
    <t>Ramgarh</t>
  </si>
  <si>
    <t>BYJ1091</t>
  </si>
  <si>
    <t>Leena Talwar</t>
  </si>
  <si>
    <t>Latur</t>
  </si>
  <si>
    <t>Jan 2016</t>
  </si>
  <si>
    <t>BYJ1092</t>
  </si>
  <si>
    <t>Abdul Chhabra</t>
  </si>
  <si>
    <t>Muzaffarnagar</t>
  </si>
  <si>
    <t>2023-02-05</t>
  </si>
  <si>
    <t>BYJ1093</t>
  </si>
  <si>
    <t>Zarna Shetty</t>
  </si>
  <si>
    <t>Proddatur</t>
  </si>
  <si>
    <t>2021-12-07</t>
  </si>
  <si>
    <t>BYJ1094</t>
  </si>
  <si>
    <t>Jairaj Shan</t>
  </si>
  <si>
    <t>Madhyamgram</t>
  </si>
  <si>
    <t>2020-11-02</t>
  </si>
  <si>
    <t>BYJ1095</t>
  </si>
  <si>
    <t xml:space="preserve">  Saanvi Thaman  </t>
  </si>
  <si>
    <t>Motihari</t>
  </si>
  <si>
    <t>2022-02-21</t>
  </si>
  <si>
    <t>BYJ1096</t>
  </si>
  <si>
    <t>Nathan Soman</t>
  </si>
  <si>
    <t>Rampur</t>
  </si>
  <si>
    <t>17-09-2021</t>
  </si>
  <si>
    <t>BYJ1097</t>
  </si>
  <si>
    <t>Aradhana Verma</t>
  </si>
  <si>
    <t>Mathura</t>
  </si>
  <si>
    <t>BYJ1098</t>
  </si>
  <si>
    <t>Ria Brahmbhatt</t>
  </si>
  <si>
    <t>Feb 2021</t>
  </si>
  <si>
    <t>BYJ1099</t>
  </si>
  <si>
    <t>Gautami Nagarajan</t>
  </si>
  <si>
    <t>23-03-2016</t>
  </si>
  <si>
    <t>BYJ1100</t>
  </si>
  <si>
    <t>Vihaan Rajagopal</t>
  </si>
  <si>
    <t>2018-10-04</t>
  </si>
  <si>
    <t>BYJ1101</t>
  </si>
  <si>
    <t>Oeshi Reddy</t>
  </si>
  <si>
    <t>Hosur</t>
  </si>
  <si>
    <t>2023-09-24</t>
  </si>
  <si>
    <t>BYJ1102</t>
  </si>
  <si>
    <t>Ojasvi Bhatia</t>
  </si>
  <si>
    <t xml:space="preserve"> Bidar</t>
  </si>
  <si>
    <t>Jul 2025</t>
  </si>
  <si>
    <t>BYJ1103</t>
  </si>
  <si>
    <t>Anmol Rai</t>
  </si>
  <si>
    <t>Chennai</t>
  </si>
  <si>
    <t>12-08-2024</t>
  </si>
  <si>
    <t>BYJ1104</t>
  </si>
  <si>
    <t>Chanchal Ramakrishnan</t>
  </si>
  <si>
    <t>26-06-2025</t>
  </si>
  <si>
    <t>BYJ1105</t>
  </si>
  <si>
    <t xml:space="preserve">  Vinaya Kanda  </t>
  </si>
  <si>
    <t>Junagadh</t>
  </si>
  <si>
    <t>2018-10-23</t>
  </si>
  <si>
    <t>BYJ1106</t>
  </si>
  <si>
    <t>Ayush Ramachandran</t>
  </si>
  <si>
    <t>Dec 2016</t>
  </si>
  <si>
    <t>BYJ1107</t>
  </si>
  <si>
    <t>Unni Datta</t>
  </si>
  <si>
    <t xml:space="preserve"> Singrauli</t>
  </si>
  <si>
    <t>13-08-2022</t>
  </si>
  <si>
    <t>BYJ1108</t>
  </si>
  <si>
    <t>Fiyaz Sangha</t>
  </si>
  <si>
    <t>Surendranagar Dudhrej</t>
  </si>
  <si>
    <t>2018-10-14</t>
  </si>
  <si>
    <t>BYJ1109</t>
  </si>
  <si>
    <t>Chandresh Lad</t>
  </si>
  <si>
    <t>Khammam</t>
  </si>
  <si>
    <t>BYJ1110</t>
  </si>
  <si>
    <t>Suhani Narain</t>
  </si>
  <si>
    <t>Nadiad</t>
  </si>
  <si>
    <t>Jul 2016</t>
  </si>
  <si>
    <t>BYJ1111</t>
  </si>
  <si>
    <t>Oviya Krishnan</t>
  </si>
  <si>
    <t>Nandyal</t>
  </si>
  <si>
    <t>Feb 2017</t>
  </si>
  <si>
    <t>BYJ1112</t>
  </si>
  <si>
    <t>Charles Palla</t>
  </si>
  <si>
    <t>BYJ1113</t>
  </si>
  <si>
    <t>Azaan Kota</t>
  </si>
  <si>
    <t>2021-01-17</t>
  </si>
  <si>
    <t>BYJ1114</t>
  </si>
  <si>
    <t>William Date</t>
  </si>
  <si>
    <t>Raipur</t>
  </si>
  <si>
    <t>12-09-2025</t>
  </si>
  <si>
    <t>BYJ1115</t>
  </si>
  <si>
    <t>Udyati Kunda</t>
  </si>
  <si>
    <t>Rourkela</t>
  </si>
  <si>
    <t>15-06-2022</t>
  </si>
  <si>
    <t>BYJ1116</t>
  </si>
  <si>
    <t>Nihal Mukhopadhyay</t>
  </si>
  <si>
    <t>2022-11-11</t>
  </si>
  <si>
    <t>BYJ1117</t>
  </si>
  <si>
    <t>Devika Prashad</t>
  </si>
  <si>
    <t>Davanagere</t>
  </si>
  <si>
    <t>2017-04-12</t>
  </si>
  <si>
    <t>BYJ1118</t>
  </si>
  <si>
    <t>Xavier Chaudry</t>
  </si>
  <si>
    <t>Ghaziabad</t>
  </si>
  <si>
    <t>BYJ1119</t>
  </si>
  <si>
    <t>Benjamin Palan</t>
  </si>
  <si>
    <t>Uluberia</t>
  </si>
  <si>
    <t>BYJ1120</t>
  </si>
  <si>
    <t>Yashawini Om</t>
  </si>
  <si>
    <t>Bidar</t>
  </si>
  <si>
    <t>BYJ1121</t>
  </si>
  <si>
    <t>Hitesh Sant</t>
  </si>
  <si>
    <t>BYJ1122</t>
  </si>
  <si>
    <t>Radhika Goda</t>
  </si>
  <si>
    <t>Tadepalligudem</t>
  </si>
  <si>
    <t>BYJ1123</t>
  </si>
  <si>
    <t>Udyati Sarin</t>
  </si>
  <si>
    <t>North Dumdum</t>
  </si>
  <si>
    <t>Aug 2022</t>
  </si>
  <si>
    <t>BYJ1124</t>
  </si>
  <si>
    <t>Gabriel Mallick</t>
  </si>
  <si>
    <t>21-05-2017</t>
  </si>
  <si>
    <t>BYJ1125</t>
  </si>
  <si>
    <t>Ladli Nayar</t>
  </si>
  <si>
    <t>Shimla</t>
  </si>
  <si>
    <t>Feb 2018</t>
  </si>
  <si>
    <t>BYJ1126</t>
  </si>
  <si>
    <t>Qabil Sura</t>
  </si>
  <si>
    <t xml:space="preserve"> Raichur</t>
  </si>
  <si>
    <t>21-10-2025</t>
  </si>
  <si>
    <t>BYJ1127</t>
  </si>
  <si>
    <t>Harini Mammen</t>
  </si>
  <si>
    <t xml:space="preserve"> Miryalaguda</t>
  </si>
  <si>
    <t>2022-02-09</t>
  </si>
  <si>
    <t>BYJ1128</t>
  </si>
  <si>
    <t>Zansi Halder</t>
  </si>
  <si>
    <t>22-07-2017</t>
  </si>
  <si>
    <t>BYJ1129</t>
  </si>
  <si>
    <t>Vrinda Khosla</t>
  </si>
  <si>
    <t>Pallavaram</t>
  </si>
  <si>
    <t>Aug 2024</t>
  </si>
  <si>
    <t>BYJ1130</t>
  </si>
  <si>
    <t>Anay Chander</t>
  </si>
  <si>
    <t>Korba</t>
  </si>
  <si>
    <t>17-04-2022</t>
  </si>
  <si>
    <t>BYJ1131</t>
  </si>
  <si>
    <t>Yagnesh Mohan</t>
  </si>
  <si>
    <t>Bhalswa Jahangir Pur</t>
  </si>
  <si>
    <t>2024-05-05</t>
  </si>
  <si>
    <t>BYJ1132</t>
  </si>
  <si>
    <t>Pavani Narayanan</t>
  </si>
  <si>
    <t>Malda</t>
  </si>
  <si>
    <t>May 2021</t>
  </si>
  <si>
    <t>BYJ1133</t>
  </si>
  <si>
    <t xml:space="preserve">  Damini Krishnamurthy  </t>
  </si>
  <si>
    <t xml:space="preserve"> Jamshedpur</t>
  </si>
  <si>
    <t>BYJ1134</t>
  </si>
  <si>
    <t>Diya Dar</t>
  </si>
  <si>
    <t>BYJ1135</t>
  </si>
  <si>
    <t xml:space="preserve">  Veda Malhotra  </t>
  </si>
  <si>
    <t>Salem</t>
  </si>
  <si>
    <t>26-11-2020</t>
  </si>
  <si>
    <t>BYJ1136</t>
  </si>
  <si>
    <t>Chaman Karan</t>
  </si>
  <si>
    <t>BYJ1137</t>
  </si>
  <si>
    <t>Akshay Walla</t>
  </si>
  <si>
    <t>Panipat</t>
  </si>
  <si>
    <t>22-03-2021</t>
  </si>
  <si>
    <t>BYJ1138</t>
  </si>
  <si>
    <t>Chatura Master</t>
  </si>
  <si>
    <t>08-07-2021</t>
  </si>
  <si>
    <t>BYJ1139</t>
  </si>
  <si>
    <t>Advik Mane</t>
  </si>
  <si>
    <t>Nangloi Jat</t>
  </si>
  <si>
    <t>BYJ1140</t>
  </si>
  <si>
    <t>Harini Gour</t>
  </si>
  <si>
    <t>Nizamabad</t>
  </si>
  <si>
    <t>21-09-2017</t>
  </si>
  <si>
    <t>BYJ1141</t>
  </si>
  <si>
    <t>Ishaan Bhattacharyya</t>
  </si>
  <si>
    <t>BYJ1142</t>
  </si>
  <si>
    <t xml:space="preserve">  Chatresh Doshi  </t>
  </si>
  <si>
    <t>Phusro</t>
  </si>
  <si>
    <t>Feb 2025</t>
  </si>
  <si>
    <t>BYJ1143</t>
  </si>
  <si>
    <t>Frederick Kothari</t>
  </si>
  <si>
    <t>2018-05-16</t>
  </si>
  <si>
    <t>BYJ1144</t>
  </si>
  <si>
    <t>Upkaar Virk</t>
  </si>
  <si>
    <t>Hospet</t>
  </si>
  <si>
    <t>Sep 2022</t>
  </si>
  <si>
    <t>BYJ1145</t>
  </si>
  <si>
    <t>Chameli Sanghvi</t>
  </si>
  <si>
    <t>Jehanabad</t>
  </si>
  <si>
    <t>BYJ1146</t>
  </si>
  <si>
    <t xml:space="preserve">  Hardik Johal  </t>
  </si>
  <si>
    <t>03-03-2016</t>
  </si>
  <si>
    <t>BYJ1147</t>
  </si>
  <si>
    <t>Naksh Khatri</t>
  </si>
  <si>
    <t>Suryapet</t>
  </si>
  <si>
    <t>18-05-2024</t>
  </si>
  <si>
    <t>BYJ1148</t>
  </si>
  <si>
    <t>Naksh Agate</t>
  </si>
  <si>
    <t>11-08-2018</t>
  </si>
  <si>
    <t>BYJ1149</t>
  </si>
  <si>
    <t>Bishakha Bali</t>
  </si>
  <si>
    <t>Tumkur</t>
  </si>
  <si>
    <t>19-08-2021</t>
  </si>
  <si>
    <t>BYJ1150</t>
  </si>
  <si>
    <t>Sudiksha Bobal</t>
  </si>
  <si>
    <t>18-03-2020</t>
  </si>
  <si>
    <t>BYJ1151</t>
  </si>
  <si>
    <t>Pavani Contractor</t>
  </si>
  <si>
    <t>Jalgaon</t>
  </si>
  <si>
    <t>Dec 2024</t>
  </si>
  <si>
    <t>BYJ1152</t>
  </si>
  <si>
    <t>Lucky Bora</t>
  </si>
  <si>
    <t>Dehradun</t>
  </si>
  <si>
    <t>Jun 2021</t>
  </si>
  <si>
    <t>BYJ1153</t>
  </si>
  <si>
    <t>Bhavya Sarna</t>
  </si>
  <si>
    <t>Bhind</t>
  </si>
  <si>
    <t>BYJ1154</t>
  </si>
  <si>
    <t>Neha Magar</t>
  </si>
  <si>
    <t>Bahraich</t>
  </si>
  <si>
    <t>BYJ1155</t>
  </si>
  <si>
    <t>Balveer Sankaran</t>
  </si>
  <si>
    <t>BYJ1156</t>
  </si>
  <si>
    <t>Atharv Chand</t>
  </si>
  <si>
    <t>2019-02-06</t>
  </si>
  <si>
    <t>BYJ1157</t>
  </si>
  <si>
    <t xml:space="preserve">  Amruta Baria  </t>
  </si>
  <si>
    <t>02-03-2017</t>
  </si>
  <si>
    <t>BYJ1158</t>
  </si>
  <si>
    <t>Arunima Golla</t>
  </si>
  <si>
    <t>2023-11-10</t>
  </si>
  <si>
    <t>BYJ1159</t>
  </si>
  <si>
    <t>Upma Pall</t>
  </si>
  <si>
    <t>Thoothukudi</t>
  </si>
  <si>
    <t>11-04-2023</t>
  </si>
  <si>
    <t>BYJ1160</t>
  </si>
  <si>
    <t>Henry Dyal</t>
  </si>
  <si>
    <t>BYJ1161</t>
  </si>
  <si>
    <t>Bhavya Rattan</t>
  </si>
  <si>
    <t>Oct 2016</t>
  </si>
  <si>
    <t>BYJ1162</t>
  </si>
  <si>
    <t>Divya Krishnan</t>
  </si>
  <si>
    <t>2019-09-13</t>
  </si>
  <si>
    <t>BYJ1163</t>
  </si>
  <si>
    <t>Yoshita Agarwal</t>
  </si>
  <si>
    <t>Haridwar</t>
  </si>
  <si>
    <t>14-11-2022</t>
  </si>
  <si>
    <t>BYJ1164</t>
  </si>
  <si>
    <t>Raghav Vasa</t>
  </si>
  <si>
    <t xml:space="preserve"> Panchkula</t>
  </si>
  <si>
    <t>2020-06-19</t>
  </si>
  <si>
    <t>BYJ1165</t>
  </si>
  <si>
    <t>Charan Jani</t>
  </si>
  <si>
    <t>Jamalpur</t>
  </si>
  <si>
    <t>BYJ1166</t>
  </si>
  <si>
    <t>Bhavna Sarma</t>
  </si>
  <si>
    <t>Bhilai</t>
  </si>
  <si>
    <t>2018-08-18</t>
  </si>
  <si>
    <t>BYJ1167</t>
  </si>
  <si>
    <t>Wriddhish Dutt</t>
  </si>
  <si>
    <t>2018-08-02</t>
  </si>
  <si>
    <t>BYJ1168</t>
  </si>
  <si>
    <t>Nikita Chander</t>
  </si>
  <si>
    <t>BYJ1169</t>
  </si>
  <si>
    <t>Jacob Dube</t>
  </si>
  <si>
    <t>Jalna</t>
  </si>
  <si>
    <t>BYJ1170</t>
  </si>
  <si>
    <t>Ojasvi Subramanian</t>
  </si>
  <si>
    <t>Oct 2019</t>
  </si>
  <si>
    <t>BYJ1171</t>
  </si>
  <si>
    <t>Maanav Rajagopal</t>
  </si>
  <si>
    <t xml:space="preserve">Khora </t>
  </si>
  <si>
    <t>24-08-2020</t>
  </si>
  <si>
    <t>BYJ1172</t>
  </si>
  <si>
    <t>Ekaraj Majumdar</t>
  </si>
  <si>
    <t>BYJ1173</t>
  </si>
  <si>
    <t>Aarnav Mandal</t>
  </si>
  <si>
    <t>Dharmavaram</t>
  </si>
  <si>
    <t>BYJ1174</t>
  </si>
  <si>
    <t>Manthan Sekhon</t>
  </si>
  <si>
    <t>2023-10-23</t>
  </si>
  <si>
    <t>BYJ1175</t>
  </si>
  <si>
    <t>Krishna Shah</t>
  </si>
  <si>
    <t>Maheshtala</t>
  </si>
  <si>
    <t>Dec 2020</t>
  </si>
  <si>
    <t>BYJ1176</t>
  </si>
  <si>
    <t xml:space="preserve">  Leela Kaur  </t>
  </si>
  <si>
    <t>Varanasi</t>
  </si>
  <si>
    <t>21-01-2018</t>
  </si>
  <si>
    <t>BYJ1177</t>
  </si>
  <si>
    <t>Urvashi Raj</t>
  </si>
  <si>
    <t>Saharanpur</t>
  </si>
  <si>
    <t>Jun 2020</t>
  </si>
  <si>
    <t>BYJ1178</t>
  </si>
  <si>
    <t>Balhaar Date</t>
  </si>
  <si>
    <t>BYJ1179</t>
  </si>
  <si>
    <t>Harish Vora</t>
  </si>
  <si>
    <t>Kanpur</t>
  </si>
  <si>
    <t>Nov 2016</t>
  </si>
  <si>
    <t>BYJ1180</t>
  </si>
  <si>
    <t>Nimrat Dubey</t>
  </si>
  <si>
    <t>02-12-2021</t>
  </si>
  <si>
    <t>BYJ1181</t>
  </si>
  <si>
    <t>Hamsini Rao</t>
  </si>
  <si>
    <t>Ozhukarai</t>
  </si>
  <si>
    <t>BYJ1182</t>
  </si>
  <si>
    <t>Edhitha Sura</t>
  </si>
  <si>
    <t>Tadipatri</t>
  </si>
  <si>
    <t>2024-09-04</t>
  </si>
  <si>
    <t>BYJ1183</t>
  </si>
  <si>
    <t>Wahab Mani</t>
  </si>
  <si>
    <t>Mysore</t>
  </si>
  <si>
    <t>2017-08-19</t>
  </si>
  <si>
    <t>BYJ1184</t>
  </si>
  <si>
    <t>Guneet Chaudhry</t>
  </si>
  <si>
    <t>2020-06-20</t>
  </si>
  <si>
    <t>BYJ1185</t>
  </si>
  <si>
    <t>Ayush Batra</t>
  </si>
  <si>
    <t>Pimpri-Chinchwad</t>
  </si>
  <si>
    <t>Feb 2023</t>
  </si>
  <si>
    <t>BYJ1186</t>
  </si>
  <si>
    <t>Jagrati Prasad</t>
  </si>
  <si>
    <t>Ulhasnagar</t>
  </si>
  <si>
    <t>2025-08-07</t>
  </si>
  <si>
    <t>BYJ1187</t>
  </si>
  <si>
    <t>Nisha Gole</t>
  </si>
  <si>
    <t>Akola</t>
  </si>
  <si>
    <t>21-07-2025</t>
  </si>
  <si>
    <t>BYJ1188</t>
  </si>
  <si>
    <t>Lavanya Khosla</t>
  </si>
  <si>
    <t>Ballia</t>
  </si>
  <si>
    <t>Oct 2022</t>
  </si>
  <si>
    <t>BYJ1189</t>
  </si>
  <si>
    <t>Vincent Shenoy</t>
  </si>
  <si>
    <t>BYJ1190</t>
  </si>
  <si>
    <t>Aditya Shroff</t>
  </si>
  <si>
    <t>BYJ1191</t>
  </si>
  <si>
    <t>Ethan Sathe</t>
  </si>
  <si>
    <t>Jul 2022</t>
  </si>
  <si>
    <t>BYJ1192</t>
  </si>
  <si>
    <t>Panini Krishna</t>
  </si>
  <si>
    <t>Barasat</t>
  </si>
  <si>
    <t>Nov 2024</t>
  </si>
  <si>
    <t>BYJ1193</t>
  </si>
  <si>
    <t xml:space="preserve">  Leena Subramanian  </t>
  </si>
  <si>
    <t>Patiala</t>
  </si>
  <si>
    <t>BYJ1194</t>
  </si>
  <si>
    <t>Jagrati Merchant</t>
  </si>
  <si>
    <t>Lucknow</t>
  </si>
  <si>
    <t>BYJ1195</t>
  </si>
  <si>
    <t>Anvi Anand</t>
  </si>
  <si>
    <t xml:space="preserve"> Medininagar</t>
  </si>
  <si>
    <t>13-11-2016</t>
  </si>
  <si>
    <t>BYJ1196</t>
  </si>
  <si>
    <t>Bhavini Karpe</t>
  </si>
  <si>
    <t>2020-11-07</t>
  </si>
  <si>
    <t>BYJ1197</t>
  </si>
  <si>
    <t>Zashil Devan</t>
  </si>
  <si>
    <t xml:space="preserve"> Thane</t>
  </si>
  <si>
    <t>Feb 2022</t>
  </si>
  <si>
    <t>BYJ1198</t>
  </si>
  <si>
    <t>Ridhi Bandi</t>
  </si>
  <si>
    <t>Mira-Bhayandar</t>
  </si>
  <si>
    <t>2017-08-20</t>
  </si>
  <si>
    <t>BYJ1199</t>
  </si>
  <si>
    <t>Chakrika Narain</t>
  </si>
  <si>
    <t>Nov 2017</t>
  </si>
  <si>
    <t>BYJ1200</t>
  </si>
  <si>
    <t>Kevin Zacharia</t>
  </si>
  <si>
    <t>Bettiah</t>
  </si>
  <si>
    <t>2016-09-08</t>
  </si>
  <si>
    <t>BYJ1201</t>
  </si>
  <si>
    <t xml:space="preserve">  Nitesh Kurian  </t>
  </si>
  <si>
    <t>Sagar</t>
  </si>
  <si>
    <t>2017-12-02</t>
  </si>
  <si>
    <t>BYJ1202</t>
  </si>
  <si>
    <t>Ishwar Sidhu</t>
  </si>
  <si>
    <t>Ajmer</t>
  </si>
  <si>
    <t>13-03-2023</t>
  </si>
  <si>
    <t>BYJ1203</t>
  </si>
  <si>
    <t>Mekhala Pau</t>
  </si>
  <si>
    <t>2024-08-28</t>
  </si>
  <si>
    <t>BYJ1204</t>
  </si>
  <si>
    <t>Aishani Yadav</t>
  </si>
  <si>
    <t>12-03-2019</t>
  </si>
  <si>
    <t>BYJ1205</t>
  </si>
  <si>
    <t xml:space="preserve">  Adweta Raj  </t>
  </si>
  <si>
    <t>Moradabad</t>
  </si>
  <si>
    <t>BYJ1206</t>
  </si>
  <si>
    <t>Urishilla Bakshi</t>
  </si>
  <si>
    <t>Phagwara</t>
  </si>
  <si>
    <t>12-02-2016</t>
  </si>
  <si>
    <t>BYJ1207</t>
  </si>
  <si>
    <t>Dev Shetty</t>
  </si>
  <si>
    <t>BYJ1208</t>
  </si>
  <si>
    <t>Logan Bath</t>
  </si>
  <si>
    <t>Avadi</t>
  </si>
  <si>
    <t>12-08-2019</t>
  </si>
  <si>
    <t>BYJ1209</t>
  </si>
  <si>
    <t>Jack Chatterjee</t>
  </si>
  <si>
    <t>Feb 2020</t>
  </si>
  <si>
    <t>BYJ1210</t>
  </si>
  <si>
    <t>Lipika Setty</t>
  </si>
  <si>
    <t>2017-06-02</t>
  </si>
  <si>
    <t>BYJ1211</t>
  </si>
  <si>
    <t>Mohammed Sachdeva</t>
  </si>
  <si>
    <t>Unnao</t>
  </si>
  <si>
    <t>2022-08-10</t>
  </si>
  <si>
    <t>BYJ1212</t>
  </si>
  <si>
    <t>Ati Bali</t>
  </si>
  <si>
    <t>Bellary</t>
  </si>
  <si>
    <t>Oct 2020</t>
  </si>
  <si>
    <t>BYJ1213</t>
  </si>
  <si>
    <t xml:space="preserve">  Sai Keer  </t>
  </si>
  <si>
    <t>BYJ1214</t>
  </si>
  <si>
    <t>Jagrati Bhat</t>
  </si>
  <si>
    <t>Bally</t>
  </si>
  <si>
    <t>17-03-2016</t>
  </si>
  <si>
    <t>BYJ1215</t>
  </si>
  <si>
    <t>Jason Sha</t>
  </si>
  <si>
    <t>BYJ1216</t>
  </si>
  <si>
    <t>Chandresh Nath</t>
  </si>
  <si>
    <t>Cuttack</t>
  </si>
  <si>
    <t>2025-04-19</t>
  </si>
  <si>
    <t>BYJ1217</t>
  </si>
  <si>
    <t>Ekapad Johal</t>
  </si>
  <si>
    <t>BYJ1218</t>
  </si>
  <si>
    <t>Manbir Agate</t>
  </si>
  <si>
    <t>22-08-2017</t>
  </si>
  <si>
    <t>BYJ1219</t>
  </si>
  <si>
    <t>Zashil Ghosh</t>
  </si>
  <si>
    <t>Indore</t>
  </si>
  <si>
    <t>Aug 2021</t>
  </si>
  <si>
    <t>BYJ1220</t>
  </si>
  <si>
    <t>Alexander Parmar</t>
  </si>
  <si>
    <t>Giridih</t>
  </si>
  <si>
    <t>17-08-2023</t>
  </si>
  <si>
    <t>BYJ1221</t>
  </si>
  <si>
    <t>Amol Ghosh</t>
  </si>
  <si>
    <t>Faridabad</t>
  </si>
  <si>
    <t>BYJ1222</t>
  </si>
  <si>
    <t>Oviya Vora</t>
  </si>
  <si>
    <t>Rajkot</t>
  </si>
  <si>
    <t>08-04-2019</t>
  </si>
  <si>
    <t>BYJ1223</t>
  </si>
  <si>
    <t>Saumya Pathak</t>
  </si>
  <si>
    <t>Bidhannagar</t>
  </si>
  <si>
    <t>May 2025</t>
  </si>
  <si>
    <t>BYJ1224</t>
  </si>
  <si>
    <t>Caleb Verma</t>
  </si>
  <si>
    <t>Berhampore</t>
  </si>
  <si>
    <t>BYJ1225</t>
  </si>
  <si>
    <t>Darsh Srinivas</t>
  </si>
  <si>
    <t>Purnia</t>
  </si>
  <si>
    <t>2020-05-21</t>
  </si>
  <si>
    <t>BYJ1226</t>
  </si>
  <si>
    <t>Vritti Sawhney</t>
  </si>
  <si>
    <t>Jodhpur</t>
  </si>
  <si>
    <t>20-06-2017</t>
  </si>
  <si>
    <t>BYJ1227</t>
  </si>
  <si>
    <t>Manbir Bhatti</t>
  </si>
  <si>
    <t>BYJ1228</t>
  </si>
  <si>
    <t>Lakshmi Wali</t>
  </si>
  <si>
    <t>Apr 2024</t>
  </si>
  <si>
    <t>BYJ1229</t>
  </si>
  <si>
    <t>Hardik Contractor</t>
  </si>
  <si>
    <t>24-10-2022</t>
  </si>
  <si>
    <t>BYJ1230</t>
  </si>
  <si>
    <t>Vedant Sachdev</t>
  </si>
  <si>
    <t>14-02-2019</t>
  </si>
  <si>
    <t>BYJ1231</t>
  </si>
  <si>
    <t>Ojasvi Chandran</t>
  </si>
  <si>
    <t>BYJ1232</t>
  </si>
  <si>
    <t>Aadhya Prasad</t>
  </si>
  <si>
    <t>28-03-2023</t>
  </si>
  <si>
    <t>BYJ1233</t>
  </si>
  <si>
    <t>Gavin Chada</t>
  </si>
  <si>
    <t xml:space="preserve"> Bhiwani</t>
  </si>
  <si>
    <t>BYJ1234</t>
  </si>
  <si>
    <t>Kashish De</t>
  </si>
  <si>
    <t>2016-08-09</t>
  </si>
  <si>
    <t>BYJ1235</t>
  </si>
  <si>
    <t>Jason Roy</t>
  </si>
  <si>
    <t>BYJ1236</t>
  </si>
  <si>
    <t>Bhavna Muni</t>
  </si>
  <si>
    <t>Vasai-Virar</t>
  </si>
  <si>
    <t>Sep 2017</t>
  </si>
  <si>
    <t>BYJ1237</t>
  </si>
  <si>
    <t>Mohammed Subramaniam</t>
  </si>
  <si>
    <t>Oct 2021</t>
  </si>
  <si>
    <t>BYJ1238</t>
  </si>
  <si>
    <t>Jhalak Contractor</t>
  </si>
  <si>
    <t>Chapra</t>
  </si>
  <si>
    <t>Feb 2024</t>
  </si>
  <si>
    <t>BYJ1239</t>
  </si>
  <si>
    <t>Pushti Bal</t>
  </si>
  <si>
    <t>Bhopal</t>
  </si>
  <si>
    <t>20-12-2017</t>
  </si>
  <si>
    <t>BYJ1240</t>
  </si>
  <si>
    <t>Anjali More</t>
  </si>
  <si>
    <t>Etawah</t>
  </si>
  <si>
    <t>03-04-2024</t>
  </si>
  <si>
    <t>BYJ1241</t>
  </si>
  <si>
    <t>Pratyush Dhar</t>
  </si>
  <si>
    <t>Jul 2023</t>
  </si>
  <si>
    <t>BYJ1242</t>
  </si>
  <si>
    <t>Azaan Chand</t>
  </si>
  <si>
    <t>Gandhinagar</t>
  </si>
  <si>
    <t>BYJ1243</t>
  </si>
  <si>
    <t>Sudiksha Om</t>
  </si>
  <si>
    <t xml:space="preserve"> Uluberia</t>
  </si>
  <si>
    <t>2021-11-06</t>
  </si>
  <si>
    <t>BYJ1244</t>
  </si>
  <si>
    <t>Ekta Chad</t>
  </si>
  <si>
    <t xml:space="preserve"> Bhatpara</t>
  </si>
  <si>
    <t>06-06-2019</t>
  </si>
  <si>
    <t>BYJ1245</t>
  </si>
  <si>
    <t>Chandran Bumb</t>
  </si>
  <si>
    <t>Mango</t>
  </si>
  <si>
    <t>Jul 2018</t>
  </si>
  <si>
    <t>BYJ1246</t>
  </si>
  <si>
    <t>Vedika Sathe</t>
  </si>
  <si>
    <t>Darbhanga</t>
  </si>
  <si>
    <t>27-01-2021</t>
  </si>
  <si>
    <t>BYJ1247</t>
  </si>
  <si>
    <t>Yauvani Comar</t>
  </si>
  <si>
    <t>BYJ1248</t>
  </si>
  <si>
    <t>Bhanumati Sur</t>
  </si>
  <si>
    <t>Ranchi</t>
  </si>
  <si>
    <t>BYJ1249</t>
  </si>
  <si>
    <t>Megha Bhakta</t>
  </si>
  <si>
    <t>Kurnool</t>
  </si>
  <si>
    <t>Sep 2018</t>
  </si>
  <si>
    <t>BYJ1250</t>
  </si>
  <si>
    <t>Siddharth Devan</t>
  </si>
  <si>
    <t>Ramagundam</t>
  </si>
  <si>
    <t>02-07-2025</t>
  </si>
  <si>
    <t>BYJ1251</t>
  </si>
  <si>
    <t>Jagdish Amble</t>
  </si>
  <si>
    <t>BYJ1252</t>
  </si>
  <si>
    <t xml:space="preserve">  Kai Rai  </t>
  </si>
  <si>
    <t>26-02-2023</t>
  </si>
  <si>
    <t>BYJ1253</t>
  </si>
  <si>
    <t>Ekbal Ranganathan</t>
  </si>
  <si>
    <t>04-07-2020</t>
  </si>
  <si>
    <t>BYJ1254</t>
  </si>
  <si>
    <t>Tripti Brahmbhatt</t>
  </si>
  <si>
    <t>2024-11-26</t>
  </si>
  <si>
    <t>BYJ1255</t>
  </si>
  <si>
    <t>Nidhi Sahni</t>
  </si>
  <si>
    <t>BYJ1256</t>
  </si>
  <si>
    <t>Ansh Nair</t>
  </si>
  <si>
    <t>2023-01-01</t>
  </si>
  <si>
    <t>BYJ1257</t>
  </si>
  <si>
    <t>Janaki Chakrabarti</t>
  </si>
  <si>
    <t>Aligarh</t>
  </si>
  <si>
    <t>2025-11-10</t>
  </si>
  <si>
    <t>BYJ1258</t>
  </si>
  <si>
    <t>Rajata Rattan</t>
  </si>
  <si>
    <t>Oct 2024</t>
  </si>
  <si>
    <t>BYJ1259</t>
  </si>
  <si>
    <t>Harinakshi Kant</t>
  </si>
  <si>
    <t>Gulbarga</t>
  </si>
  <si>
    <t>06-04-2019</t>
  </si>
  <si>
    <t>BYJ1260</t>
  </si>
  <si>
    <t>Yashvi Comar</t>
  </si>
  <si>
    <t>Mar 2017</t>
  </si>
  <si>
    <t>BYJ1261</t>
  </si>
  <si>
    <t>Manbir Keer</t>
  </si>
  <si>
    <t>BYJ1262</t>
  </si>
  <si>
    <t>Rudra Ghose</t>
  </si>
  <si>
    <t>Aurangabad</t>
  </si>
  <si>
    <t>BYJ1263</t>
  </si>
  <si>
    <t>Wakeeta Shetty</t>
  </si>
  <si>
    <t>Buxar</t>
  </si>
  <si>
    <t>BYJ1264</t>
  </si>
  <si>
    <t>Diya Dora</t>
  </si>
  <si>
    <t>Jabalpur</t>
  </si>
  <si>
    <t>2024-04-06</t>
  </si>
  <si>
    <t>BYJ1265</t>
  </si>
  <si>
    <t>Riya Mitter</t>
  </si>
  <si>
    <t>Gudivada</t>
  </si>
  <si>
    <t>BYJ1266</t>
  </si>
  <si>
    <t>Indira Tripathi</t>
  </si>
  <si>
    <t>Tirupati</t>
  </si>
  <si>
    <t>2016-04-08</t>
  </si>
  <si>
    <t>BYJ1267</t>
  </si>
  <si>
    <t>Siya Barad</t>
  </si>
  <si>
    <t>Arrah</t>
  </si>
  <si>
    <t>BYJ1268</t>
  </si>
  <si>
    <t>Faraj Chana</t>
  </si>
  <si>
    <t>27-05-2020</t>
  </si>
  <si>
    <t>BYJ1269</t>
  </si>
  <si>
    <t>Shivani Guha</t>
  </si>
  <si>
    <t>2018-10-28</t>
  </si>
  <si>
    <t>BYJ1270</t>
  </si>
  <si>
    <t>Yachana Dora</t>
  </si>
  <si>
    <t>BYJ1271</t>
  </si>
  <si>
    <t>Hemal Chad</t>
  </si>
  <si>
    <t>Thane</t>
  </si>
  <si>
    <t>BYJ1272</t>
  </si>
  <si>
    <t>Raksha Sarna</t>
  </si>
  <si>
    <t>BYJ1273</t>
  </si>
  <si>
    <t>Barkha Ram</t>
  </si>
  <si>
    <t>Sonipat</t>
  </si>
  <si>
    <t>04-09-2022</t>
  </si>
  <si>
    <t>BYJ1274</t>
  </si>
  <si>
    <t>Gaurika Bhatti</t>
  </si>
  <si>
    <t>Bareilly</t>
  </si>
  <si>
    <t>27-08-2018</t>
  </si>
  <si>
    <t>BYJ1275</t>
  </si>
  <si>
    <t>Bhanumati Krishnan</t>
  </si>
  <si>
    <t>08-04-2022</t>
  </si>
  <si>
    <t>BYJ1276</t>
  </si>
  <si>
    <t>Lohit Palla</t>
  </si>
  <si>
    <t>Katni</t>
  </si>
  <si>
    <t>13-01-2018</t>
  </si>
  <si>
    <t>BYJ1277</t>
  </si>
  <si>
    <t>Frado Mukherjee</t>
  </si>
  <si>
    <t>Jan 2021</t>
  </si>
  <si>
    <t>BYJ1278</t>
  </si>
  <si>
    <t>Girik Sampath</t>
  </si>
  <si>
    <t>Surat</t>
  </si>
  <si>
    <t>BYJ1279</t>
  </si>
  <si>
    <t xml:space="preserve">  Dayamai Gole  </t>
  </si>
  <si>
    <t>2025-09-27</t>
  </si>
  <si>
    <t>BYJ1280</t>
  </si>
  <si>
    <t>Rehaan Kara</t>
  </si>
  <si>
    <t>25-02-2022</t>
  </si>
  <si>
    <t>BYJ1281</t>
  </si>
  <si>
    <t>Chakrika Chaudhuri</t>
  </si>
  <si>
    <t>Naihati</t>
  </si>
  <si>
    <t>BYJ1282</t>
  </si>
  <si>
    <t xml:space="preserve">  Krisha Dube  </t>
  </si>
  <si>
    <t>Bokaro</t>
  </si>
  <si>
    <t>2025-10-22</t>
  </si>
  <si>
    <t>BYJ1283</t>
  </si>
  <si>
    <t>Raksha Bassi</t>
  </si>
  <si>
    <t>Mar 2016</t>
  </si>
  <si>
    <t>BYJ1284</t>
  </si>
  <si>
    <t>Sachi Mane</t>
  </si>
  <si>
    <t>BYJ1285</t>
  </si>
  <si>
    <t>Dayamai Singh</t>
  </si>
  <si>
    <t>Apr 2021</t>
  </si>
  <si>
    <t>BYJ1286</t>
  </si>
  <si>
    <t>Triya Manda</t>
  </si>
  <si>
    <t>Ambala</t>
  </si>
  <si>
    <t>BYJ1287</t>
  </si>
  <si>
    <t>Neel Iyengar</t>
  </si>
  <si>
    <t>Chandrapur</t>
  </si>
  <si>
    <t>BYJ1288</t>
  </si>
  <si>
    <t>Vasana Prabhu</t>
  </si>
  <si>
    <t>Hazaribagh</t>
  </si>
  <si>
    <t>04-05-2019</t>
  </si>
  <si>
    <t>BYJ1289</t>
  </si>
  <si>
    <t>Bhavani Chacko</t>
  </si>
  <si>
    <t>2018-05-27</t>
  </si>
  <si>
    <t>BYJ1290</t>
  </si>
  <si>
    <t>Yochana Din</t>
  </si>
  <si>
    <t>13-12-2023</t>
  </si>
  <si>
    <t>BYJ1291</t>
  </si>
  <si>
    <t>Shravya Palla</t>
  </si>
  <si>
    <t>Vijayanagaram</t>
  </si>
  <si>
    <t>2023-05-05</t>
  </si>
  <si>
    <t>BYJ1292</t>
  </si>
  <si>
    <t>Meghana Thakkar</t>
  </si>
  <si>
    <t>Apr 2017</t>
  </si>
  <si>
    <t>BYJ1293</t>
  </si>
  <si>
    <t>Finn Prasad</t>
  </si>
  <si>
    <t>Oct 2017</t>
  </si>
  <si>
    <t>BYJ1294</t>
  </si>
  <si>
    <t>Hardik Nayak</t>
  </si>
  <si>
    <t>2018-10-07</t>
  </si>
  <si>
    <t>BYJ1295</t>
  </si>
  <si>
    <t>Bhavini Sodhi</t>
  </si>
  <si>
    <t>2019-03-10</t>
  </si>
  <si>
    <t>BYJ1296</t>
  </si>
  <si>
    <t>Abdul Buch</t>
  </si>
  <si>
    <t>Bardhaman</t>
  </si>
  <si>
    <t>Jun 2018</t>
  </si>
  <si>
    <t>BYJ1297</t>
  </si>
  <si>
    <t>Mason Wable</t>
  </si>
  <si>
    <t>Bhubaneswar</t>
  </si>
  <si>
    <t>23-06-2024</t>
  </si>
  <si>
    <t>BYJ1298</t>
  </si>
  <si>
    <t>Wazir Mitra</t>
  </si>
  <si>
    <t>Nashik</t>
  </si>
  <si>
    <t>2022-12-15</t>
  </si>
  <si>
    <t>BYJ1299</t>
  </si>
  <si>
    <t>Oni Shankar</t>
  </si>
  <si>
    <t>BYJ1300</t>
  </si>
  <si>
    <t>Amol Varma</t>
  </si>
  <si>
    <t>Asansol</t>
  </si>
  <si>
    <t>BYJ1301</t>
  </si>
  <si>
    <t>Pushti Agarwal</t>
  </si>
  <si>
    <t>2019-02-17</t>
  </si>
  <si>
    <t>BYJ1302</t>
  </si>
  <si>
    <t>Rachit Chada</t>
  </si>
  <si>
    <t>2021-01-06</t>
  </si>
  <si>
    <t>BYJ1303</t>
  </si>
  <si>
    <t>Madhavi Singhal</t>
  </si>
  <si>
    <t>Munger</t>
  </si>
  <si>
    <t>16-07-2016</t>
  </si>
  <si>
    <t>BYJ1304</t>
  </si>
  <si>
    <t>Zehaan Babu</t>
  </si>
  <si>
    <t>2022-01-20</t>
  </si>
  <si>
    <t>BYJ1305</t>
  </si>
  <si>
    <t>Wridesh Chawla</t>
  </si>
  <si>
    <t xml:space="preserve"> Guntur</t>
  </si>
  <si>
    <t>BYJ1306</t>
  </si>
  <si>
    <t>Indira Nigam</t>
  </si>
  <si>
    <t>18-02-2017</t>
  </si>
  <si>
    <t>BYJ1307</t>
  </si>
  <si>
    <t>Qabil Deshmukh</t>
  </si>
  <si>
    <t>2025-01-26</t>
  </si>
  <si>
    <t>BYJ1308</t>
  </si>
  <si>
    <t>Chaaya Jaggi</t>
  </si>
  <si>
    <t>Kollam</t>
  </si>
  <si>
    <t>23-05-2019</t>
  </si>
  <si>
    <t>BYJ1309</t>
  </si>
  <si>
    <t>Diya Mukherjee</t>
  </si>
  <si>
    <t>Tinsukia</t>
  </si>
  <si>
    <t>BYJ1310</t>
  </si>
  <si>
    <t>Zehaan Bansal</t>
  </si>
  <si>
    <t>Baranagar</t>
  </si>
  <si>
    <t>2023-02-16</t>
  </si>
  <si>
    <t>BYJ1311</t>
  </si>
  <si>
    <t>Champak Narula</t>
  </si>
  <si>
    <t>Amravati</t>
  </si>
  <si>
    <t>BYJ1312</t>
  </si>
  <si>
    <t xml:space="preserve">  Rajeshri Ratta  </t>
  </si>
  <si>
    <t>BYJ1313</t>
  </si>
  <si>
    <t>Rachit Taneja</t>
  </si>
  <si>
    <t>2018-11-14</t>
  </si>
  <si>
    <t>BYJ1314</t>
  </si>
  <si>
    <t>Fitan Samra</t>
  </si>
  <si>
    <t>Mar 2021</t>
  </si>
  <si>
    <t>BYJ1315</t>
  </si>
  <si>
    <t>Chaaya Nagi</t>
  </si>
  <si>
    <t>Vijayawada</t>
  </si>
  <si>
    <t>BYJ1316</t>
  </si>
  <si>
    <t>Chakrika Mohan</t>
  </si>
  <si>
    <t>Madanapalle</t>
  </si>
  <si>
    <t>2021-03-03</t>
  </si>
  <si>
    <t>BYJ1317</t>
  </si>
  <si>
    <t>Ojas Sawhney</t>
  </si>
  <si>
    <t>Amroha</t>
  </si>
  <si>
    <t>17-10-2020</t>
  </si>
  <si>
    <t>BYJ1318</t>
  </si>
  <si>
    <t>Ira Saran</t>
  </si>
  <si>
    <t>08-01-2021</t>
  </si>
  <si>
    <t>BYJ1319</t>
  </si>
  <si>
    <t>Nidra Patla</t>
  </si>
  <si>
    <t>Ludhiana</t>
  </si>
  <si>
    <t>BYJ1320</t>
  </si>
  <si>
    <t>Raksha Banerjee</t>
  </si>
  <si>
    <t>BYJ1321</t>
  </si>
  <si>
    <t>Jeevika Pathak</t>
  </si>
  <si>
    <t>Tezpur</t>
  </si>
  <si>
    <t>May 2023</t>
  </si>
  <si>
    <t>BYJ1322</t>
  </si>
  <si>
    <t>Mitesh Sengupta</t>
  </si>
  <si>
    <t>Serampore</t>
  </si>
  <si>
    <t>2017-05-13</t>
  </si>
  <si>
    <t>BYJ1323</t>
  </si>
  <si>
    <t>Faraj Devan</t>
  </si>
  <si>
    <t>Sikar</t>
  </si>
  <si>
    <t>2018-08-05</t>
  </si>
  <si>
    <t>BYJ1324</t>
  </si>
  <si>
    <t>Arya Krish</t>
  </si>
  <si>
    <t>11-07-2017</t>
  </si>
  <si>
    <t>BYJ1325</t>
  </si>
  <si>
    <t>Xalak Vasa</t>
  </si>
  <si>
    <t>2016-08-27</t>
  </si>
  <si>
    <t>BYJ1326</t>
  </si>
  <si>
    <t>Adweta Lad</t>
  </si>
  <si>
    <t>BYJ1327</t>
  </si>
  <si>
    <t>Vritti Iyengar</t>
  </si>
  <si>
    <t>Bhavnagar</t>
  </si>
  <si>
    <t>Apr 2019</t>
  </si>
  <si>
    <t>BYJ1328</t>
  </si>
  <si>
    <t>Siya Gera</t>
  </si>
  <si>
    <t xml:space="preserve"> Chandigarh</t>
  </si>
  <si>
    <t>20-12-2024</t>
  </si>
  <si>
    <t>BYJ1329</t>
  </si>
  <si>
    <t>Idika Bhattacharyya</t>
  </si>
  <si>
    <t>Dewas</t>
  </si>
  <si>
    <t>BYJ1330</t>
  </si>
  <si>
    <t>Owen Pathak</t>
  </si>
  <si>
    <t>BYJ1331</t>
  </si>
  <si>
    <t>Liam Khalsa</t>
  </si>
  <si>
    <t xml:space="preserve"> Indore</t>
  </si>
  <si>
    <t>BYJ1332</t>
  </si>
  <si>
    <t>Jyoti Sibal</t>
  </si>
  <si>
    <t>Pudukkottai</t>
  </si>
  <si>
    <t>BYJ1333</t>
  </si>
  <si>
    <t>Dominic More</t>
  </si>
  <si>
    <t>Sep 2016</t>
  </si>
  <si>
    <t>BYJ1334</t>
  </si>
  <si>
    <t>Nimrat Borah</t>
  </si>
  <si>
    <t>Ratlam</t>
  </si>
  <si>
    <t>2020-10-07</t>
  </si>
  <si>
    <t>BYJ1335</t>
  </si>
  <si>
    <t>Shivani Shukla</t>
  </si>
  <si>
    <t xml:space="preserve"> Warangal</t>
  </si>
  <si>
    <t>Mar 2020</t>
  </si>
  <si>
    <t>BYJ1336</t>
  </si>
  <si>
    <t>Kai Sant</t>
  </si>
  <si>
    <t>BYJ1337</t>
  </si>
  <si>
    <t>Daksha Gala</t>
  </si>
  <si>
    <t>2018-06-28</t>
  </si>
  <si>
    <t>BYJ1338</t>
  </si>
  <si>
    <t>Hiral Venkataraman</t>
  </si>
  <si>
    <t>BYJ1339</t>
  </si>
  <si>
    <t>Ronith Maharaj</t>
  </si>
  <si>
    <t>BYJ1340</t>
  </si>
  <si>
    <t>Yadavi Ganguly</t>
  </si>
  <si>
    <t>Tirunelveli</t>
  </si>
  <si>
    <t>BYJ1341</t>
  </si>
  <si>
    <t>Benjamin Balakrishnan</t>
  </si>
  <si>
    <t>BYJ1342</t>
  </si>
  <si>
    <t>Shivansh Saha</t>
  </si>
  <si>
    <t>Mehsana</t>
  </si>
  <si>
    <t>BYJ1343</t>
  </si>
  <si>
    <t>Chasmum Subramanian</t>
  </si>
  <si>
    <t>2022-04-22</t>
  </si>
  <si>
    <t>BYJ1344</t>
  </si>
  <si>
    <t>Sudiksha Bora</t>
  </si>
  <si>
    <t>26-10-2023</t>
  </si>
  <si>
    <t>BYJ1345</t>
  </si>
  <si>
    <t>Ojasvi Sule</t>
  </si>
  <si>
    <t>2018-06-10</t>
  </si>
  <si>
    <t>BYJ1346</t>
  </si>
  <si>
    <t>Maanas Munshi</t>
  </si>
  <si>
    <t>07-09-2022</t>
  </si>
  <si>
    <t>BYJ1347</t>
  </si>
  <si>
    <t>Kalpit Prabhakar</t>
  </si>
  <si>
    <t>Imphal</t>
  </si>
  <si>
    <t>2025-09-12</t>
  </si>
  <si>
    <t>BYJ1348</t>
  </si>
  <si>
    <t>Unnati Das</t>
  </si>
  <si>
    <t>Mar 2024</t>
  </si>
  <si>
    <t>BYJ1349</t>
  </si>
  <si>
    <t xml:space="preserve">  Lohit Chatterjee  </t>
  </si>
  <si>
    <t>May 2024</t>
  </si>
  <si>
    <t>BYJ1350</t>
  </si>
  <si>
    <t>Omya Kothari</t>
  </si>
  <si>
    <t xml:space="preserve"> Khammam</t>
  </si>
  <si>
    <t>19-01-2022</t>
  </si>
  <si>
    <t>BYJ1351</t>
  </si>
  <si>
    <t>Ranveer Dutta</t>
  </si>
  <si>
    <t>BYJ1352</t>
  </si>
  <si>
    <t>Wishi Morar</t>
  </si>
  <si>
    <t>BYJ1353</t>
  </si>
  <si>
    <t>Maya Tiwari</t>
  </si>
  <si>
    <t>BYJ1354</t>
  </si>
  <si>
    <t>Ira Bava</t>
  </si>
  <si>
    <t>Ichalkaranji</t>
  </si>
  <si>
    <t>02-04-2023</t>
  </si>
  <si>
    <t>BYJ1355</t>
  </si>
  <si>
    <t>Upma Mangal</t>
  </si>
  <si>
    <t>18-04-2018</t>
  </si>
  <si>
    <t>BYJ1356</t>
  </si>
  <si>
    <t>Krish Lalla</t>
  </si>
  <si>
    <t>Sambhal</t>
  </si>
  <si>
    <t>Apr 2016</t>
  </si>
  <si>
    <t>BYJ1357</t>
  </si>
  <si>
    <t>Chakradev Rattan</t>
  </si>
  <si>
    <t>BYJ1358</t>
  </si>
  <si>
    <t>Janani Mani</t>
  </si>
  <si>
    <t>BYJ1359</t>
  </si>
  <si>
    <t>Ati Dani</t>
  </si>
  <si>
    <t>Jalandhar</t>
  </si>
  <si>
    <t>BYJ1360</t>
  </si>
  <si>
    <t>Kashvi Nori</t>
  </si>
  <si>
    <t>BYJ1361</t>
  </si>
  <si>
    <t>Yashodhara Ratti</t>
  </si>
  <si>
    <t>04-01-2025</t>
  </si>
  <si>
    <t>BYJ1362</t>
  </si>
  <si>
    <t>Laksh Nath</t>
  </si>
  <si>
    <t>Kadapa</t>
  </si>
  <si>
    <t>2017-11-02</t>
  </si>
  <si>
    <t>BYJ1363</t>
  </si>
  <si>
    <t>Manthan Varma</t>
  </si>
  <si>
    <t>01-03-2020</t>
  </si>
  <si>
    <t>BYJ1364</t>
  </si>
  <si>
    <t>Nicholas Ramaswamy</t>
  </si>
  <si>
    <t>Guntakal</t>
  </si>
  <si>
    <t>BYJ1365</t>
  </si>
  <si>
    <t>Yashica Upadhyay</t>
  </si>
  <si>
    <t>Oct 2023</t>
  </si>
  <si>
    <t>BYJ1366</t>
  </si>
  <si>
    <t>Vaishnavi Badal</t>
  </si>
  <si>
    <t xml:space="preserve"> Bathinda</t>
  </si>
  <si>
    <t>BYJ1367</t>
  </si>
  <si>
    <t>Omaja Morar</t>
  </si>
  <si>
    <t>Kavali</t>
  </si>
  <si>
    <t>2020-08-23</t>
  </si>
  <si>
    <t>BYJ1368</t>
  </si>
  <si>
    <t>Alka Kari</t>
  </si>
  <si>
    <t>2016-12-24</t>
  </si>
  <si>
    <t>BYJ1369</t>
  </si>
  <si>
    <t>Onkar Viswanathan</t>
  </si>
  <si>
    <t>Siliguri</t>
  </si>
  <si>
    <t>2023-01-12</t>
  </si>
  <si>
    <t>BYJ1370</t>
  </si>
  <si>
    <t>Azad Choudhary</t>
  </si>
  <si>
    <t>BYJ1371</t>
  </si>
  <si>
    <t>Dipta Sahota</t>
  </si>
  <si>
    <t>2022-02-16</t>
  </si>
  <si>
    <t>BYJ1372</t>
  </si>
  <si>
    <t>Nirja Thaker</t>
  </si>
  <si>
    <t>BYJ1373</t>
  </si>
  <si>
    <t>Zilmil Johal</t>
  </si>
  <si>
    <t>Morena</t>
  </si>
  <si>
    <t>2020-08-14</t>
  </si>
  <si>
    <t>BYJ1374</t>
  </si>
  <si>
    <t>Dipta Ghose</t>
  </si>
  <si>
    <t>2022-04-18</t>
  </si>
  <si>
    <t>BYJ1375</t>
  </si>
  <si>
    <t>Irya Lalla</t>
  </si>
  <si>
    <t>BYJ1376</t>
  </si>
  <si>
    <t>Arya Misra</t>
  </si>
  <si>
    <t xml:space="preserve"> Bihar Sharif</t>
  </si>
  <si>
    <t>BYJ1377</t>
  </si>
  <si>
    <t>Sarthak Suresh</t>
  </si>
  <si>
    <t>02-03-2021</t>
  </si>
  <si>
    <t>BYJ1378</t>
  </si>
  <si>
    <t>Anusha Mani</t>
  </si>
  <si>
    <t>Mar 2023</t>
  </si>
  <si>
    <t>BYJ1379</t>
  </si>
  <si>
    <t>Megha Pai</t>
  </si>
  <si>
    <t>Jan 2023</t>
  </si>
  <si>
    <t>BYJ1380</t>
  </si>
  <si>
    <t>Bhavna Brar</t>
  </si>
  <si>
    <t>2024-11-22</t>
  </si>
  <si>
    <t>BYJ1381</t>
  </si>
  <si>
    <t>Varenya Kala</t>
  </si>
  <si>
    <t>BYJ1382</t>
  </si>
  <si>
    <t>Anita Devan</t>
  </si>
  <si>
    <t>Jun 2016</t>
  </si>
  <si>
    <t>BYJ1383</t>
  </si>
  <si>
    <t>Xavier Bedi</t>
  </si>
  <si>
    <t>BYJ1384</t>
  </si>
  <si>
    <t>Harish Sachdev</t>
  </si>
  <si>
    <t>Chittoor</t>
  </si>
  <si>
    <t>BYJ1385</t>
  </si>
  <si>
    <t>Laksh Ahluwalia</t>
  </si>
  <si>
    <t>BYJ1386</t>
  </si>
  <si>
    <t>Vansha Iyengar</t>
  </si>
  <si>
    <t>Pondicherry</t>
  </si>
  <si>
    <t>2019-04-09</t>
  </si>
  <si>
    <t>BYJ1387</t>
  </si>
  <si>
    <t>Daniel Chakraborty</t>
  </si>
  <si>
    <t>Deoghar</t>
  </si>
  <si>
    <t>2024-04-09</t>
  </si>
  <si>
    <t>BYJ1388</t>
  </si>
  <si>
    <t>Parth Sahni</t>
  </si>
  <si>
    <t>Vadodara</t>
  </si>
  <si>
    <t>BYJ1389</t>
  </si>
  <si>
    <t>Warhi Grewal</t>
  </si>
  <si>
    <t>Agra</t>
  </si>
  <si>
    <t>2017-05-26</t>
  </si>
  <si>
    <t>BYJ1390</t>
  </si>
  <si>
    <t>Chanchal Chhabra</t>
  </si>
  <si>
    <t>Anantapuram</t>
  </si>
  <si>
    <t>2022-03-11</t>
  </si>
  <si>
    <t>BYJ1391</t>
  </si>
  <si>
    <t xml:space="preserve">  Wakeeta Desai  </t>
  </si>
  <si>
    <t>03-07-2020</t>
  </si>
  <si>
    <t>BYJ1392</t>
  </si>
  <si>
    <t>Isaiah Narayanan</t>
  </si>
  <si>
    <t>Nov 2023</t>
  </si>
  <si>
    <t>BYJ1393</t>
  </si>
  <si>
    <t>Quincy Atwal</t>
  </si>
  <si>
    <t>BYJ1394</t>
  </si>
  <si>
    <t xml:space="preserve">  Parth Ravi  </t>
  </si>
  <si>
    <t>Nov 2018</t>
  </si>
  <si>
    <t>BYJ1395</t>
  </si>
  <si>
    <t>Gabriel Rattan</t>
  </si>
  <si>
    <t xml:space="preserve"> Udaipur</t>
  </si>
  <si>
    <t>19-04-2017</t>
  </si>
  <si>
    <t>BYJ1396</t>
  </si>
  <si>
    <t>Vansha Naik</t>
  </si>
  <si>
    <t>23-01-2019</t>
  </si>
  <si>
    <t>BYJ1397</t>
  </si>
  <si>
    <t>Leela Keer</t>
  </si>
  <si>
    <t>2024-06-03</t>
  </si>
  <si>
    <t>BYJ1398</t>
  </si>
  <si>
    <t>Chasmum Apte</t>
  </si>
  <si>
    <t>Karimnagar</t>
  </si>
  <si>
    <t>Dec 2018</t>
  </si>
  <si>
    <t>BYJ1399</t>
  </si>
  <si>
    <t>David Dani</t>
  </si>
  <si>
    <t xml:space="preserve"> Aizawl</t>
  </si>
  <si>
    <t>Jul 2017</t>
  </si>
  <si>
    <t>BYJ1400</t>
  </si>
  <si>
    <t>Nidra Thakkar</t>
  </si>
  <si>
    <t>Kochi</t>
  </si>
  <si>
    <t>05-06-2019</t>
  </si>
  <si>
    <t>BYJ1401</t>
  </si>
  <si>
    <t xml:space="preserve">  Jhalak Kant  </t>
  </si>
  <si>
    <t>Guntur</t>
  </si>
  <si>
    <t>BYJ1402</t>
  </si>
  <si>
    <t>Michael Sha</t>
  </si>
  <si>
    <t>BYJ1403</t>
  </si>
  <si>
    <t>Tejas Kota</t>
  </si>
  <si>
    <t>Hajipur</t>
  </si>
  <si>
    <t>BYJ1404</t>
  </si>
  <si>
    <t>Janaki Brahmbhatt</t>
  </si>
  <si>
    <t>BYJ1405</t>
  </si>
  <si>
    <t>Mason Gala</t>
  </si>
  <si>
    <t>Saharsa</t>
  </si>
  <si>
    <t>2023-10-17</t>
  </si>
  <si>
    <t>BYJ1406</t>
  </si>
  <si>
    <t>Jackson Jha</t>
  </si>
  <si>
    <t>Aug 2019</t>
  </si>
  <si>
    <t>BYJ1407</t>
  </si>
  <si>
    <t>Christopher Setty</t>
  </si>
  <si>
    <t>Anand</t>
  </si>
  <si>
    <t>18-11-2020</t>
  </si>
  <si>
    <t>BYJ1408</t>
  </si>
  <si>
    <t>Tanmayi Bhardwaj</t>
  </si>
  <si>
    <t>Aizawl</t>
  </si>
  <si>
    <t>BYJ1409</t>
  </si>
  <si>
    <t>Meghana Kumar</t>
  </si>
  <si>
    <t>14-01-2022</t>
  </si>
  <si>
    <t>BYJ1410</t>
  </si>
  <si>
    <t>Chakradev Sampath</t>
  </si>
  <si>
    <t>BYJ1411</t>
  </si>
  <si>
    <t>Ekapad Sodhi</t>
  </si>
  <si>
    <t>23-12-2017</t>
  </si>
  <si>
    <t>BYJ1412</t>
  </si>
  <si>
    <t>Pranit Deshmukh</t>
  </si>
  <si>
    <t>Dindigul</t>
  </si>
  <si>
    <t>19-05-2023</t>
  </si>
  <si>
    <t>BYJ1413</t>
  </si>
  <si>
    <t xml:space="preserve">  Saumya Purohit  </t>
  </si>
  <si>
    <t>BYJ1414</t>
  </si>
  <si>
    <t>Ijaya Dani</t>
  </si>
  <si>
    <t>2019-11-07</t>
  </si>
  <si>
    <t>BYJ1415</t>
  </si>
  <si>
    <t>Joshua Kapoor</t>
  </si>
  <si>
    <t>16-02-2019</t>
  </si>
  <si>
    <t>BYJ1416</t>
  </si>
  <si>
    <t>Ubika Samra</t>
  </si>
  <si>
    <t>Berhampur</t>
  </si>
  <si>
    <t>21-12-2020</t>
  </si>
  <si>
    <t>BYJ1417</t>
  </si>
  <si>
    <t>Triveni Pal</t>
  </si>
  <si>
    <t>21-07-2020</t>
  </si>
  <si>
    <t>BYJ1418</t>
  </si>
  <si>
    <t>Isaiah Balay</t>
  </si>
  <si>
    <t>Srikakulam</t>
  </si>
  <si>
    <t>01-11-2025</t>
  </si>
  <si>
    <t>BYJ1419</t>
  </si>
  <si>
    <t>Wridesh Jhaveri</t>
  </si>
  <si>
    <t>BYJ1420</t>
  </si>
  <si>
    <t>Sanya Bava</t>
  </si>
  <si>
    <t>20-08-2019</t>
  </si>
  <si>
    <t>BYJ1421</t>
  </si>
  <si>
    <t xml:space="preserve">  Reva Kaur  </t>
  </si>
  <si>
    <t>BYJ1422</t>
  </si>
  <si>
    <t>Yahvi Mann</t>
  </si>
  <si>
    <t>2024-10-14</t>
  </si>
  <si>
    <t>BYJ1423</t>
  </si>
  <si>
    <t>Ekani Khalsa</t>
  </si>
  <si>
    <t>BYJ1424</t>
  </si>
  <si>
    <t>Odika Mital</t>
  </si>
  <si>
    <t>11-12-2017</t>
  </si>
  <si>
    <t>BYJ1425</t>
  </si>
  <si>
    <t>Prisha Tandon</t>
  </si>
  <si>
    <t>BYJ1426</t>
  </si>
  <si>
    <t>Eiravati Saha</t>
  </si>
  <si>
    <t>BYJ1427</t>
  </si>
  <si>
    <t>Krisha Gour</t>
  </si>
  <si>
    <t>21-09-2024</t>
  </si>
  <si>
    <t>BYJ1428</t>
  </si>
  <si>
    <t>Charita Dhawan</t>
  </si>
  <si>
    <t>2021-01-04</t>
  </si>
  <si>
    <t>BYJ1429</t>
  </si>
  <si>
    <t>Omaja Wagle</t>
  </si>
  <si>
    <t>22-03-2024</t>
  </si>
  <si>
    <t>BYJ1430</t>
  </si>
  <si>
    <t>Aadhya Jani</t>
  </si>
  <si>
    <t>08-06-2021</t>
  </si>
  <si>
    <t>BYJ1431</t>
  </si>
  <si>
    <t>Kamala Chanda</t>
  </si>
  <si>
    <t>Aug 2023</t>
  </si>
  <si>
    <t>BYJ1432</t>
  </si>
  <si>
    <t>Krishna Baral</t>
  </si>
  <si>
    <t>2025-09-14</t>
  </si>
  <si>
    <t>BYJ1433</t>
  </si>
  <si>
    <t>Varenya Joshi</t>
  </si>
  <si>
    <t>BYJ1434</t>
  </si>
  <si>
    <t>Siddharth Gupta</t>
  </si>
  <si>
    <t>BYJ1435</t>
  </si>
  <si>
    <t xml:space="preserve">  Samarth Ranganathan  </t>
  </si>
  <si>
    <t>2023-04-20</t>
  </si>
  <si>
    <t>BYJ1436</t>
  </si>
  <si>
    <t>Barkha Rai</t>
  </si>
  <si>
    <t>2019-05-11</t>
  </si>
  <si>
    <t>BYJ1437</t>
  </si>
  <si>
    <t>Darika Lal</t>
  </si>
  <si>
    <t>07-07-2020</t>
  </si>
  <si>
    <t>BYJ1438</t>
  </si>
  <si>
    <t>Unnati Chaudhari</t>
  </si>
  <si>
    <t>27-11-2019</t>
  </si>
  <si>
    <t>BYJ1439</t>
  </si>
  <si>
    <t>Kamala Munshi</t>
  </si>
  <si>
    <t>2018-11-23</t>
  </si>
  <si>
    <t>BYJ1440</t>
  </si>
  <si>
    <t>Madhav Babu</t>
  </si>
  <si>
    <t>BYJ1441</t>
  </si>
  <si>
    <t>Chakrika Dua</t>
  </si>
  <si>
    <t>BYJ1442</t>
  </si>
  <si>
    <t>Ladli Korpal</t>
  </si>
  <si>
    <t>BYJ1443</t>
  </si>
  <si>
    <t>Aarini Suresh</t>
  </si>
  <si>
    <t>BYJ1444</t>
  </si>
  <si>
    <t>Indira Gara</t>
  </si>
  <si>
    <t>BYJ1445</t>
  </si>
  <si>
    <t>Qarin Bhargava</t>
  </si>
  <si>
    <t>2022-06-15</t>
  </si>
  <si>
    <t>BYJ1446</t>
  </si>
  <si>
    <t>Abeer Sachar</t>
  </si>
  <si>
    <t>Ahmednagar</t>
  </si>
  <si>
    <t>06-12-2021</t>
  </si>
  <si>
    <t>BYJ1447</t>
  </si>
  <si>
    <t>Matthew Andra</t>
  </si>
  <si>
    <t>Oct 2025</t>
  </si>
  <si>
    <t>BYJ1448</t>
  </si>
  <si>
    <t>Kashvi Bhasin</t>
  </si>
  <si>
    <t>Morbi</t>
  </si>
  <si>
    <t>BYJ1449</t>
  </si>
  <si>
    <t>Abeer Wali</t>
  </si>
  <si>
    <t>Ahmedabad</t>
  </si>
  <si>
    <t>12-03-2021</t>
  </si>
  <si>
    <t>BYJ1450</t>
  </si>
  <si>
    <t>Anvi Wason</t>
  </si>
  <si>
    <t>Pune</t>
  </si>
  <si>
    <t>BYJ1451</t>
  </si>
  <si>
    <t>Praneel Chhabra</t>
  </si>
  <si>
    <t>Loni</t>
  </si>
  <si>
    <t>BYJ1452</t>
  </si>
  <si>
    <t>Wridesh Handa</t>
  </si>
  <si>
    <t>Jan 2017</t>
  </si>
  <si>
    <t>BYJ1453</t>
  </si>
  <si>
    <t>Mekhala Brar</t>
  </si>
  <si>
    <t>23-01-2018</t>
  </si>
  <si>
    <t>BYJ1454</t>
  </si>
  <si>
    <t>Yagnesh Kara</t>
  </si>
  <si>
    <t>BYJ1455</t>
  </si>
  <si>
    <t>Girik Ravi</t>
  </si>
  <si>
    <t>Nov 2020</t>
  </si>
  <si>
    <t>BYJ1456</t>
  </si>
  <si>
    <t>Daksh Andra</t>
  </si>
  <si>
    <t>Gwalior</t>
  </si>
  <si>
    <t>2021-11-19</t>
  </si>
  <si>
    <t>BYJ1457</t>
  </si>
  <si>
    <t>Radha Narula</t>
  </si>
  <si>
    <t>Dehri</t>
  </si>
  <si>
    <t>2021-10-16</t>
  </si>
  <si>
    <t>BYJ1458</t>
  </si>
  <si>
    <t>Victor Kakar</t>
  </si>
  <si>
    <t xml:space="preserve"> Gopalpur</t>
  </si>
  <si>
    <t>BYJ1459</t>
  </si>
  <si>
    <t>Falan Mand</t>
  </si>
  <si>
    <t>21-01-2025</t>
  </si>
  <si>
    <t>BYJ1460</t>
  </si>
  <si>
    <t>Amol Johal</t>
  </si>
  <si>
    <t>2017-04-15</t>
  </si>
  <si>
    <t>BYJ1461</t>
  </si>
  <si>
    <t>Chandani Gaba</t>
  </si>
  <si>
    <t xml:space="preserve"> Tezpur</t>
  </si>
  <si>
    <t>2019-10-02</t>
  </si>
  <si>
    <t>BYJ1462</t>
  </si>
  <si>
    <t>Garima Rajagopalan</t>
  </si>
  <si>
    <t>BYJ1463</t>
  </si>
  <si>
    <t>Chatresh Chaudhari</t>
  </si>
  <si>
    <t>BYJ1464</t>
  </si>
  <si>
    <t>Harini Ranganathan</t>
  </si>
  <si>
    <t>BYJ1465</t>
  </si>
  <si>
    <t>Shravya Swaminathan</t>
  </si>
  <si>
    <t>Raurkela Industrial Township</t>
  </si>
  <si>
    <t>Feb 2019</t>
  </si>
  <si>
    <t>BYJ1466</t>
  </si>
  <si>
    <t>Rachana Grewal</t>
  </si>
  <si>
    <t>Guwahati</t>
  </si>
  <si>
    <t>03-06-2020</t>
  </si>
  <si>
    <t>BYJ1467</t>
  </si>
  <si>
    <t>Yatin Borah</t>
  </si>
  <si>
    <t>Agartala</t>
  </si>
  <si>
    <t>BYJ1468</t>
  </si>
  <si>
    <t>Lajita Dube</t>
  </si>
  <si>
    <t>08-12-2018</t>
  </si>
  <si>
    <t>BYJ1469</t>
  </si>
  <si>
    <t>Hredhaan Chand</t>
  </si>
  <si>
    <t>BYJ1470</t>
  </si>
  <si>
    <t>Jagvi Madan</t>
  </si>
  <si>
    <t>May 2016</t>
  </si>
  <si>
    <t>BYJ1471</t>
  </si>
  <si>
    <t>Rachit Sankar</t>
  </si>
  <si>
    <t>BYJ1472</t>
  </si>
  <si>
    <t>Harshil Bal</t>
  </si>
  <si>
    <t>BYJ1473</t>
  </si>
  <si>
    <t>Ekta Rajan</t>
  </si>
  <si>
    <t>BYJ1474</t>
  </si>
  <si>
    <t>Lipika Chad</t>
  </si>
  <si>
    <t>BYJ1475</t>
  </si>
  <si>
    <t>Lajita Gara</t>
  </si>
  <si>
    <t>BYJ1476</t>
  </si>
  <si>
    <t>Amrita Tailor</t>
  </si>
  <si>
    <t>17-10-2019</t>
  </si>
  <si>
    <t>BYJ1477</t>
  </si>
  <si>
    <t>Radhika Majumdar</t>
  </si>
  <si>
    <t>BYJ1478</t>
  </si>
  <si>
    <t>Faraj Patel</t>
  </si>
  <si>
    <t>Shahjahanpur</t>
  </si>
  <si>
    <t>BYJ1479</t>
  </si>
  <si>
    <t>Rohan Shankar</t>
  </si>
  <si>
    <t>27-10-2024</t>
  </si>
  <si>
    <t>BYJ1480</t>
  </si>
  <si>
    <t>Abeer Randhawa</t>
  </si>
  <si>
    <t xml:space="preserve"> Udupi</t>
  </si>
  <si>
    <t>BYJ1481</t>
  </si>
  <si>
    <t>Forum Sarraf</t>
  </si>
  <si>
    <t>2019-08-20</t>
  </si>
  <si>
    <t>BYJ1482</t>
  </si>
  <si>
    <t>Charita Nagi</t>
  </si>
  <si>
    <t>BYJ1483</t>
  </si>
  <si>
    <t>Peter Rao</t>
  </si>
  <si>
    <t>BYJ1484</t>
  </si>
  <si>
    <t>Xavier Nanda</t>
  </si>
  <si>
    <t xml:space="preserve"> Parbhani</t>
  </si>
  <si>
    <t>BYJ1485</t>
  </si>
  <si>
    <t>Janya Comar</t>
  </si>
  <si>
    <t>BYJ1486</t>
  </si>
  <si>
    <t>Avi Shenoy</t>
  </si>
  <si>
    <t xml:space="preserve"> Bahraich</t>
  </si>
  <si>
    <t>19-06-2025</t>
  </si>
  <si>
    <t>BYJ1487</t>
  </si>
  <si>
    <t>Ekapad Rege</t>
  </si>
  <si>
    <t>03-04-2016</t>
  </si>
  <si>
    <t>BYJ1488</t>
  </si>
  <si>
    <t xml:space="preserve">  Wyatt Krishnan  </t>
  </si>
  <si>
    <t>BYJ1489</t>
  </si>
  <si>
    <t>Ethan Sen</t>
  </si>
  <si>
    <t>07-09-2016</t>
  </si>
  <si>
    <t>BYJ1490</t>
  </si>
  <si>
    <t>Yashawini Sahota</t>
  </si>
  <si>
    <t>2022-05-13</t>
  </si>
  <si>
    <t>BYJ1491</t>
  </si>
  <si>
    <t>Ikbal Kothari</t>
  </si>
  <si>
    <t>09-08-2021</t>
  </si>
  <si>
    <t>BYJ1492</t>
  </si>
  <si>
    <t>Mugdha Narula</t>
  </si>
  <si>
    <t>BYJ1493</t>
  </si>
  <si>
    <t xml:space="preserve">  Guneet Kuruvilla  </t>
  </si>
  <si>
    <t>Sasaram</t>
  </si>
  <si>
    <t>2019-07-14</t>
  </si>
  <si>
    <t>BYJ1494</t>
  </si>
  <si>
    <t xml:space="preserve">  Sanaya Prasad  </t>
  </si>
  <si>
    <t>BYJ1495</t>
  </si>
  <si>
    <t>Hemani Bakshi</t>
  </si>
  <si>
    <t>BYJ1496</t>
  </si>
  <si>
    <t>Ojasvi Chada</t>
  </si>
  <si>
    <t>BYJ1497</t>
  </si>
  <si>
    <t>Devika Oza</t>
  </si>
  <si>
    <t>Tiruppur</t>
  </si>
  <si>
    <t>Dec 2021</t>
  </si>
  <si>
    <t>BYJ1498</t>
  </si>
  <si>
    <t>Ijaya Soni</t>
  </si>
  <si>
    <t>BYJ1499</t>
  </si>
  <si>
    <t>Eiravati Bhavsar</t>
  </si>
  <si>
    <t xml:space="preserve"> Varanasi</t>
  </si>
  <si>
    <t>2022-08-20</t>
  </si>
  <si>
    <t>BYJ1500</t>
  </si>
  <si>
    <t>Arin Oza</t>
  </si>
  <si>
    <t>18-04-2025</t>
  </si>
  <si>
    <t>BYJ1501</t>
  </si>
  <si>
    <t>Zaitra Ghosh</t>
  </si>
  <si>
    <t>BYJ1502</t>
  </si>
  <si>
    <t>Turvi Kata</t>
  </si>
  <si>
    <t>Udaipur</t>
  </si>
  <si>
    <t>2025-02-03</t>
  </si>
  <si>
    <t>BYJ1503</t>
  </si>
  <si>
    <t>Rachana Randhawa</t>
  </si>
  <si>
    <t>BYJ1504</t>
  </si>
  <si>
    <t>Shivani Sanghvi</t>
  </si>
  <si>
    <t>Kolkata</t>
  </si>
  <si>
    <t>02-02-2016</t>
  </si>
  <si>
    <t>BYJ1505</t>
  </si>
  <si>
    <t>Samesh Mallick</t>
  </si>
  <si>
    <t>Gangtok</t>
  </si>
  <si>
    <t>2017-03-19</t>
  </si>
  <si>
    <t>BYJ1506</t>
  </si>
  <si>
    <t>Rachit Pau</t>
  </si>
  <si>
    <t xml:space="preserve"> Thiruvananthapuram</t>
  </si>
  <si>
    <t>BYJ1507</t>
  </si>
  <si>
    <t>Ishaan Lala</t>
  </si>
  <si>
    <t>27-04-2022</t>
  </si>
  <si>
    <t>BYJ1508</t>
  </si>
  <si>
    <t>Lipika Ramanathan</t>
  </si>
  <si>
    <t>BYJ1509</t>
  </si>
  <si>
    <t>Tanvi Gera</t>
  </si>
  <si>
    <t>2021-04-28</t>
  </si>
  <si>
    <t>BYJ1510</t>
  </si>
  <si>
    <t>Krish Munshi</t>
  </si>
  <si>
    <t>28-12-2019</t>
  </si>
  <si>
    <t>BYJ1511</t>
  </si>
  <si>
    <t>Jackson Goswami</t>
  </si>
  <si>
    <t xml:space="preserve"> Ajmer</t>
  </si>
  <si>
    <t>2020-05-26</t>
  </si>
  <si>
    <t>BYJ1512</t>
  </si>
  <si>
    <t>Omya Devi</t>
  </si>
  <si>
    <t>BYJ1513</t>
  </si>
  <si>
    <t>Vidhi Yogi</t>
  </si>
  <si>
    <t>Miryalaguda</t>
  </si>
  <si>
    <t>BYJ1514</t>
  </si>
  <si>
    <t>Vrishti Mani</t>
  </si>
  <si>
    <t>Gaya</t>
  </si>
  <si>
    <t>19-04-2025</t>
  </si>
  <si>
    <t>BYJ1515</t>
  </si>
  <si>
    <t>Shravya Bera</t>
  </si>
  <si>
    <t>Bangalore</t>
  </si>
  <si>
    <t>21-06-2019</t>
  </si>
  <si>
    <t>BYJ1516</t>
  </si>
  <si>
    <t>Laban Hayer</t>
  </si>
  <si>
    <t>Mar 2022</t>
  </si>
  <si>
    <t>BYJ1517</t>
  </si>
  <si>
    <t>Nilima Swamy</t>
  </si>
  <si>
    <t>Raiganj</t>
  </si>
  <si>
    <t>BYJ1518</t>
  </si>
  <si>
    <t>Oliver Butala</t>
  </si>
  <si>
    <t>BYJ1519</t>
  </si>
  <si>
    <t>Bachittar Maharaj</t>
  </si>
  <si>
    <t>2017-09-27</t>
  </si>
  <si>
    <t>BYJ1520</t>
  </si>
  <si>
    <t xml:space="preserve">  Om Shankar  </t>
  </si>
  <si>
    <t>BYJ1521</t>
  </si>
  <si>
    <t>Ishaan Loyal</t>
  </si>
  <si>
    <t>BYJ1522</t>
  </si>
  <si>
    <t xml:space="preserve">  Ridhi Kamdar  </t>
  </si>
  <si>
    <t>21-10-2024</t>
  </si>
  <si>
    <t>BYJ1523</t>
  </si>
  <si>
    <t>Chameli Bali</t>
  </si>
  <si>
    <t>Firozabad</t>
  </si>
  <si>
    <t>22-12-2019</t>
  </si>
  <si>
    <t>BYJ1524</t>
  </si>
  <si>
    <t>Gagan Sarna</t>
  </si>
  <si>
    <t>BYJ1525</t>
  </si>
  <si>
    <t>Indali Sangha</t>
  </si>
  <si>
    <t>Apr 2023</t>
  </si>
  <si>
    <t>BYJ1526</t>
  </si>
  <si>
    <t>Samuel Jhaveri</t>
  </si>
  <si>
    <t>2022-02-18</t>
  </si>
  <si>
    <t>BYJ1527</t>
  </si>
  <si>
    <t>Avni Yohannan</t>
  </si>
  <si>
    <t>2024-05-08</t>
  </si>
  <si>
    <t>BYJ1528</t>
  </si>
  <si>
    <t>Bimala Loke</t>
  </si>
  <si>
    <t>BYJ1529</t>
  </si>
  <si>
    <t>Daniel Malhotra</t>
  </si>
  <si>
    <t>11-05-2019</t>
  </si>
  <si>
    <t>BYJ1530</t>
  </si>
  <si>
    <t xml:space="preserve">  Madhav Nagy  </t>
  </si>
  <si>
    <t>Singrauli</t>
  </si>
  <si>
    <t>08-04-2016</t>
  </si>
  <si>
    <t>BYJ1531</t>
  </si>
  <si>
    <t>Lucky Luthra</t>
  </si>
  <si>
    <t>BYJ1532</t>
  </si>
  <si>
    <t>Faqid Chander</t>
  </si>
  <si>
    <t>BYJ1533</t>
  </si>
  <si>
    <t>Jyoti Sha</t>
  </si>
  <si>
    <t>BYJ1534</t>
  </si>
  <si>
    <t>Girik Shanker</t>
  </si>
  <si>
    <t>2019-05-13</t>
  </si>
  <si>
    <t>BYJ1535</t>
  </si>
  <si>
    <t>Tejas Sanghvi</t>
  </si>
  <si>
    <t>BYJ1536</t>
  </si>
  <si>
    <t>Ekantika Mander</t>
  </si>
  <si>
    <t>BYJ1537</t>
  </si>
  <si>
    <t>Vedhika Oza</t>
  </si>
  <si>
    <t>BYJ1538</t>
  </si>
  <si>
    <t>Tripti Babu</t>
  </si>
  <si>
    <t>2020-10-02</t>
  </si>
  <si>
    <t>BYJ1539</t>
  </si>
  <si>
    <t>Tanmayi Acharya</t>
  </si>
  <si>
    <t>Panihati</t>
  </si>
  <si>
    <t>BYJ1540</t>
  </si>
  <si>
    <t>Chasmum Dutt</t>
  </si>
  <si>
    <t>Tiruchirappalli</t>
  </si>
  <si>
    <t>BYJ1541</t>
  </si>
  <si>
    <t>Zashil Butala</t>
  </si>
  <si>
    <t>BYJ1542</t>
  </si>
  <si>
    <t>Meghana Mody</t>
  </si>
  <si>
    <t>Haldia</t>
  </si>
  <si>
    <t>2025-12-24</t>
  </si>
  <si>
    <t>BYJ1543</t>
  </si>
  <si>
    <t>Girish Agarwal</t>
  </si>
  <si>
    <t>BYJ1544</t>
  </si>
  <si>
    <t>Kevin Kara</t>
  </si>
  <si>
    <t>BYJ1545</t>
  </si>
  <si>
    <t>Hemal Dara</t>
  </si>
  <si>
    <t>2025-07-07</t>
  </si>
  <si>
    <t>BYJ1546</t>
  </si>
  <si>
    <t>Ekavir Karnik</t>
  </si>
  <si>
    <t>Hubli–Dharwad</t>
  </si>
  <si>
    <t>2025-03-13</t>
  </si>
  <si>
    <t>BYJ1547</t>
  </si>
  <si>
    <t>Harshil Munshi</t>
  </si>
  <si>
    <t xml:space="preserve"> Dewas</t>
  </si>
  <si>
    <t>BYJ1548</t>
  </si>
  <si>
    <t>Lavanya Deol</t>
  </si>
  <si>
    <t>BYJ1549</t>
  </si>
  <si>
    <t>Nitesh Sarraf</t>
  </si>
  <si>
    <t>28-09-2024</t>
  </si>
  <si>
    <t>BYJ1550</t>
  </si>
  <si>
    <t>Nisha Savant</t>
  </si>
  <si>
    <t>Chandigarh</t>
  </si>
  <si>
    <t>2020-03-17</t>
  </si>
  <si>
    <t>BYJ1551</t>
  </si>
  <si>
    <t>Logan Dasgupta</t>
  </si>
  <si>
    <t>2023-01-17</t>
  </si>
  <si>
    <t>BYJ1552</t>
  </si>
  <si>
    <t>Divya Dey</t>
  </si>
  <si>
    <t>BYJ1553</t>
  </si>
  <si>
    <t>Yuvraj Mane</t>
  </si>
  <si>
    <t>BYJ1554</t>
  </si>
  <si>
    <t>Zarna Upadhyay</t>
  </si>
  <si>
    <t>2022-01-18</t>
  </si>
  <si>
    <t>BYJ1555</t>
  </si>
  <si>
    <t>Chatura Khatri</t>
  </si>
  <si>
    <t>2019-09-18</t>
  </si>
  <si>
    <t>BYJ1556</t>
  </si>
  <si>
    <t>Wridesh Tata</t>
  </si>
  <si>
    <t>BYJ1557</t>
  </si>
  <si>
    <t>Jalsa Nadig</t>
  </si>
  <si>
    <t>BYJ1558</t>
  </si>
  <si>
    <t>Jasmit Gera</t>
  </si>
  <si>
    <t>2025-02-01</t>
  </si>
  <si>
    <t>BYJ1559</t>
  </si>
  <si>
    <t>Ekansh Atwal</t>
  </si>
  <si>
    <t>Thrissur</t>
  </si>
  <si>
    <t>2016-11-05</t>
  </si>
  <si>
    <t>BYJ1560</t>
  </si>
  <si>
    <t>Darpan Rao</t>
  </si>
  <si>
    <t>2019-10-24</t>
  </si>
  <si>
    <t>BYJ1561</t>
  </si>
  <si>
    <t>Pallavi Ratti</t>
  </si>
  <si>
    <t>Oct 2018</t>
  </si>
  <si>
    <t>BYJ1562</t>
  </si>
  <si>
    <t>Arunima Chacko</t>
  </si>
  <si>
    <t>BYJ1563</t>
  </si>
  <si>
    <t>Nachiket Yadav</t>
  </si>
  <si>
    <t>28-03-2018</t>
  </si>
  <si>
    <t>BYJ1564</t>
  </si>
  <si>
    <t>Dayita Sarkar</t>
  </si>
  <si>
    <t>22-10-2023</t>
  </si>
  <si>
    <t>BYJ1565</t>
  </si>
  <si>
    <t>Gabriel Saraf</t>
  </si>
  <si>
    <t>BYJ1566</t>
  </si>
  <si>
    <t xml:space="preserve">  Dayamai Gill  </t>
  </si>
  <si>
    <t>2020-08-10</t>
  </si>
  <si>
    <t>BYJ1567</t>
  </si>
  <si>
    <t>Advay Gade</t>
  </si>
  <si>
    <t>Sri Ganganagar</t>
  </si>
  <si>
    <t>2022-07-27</t>
  </si>
  <si>
    <t>BYJ1568</t>
  </si>
  <si>
    <t>Ojas Prabhu</t>
  </si>
  <si>
    <t>27-02-2024</t>
  </si>
  <si>
    <t>BYJ1569</t>
  </si>
  <si>
    <t>Ayushman Nayak</t>
  </si>
  <si>
    <t>2022-02-05</t>
  </si>
  <si>
    <t>BYJ1570</t>
  </si>
  <si>
    <t>Adya Bose</t>
  </si>
  <si>
    <t>Sirsa</t>
  </si>
  <si>
    <t>BYJ1571</t>
  </si>
  <si>
    <t>Christopher Tata</t>
  </si>
  <si>
    <t xml:space="preserve"> Arrah</t>
  </si>
  <si>
    <t>2020-09-05</t>
  </si>
  <si>
    <t>BYJ1572</t>
  </si>
  <si>
    <t>Aadhya Chauhan</t>
  </si>
  <si>
    <t>Ambattur</t>
  </si>
  <si>
    <t>BYJ1573</t>
  </si>
  <si>
    <t>Chaitanya Arora</t>
  </si>
  <si>
    <t>16-03-2019</t>
  </si>
  <si>
    <t>BYJ1574</t>
  </si>
  <si>
    <t>Januja Rajagopal</t>
  </si>
  <si>
    <t>05-01-2023</t>
  </si>
  <si>
    <t>BYJ1575</t>
  </si>
  <si>
    <t>Oni Kapur</t>
  </si>
  <si>
    <t>BYJ1576</t>
  </si>
  <si>
    <t>Ekaja Madan</t>
  </si>
  <si>
    <t xml:space="preserve"> Aurangabad</t>
  </si>
  <si>
    <t>13-02-2024</t>
  </si>
  <si>
    <t>BYJ1577</t>
  </si>
  <si>
    <t>Jagdish Thakkar</t>
  </si>
  <si>
    <t>BYJ1578</t>
  </si>
  <si>
    <t>Zaitra Batra</t>
  </si>
  <si>
    <t>BYJ1579</t>
  </si>
  <si>
    <t>Barkha Mukhopadhyay</t>
  </si>
  <si>
    <t>19-09-2017</t>
  </si>
  <si>
    <t>BYJ1580</t>
  </si>
  <si>
    <t>Abhiram Pillay</t>
  </si>
  <si>
    <t>BYJ1581</t>
  </si>
  <si>
    <t>Xavier Shetty</t>
  </si>
  <si>
    <t>11-11-2022</t>
  </si>
  <si>
    <t>BYJ1582</t>
  </si>
  <si>
    <t>Rohan Korpal</t>
  </si>
  <si>
    <t>BYJ1583</t>
  </si>
  <si>
    <t>Arjun Kaul</t>
  </si>
  <si>
    <t>2019-09-09</t>
  </si>
  <si>
    <t>BYJ1584</t>
  </si>
  <si>
    <t>Aarav Puri</t>
  </si>
  <si>
    <t>10-05-2022</t>
  </si>
  <si>
    <t>BYJ1585</t>
  </si>
  <si>
    <t>Wazir Saini</t>
  </si>
  <si>
    <t xml:space="preserve"> Allahabad</t>
  </si>
  <si>
    <t>BYJ1586</t>
  </si>
  <si>
    <t>Ati Chander</t>
  </si>
  <si>
    <t>BYJ1587</t>
  </si>
  <si>
    <t>Kashish Shanker</t>
  </si>
  <si>
    <t>Amaravati</t>
  </si>
  <si>
    <t>17-08-2024</t>
  </si>
  <si>
    <t>BYJ1588</t>
  </si>
  <si>
    <t>Yashasvi Deol</t>
  </si>
  <si>
    <t>2018-05-05</t>
  </si>
  <si>
    <t>BYJ1589</t>
  </si>
  <si>
    <t xml:space="preserve">  Radhika De  </t>
  </si>
  <si>
    <t>BYJ1590</t>
  </si>
  <si>
    <t>Divya Ramaswamy</t>
  </si>
  <si>
    <t>2020-07-26</t>
  </si>
  <si>
    <t>BYJ1591</t>
  </si>
  <si>
    <t>Anita Kaur</t>
  </si>
  <si>
    <t>BYJ1592</t>
  </si>
  <si>
    <t>Ikbal Dugal</t>
  </si>
  <si>
    <t>BYJ1593</t>
  </si>
  <si>
    <t>Unnati Murthy</t>
  </si>
  <si>
    <t>BYJ1594</t>
  </si>
  <si>
    <t>Sarthak Seth</t>
  </si>
  <si>
    <t>2020-07-20</t>
  </si>
  <si>
    <t>BYJ1595</t>
  </si>
  <si>
    <t>Jagdish Chana</t>
  </si>
  <si>
    <t>BYJ1596</t>
  </si>
  <si>
    <t>Tanveer Narang</t>
  </si>
  <si>
    <t>BYJ1597</t>
  </si>
  <si>
    <t>Ishani Randhawa</t>
  </si>
  <si>
    <t>03-11-2017</t>
  </si>
  <si>
    <t>BYJ1598</t>
  </si>
  <si>
    <t>Owen Balasubramanian</t>
  </si>
  <si>
    <t>Sep 2025</t>
  </si>
  <si>
    <t>BYJ1599</t>
  </si>
  <si>
    <t>Girindra Shere</t>
  </si>
  <si>
    <t>2025-07-08</t>
  </si>
  <si>
    <t>BYJ1600</t>
  </si>
  <si>
    <t>Advik Bhatia</t>
  </si>
  <si>
    <t>13-04-2021</t>
  </si>
  <si>
    <t>DATA QUALITY ASSUMPTIONS (reference inputs used by cleaning formulas)</t>
  </si>
  <si>
    <t>Median Age (valid records only)</t>
  </si>
  <si>
    <t>Age between 3 and 80 only; used to impute missing/invalid Age</t>
  </si>
  <si>
    <t>Valid Age - Minimum</t>
  </si>
  <si>
    <t>Ages below this are treated as data-entry errors</t>
  </si>
  <si>
    <t>Valid Age - Maximum</t>
  </si>
  <si>
    <t>Ages above this are treated as data-entry errors</t>
  </si>
  <si>
    <t>Median Fee Paid</t>
  </si>
  <si>
    <t>Used to impute blank Fee_Paid values</t>
  </si>
  <si>
    <t>Median Performance Score</t>
  </si>
  <si>
    <t>Used to impute blank Performance_Score values</t>
  </si>
  <si>
    <t>Age_Clean</t>
  </si>
  <si>
    <t>Age_Flag</t>
  </si>
  <si>
    <t>Gender_Clean</t>
  </si>
  <si>
    <t>City_Clean</t>
  </si>
  <si>
    <t>State_Clean</t>
  </si>
  <si>
    <t>Course_Type_Clean</t>
  </si>
  <si>
    <t>Learning_Center_Clean</t>
  </si>
  <si>
    <t>Enrollment_Year</t>
  </si>
  <si>
    <t>Parent_Occupation_Clean</t>
  </si>
  <si>
    <t>Age_Group_Calc</t>
  </si>
  <si>
    <t>Age_Category_Calc</t>
  </si>
  <si>
    <t>Learner_Category_Clean</t>
  </si>
  <si>
    <t>Learning_Mode_Clean</t>
  </si>
  <si>
    <t>Fee_Paid_Clean</t>
  </si>
  <si>
    <t>Fee_Paid_Flag</t>
  </si>
  <si>
    <t>Subscription_Status_Clean</t>
  </si>
  <si>
    <t>Performance_Score_Clean</t>
  </si>
  <si>
    <t>Performance_Score_Flag</t>
  </si>
  <si>
    <t>App_Usage_Clean</t>
  </si>
  <si>
    <t>Web_Usage_Clean</t>
  </si>
  <si>
    <t>Duplicate_Flag</t>
  </si>
  <si>
    <t>Row_Quality_Flag</t>
  </si>
  <si>
    <t>Purpose</t>
  </si>
  <si>
    <t>Total Students</t>
  </si>
  <si>
    <t>Count of Student_ID</t>
  </si>
  <si>
    <t>Sum of Fee_Paid_Clean</t>
  </si>
  <si>
    <t>Sum of Fee_Outstanding</t>
  </si>
  <si>
    <t>Row Labels</t>
  </si>
  <si>
    <t>Grand Total</t>
  </si>
  <si>
    <t>Sum of Avg_Monthly_Study_Hours</t>
  </si>
  <si>
    <t>STUDENT BY LEARNING MODE</t>
  </si>
  <si>
    <t>STUDENT BY COURSE TYPE</t>
  </si>
  <si>
    <t>Jee Prep</t>
  </si>
  <si>
    <t>Neet Prep</t>
  </si>
  <si>
    <t>FEE OUTSTANDING BY COURSE</t>
  </si>
  <si>
    <t>All</t>
  </si>
  <si>
    <t>Count of Performance_Score_Clean</t>
  </si>
  <si>
    <t>STUDENTS BY STATE</t>
  </si>
  <si>
    <t>avg performance by course type</t>
  </si>
  <si>
    <t>STUDENTS BY LEARNER CATEGORY</t>
  </si>
  <si>
    <t>fee paid by course type</t>
  </si>
  <si>
    <t>KEY PERFORMANCE INDICATORS (KPI)</t>
  </si>
  <si>
    <t>Area</t>
  </si>
  <si>
    <t>Key Insight</t>
  </si>
  <si>
    <t>Business Interpretation</t>
  </si>
  <si>
    <t>Student Base</t>
  </si>
  <si>
    <t>606 students are covered in the dashboard.</t>
  </si>
  <si>
    <t>Provides an overall view of the learner population.</t>
  </si>
  <si>
    <t>Financial Performance</t>
  </si>
  <si>
    <t>₹4,55,99,859 has been collected in total fees.</t>
  </si>
  <si>
    <t>Shows the overall fee revenue generated.</t>
  </si>
  <si>
    <t>Fee Outstanding</t>
  </si>
  <si>
    <t>₹1,81,33,088.80 remains outstanding.</t>
  </si>
  <si>
    <t>Highlights the amount requiring payment monitoring.</t>
  </si>
  <si>
    <t>Study Engagement</t>
  </si>
  <si>
    <t>Total study hours recorded are 26,100.9.</t>
  </si>
  <si>
    <t>Indicates the overall level of learner engagement.</t>
  </si>
  <si>
    <t>Course Demand</t>
  </si>
  <si>
    <t>NEET Prep has the highest enrollment with 100 students.</t>
  </si>
  <si>
    <t>Indicates strong learner participation in the course.</t>
  </si>
  <si>
    <t>Fee Contribution</t>
  </si>
  <si>
    <t>NEET Prep contributes approximately ₹72.51 lakh in fees.</t>
  </si>
  <si>
    <t>Represents a major course-level contribution to fee collection.</t>
  </si>
  <si>
    <t>Learning Mode</t>
  </si>
  <si>
    <t>Learning modes are distributed at approximately 33–34% each.</t>
  </si>
  <si>
    <t>Indicates a relatively balanced usage pattern.</t>
  </si>
  <si>
    <t>Learner Profile</t>
  </si>
  <si>
    <t>Non-Premium learners account for 72%.</t>
  </si>
  <si>
    <t>Shows the dominant learner segment.</t>
  </si>
  <si>
    <t>Academic Performance</t>
  </si>
  <si>
    <t>NEET Prep has the highest visible average performance.</t>
  </si>
  <si>
    <t>Highlights variation in performance across courses.</t>
  </si>
  <si>
    <t>Geographical Reach</t>
  </si>
  <si>
    <t>Uttar Pradesh has the highest displayed student count at 73.</t>
  </si>
  <si>
    <t>Shows stronger student representation in the state.</t>
  </si>
  <si>
    <t>Remove Extra Spaces</t>
  </si>
  <si>
    <t>Removes unnecessary spaces from text values.</t>
  </si>
  <si>
    <t>Remove Hidden Characters</t>
  </si>
  <si>
    <t>Handle Missing Values</t>
  </si>
  <si>
    <t>Identify Duplicates</t>
  </si>
  <si>
    <t>Convert Text to Number</t>
  </si>
  <si>
    <t>Converts numbers stored as text into numeric values.</t>
  </si>
  <si>
    <t>Clean Currency Values</t>
  </si>
  <si>
    <t>Validate Performance Score</t>
  </si>
  <si>
    <t>Standardize Text</t>
  </si>
  <si>
    <t>Standardize Categories</t>
  </si>
  <si>
    <t>Converts category values into a consistent uppercase format.</t>
  </si>
  <si>
    <t>Create Data Quality Flag</t>
  </si>
  <si>
    <t>Remove Duplicate Records</t>
  </si>
  <si>
    <t>Removes repeated records from the dataset.</t>
  </si>
  <si>
    <t>Removes non-printable characters.</t>
  </si>
  <si>
    <t>Handle Errors</t>
  </si>
  <si>
    <t>Cleaning area</t>
  </si>
  <si>
    <t>Formula used</t>
  </si>
  <si>
    <t>Checks whether performance scores are within the valid range.</t>
  </si>
  <si>
    <t>TRIM()</t>
  </si>
  <si>
    <t>CLEAN()</t>
  </si>
  <si>
    <t>IF()</t>
  </si>
  <si>
    <t>Replaces blank or missing values with a suitable value.</t>
  </si>
  <si>
    <t>COUNTIF()</t>
  </si>
  <si>
    <t>Detects duplicate records in the dataset.</t>
  </si>
  <si>
    <t>IFERROR()</t>
  </si>
  <si>
    <t>Handles formula errors and returns a meaningful result.</t>
  </si>
  <si>
    <t>VALUE()</t>
  </si>
  <si>
    <r>
      <t>SUBSTITUTE()</t>
    </r>
    <r>
      <rPr>
        <sz val="11"/>
        <color theme="1"/>
        <rFont val="Calibri"/>
        <family val="2"/>
        <charset val="1"/>
      </rPr>
      <t xml:space="preserve"> + </t>
    </r>
    <r>
      <rPr>
        <sz val="10"/>
        <color theme="1"/>
        <rFont val="Arial Unicode MS"/>
      </rPr>
      <t>VALUE()</t>
    </r>
  </si>
  <si>
    <t>Removes currency symbols and converts values into numbers.</t>
  </si>
  <si>
    <r>
      <t>IF()</t>
    </r>
    <r>
      <rPr>
        <sz val="11"/>
        <color theme="1"/>
        <rFont val="Calibri"/>
        <family val="2"/>
        <charset val="1"/>
      </rPr>
      <t xml:space="preserve"> + </t>
    </r>
    <r>
      <rPr>
        <sz val="10"/>
        <color theme="1"/>
        <rFont val="Arial Unicode MS"/>
      </rPr>
      <t>AND()</t>
    </r>
  </si>
  <si>
    <t>PROPER()</t>
  </si>
  <si>
    <t>Converts text into consistent capitalization.</t>
  </si>
  <si>
    <t>UPPER()</t>
  </si>
  <si>
    <r>
      <t>IF()</t>
    </r>
    <r>
      <rPr>
        <sz val="11"/>
        <color theme="1"/>
        <rFont val="Calibri"/>
        <family val="2"/>
        <charset val="1"/>
      </rPr>
      <t xml:space="preserve"> + </t>
    </r>
    <r>
      <rPr>
        <sz val="10"/>
        <color theme="1"/>
        <rFont val="Arial Unicode MS"/>
      </rPr>
      <t>OR()</t>
    </r>
  </si>
  <si>
    <t>Identifies records containing missing or incomplete information.</t>
  </si>
  <si>
    <t>Remove Duplicates</t>
  </si>
  <si>
    <t>Extract Clean Text</t>
  </si>
  <si>
    <t>Extracts the required portion of text from a mixed-value cell.</t>
  </si>
  <si>
    <t>TEXTBEFORE() / TEXTAFTER()</t>
  </si>
  <si>
    <t>Standardize Text Values</t>
  </si>
  <si>
    <t>Converts text into a consistent uppercase format.</t>
  </si>
  <si>
    <t>KPI METRICS</t>
  </si>
  <si>
    <t>KPI Metric</t>
  </si>
  <si>
    <t>Formula</t>
  </si>
  <si>
    <t>Counts the total number of students.</t>
  </si>
  <si>
    <t>Total Fees Collected</t>
  </si>
  <si>
    <t>Calculates the total fees collected.</t>
  </si>
  <si>
    <t>Calculates the total outstanding fees.</t>
  </si>
  <si>
    <t>Average Performance Score</t>
  </si>
  <si>
    <t>Calculates the average student performance score.</t>
  </si>
  <si>
    <t>(=COUNTA(Student_ID_Range)</t>
  </si>
  <si>
    <t>(=SUM(Fee_Paid_Clean_Range)</t>
  </si>
  <si>
    <t>(=SUM(Fee_Outstanding_Range)</t>
  </si>
  <si>
    <t>(=AVERAGE(Performance_Score_Clean_Range)</t>
  </si>
  <si>
    <t>Additional Metric</t>
  </si>
  <si>
    <t>Formula / Method</t>
  </si>
  <si>
    <t>Total Study Hours</t>
  </si>
  <si>
    <t>(=SUM(Study_Hours_Range))</t>
  </si>
  <si>
    <t>Calculates the total study hours recorded by students.</t>
  </si>
  <si>
    <t>Average Study Hours</t>
  </si>
  <si>
    <t>(=AVERAGE(Study_Hours_Range))</t>
  </si>
  <si>
    <t>Calculates the average study time per student.</t>
  </si>
  <si>
    <t>Student Count by Course</t>
  </si>
  <si>
    <t>(=COUNTIF(Course_Type_Range,Course_Name))</t>
  </si>
  <si>
    <t>Counts students belonging to a specific course.</t>
  </si>
  <si>
    <t>Fee Collection by Course</t>
  </si>
  <si>
    <t>(=SUMIF(Course_Type_Range,Course_Name,Fee_Paid_Clean_Range))</t>
  </si>
  <si>
    <t>Calculates fees collected for a particular course.</t>
  </si>
  <si>
    <t>Outstanding Fees by Course</t>
  </si>
  <si>
    <t>(=SUMIF(Course_Type_Range,Course_Name,Fee_Outstanding_Range))</t>
  </si>
  <si>
    <t>Calculates pending fees for a particular course.</t>
  </si>
  <si>
    <t>Average Performance by Course</t>
  </si>
  <si>
    <t>(=AVERAGEIF(Course_Type_Range,Course_Name,Performance_Score_Clean_Range))</t>
  </si>
  <si>
    <t>Calculates average performance for each course.</t>
  </si>
  <si>
    <t>Students by Learning Mode</t>
  </si>
  <si>
    <t>(=COUNTIF(Learning_Mode_Clean_Range,Mode_Name))</t>
  </si>
  <si>
    <t>Counts students based on learning mode.</t>
  </si>
  <si>
    <t>Students by Learner Category</t>
  </si>
  <si>
    <t>(=COUNTIF(Learner_Category_Clean_Range,Category_Name))</t>
  </si>
  <si>
    <t>Counts students in each learner category.</t>
  </si>
  <si>
    <t>Students by State</t>
  </si>
  <si>
    <t>(=COUNTIF(State_Range,State_Name))</t>
  </si>
  <si>
    <t>Counts students from each state.</t>
  </si>
  <si>
    <t>Fee Collection Percentage</t>
  </si>
  <si>
    <t>(=Fee_Paid/(Fee_Paid+Fee_Outstanding)*100)</t>
  </si>
  <si>
    <t>Calculates the percentage of fees collected.</t>
  </si>
  <si>
    <t>Outstanding Fee Percentage</t>
  </si>
  <si>
    <t>ADDITIONAL METRICS</t>
  </si>
  <si>
    <t>(=Fee_Outstanding/(Fee_Paid+Fee_Outstanding)*100)</t>
  </si>
  <si>
    <t>Calculates the percentage of fees outstanding.</t>
  </si>
  <si>
    <t>Course-wise Performance Comparison</t>
  </si>
  <si>
    <t>(=AVERAGEIF())</t>
  </si>
  <si>
    <t>Compares average performance across courses.</t>
  </si>
  <si>
    <t xml:space="preserve">BYJU'S Learning Analytics - Data Cleaning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</si>
</sst>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Red]&quot;₹&quot;\ #,##0.00"/>
  </numFmts>
  <fonts count="19">
    <font>
      <sz val="11"/>
      <color theme="1"/>
      <name val="Calibri"/>
      <family val="2"/>
      <charset val="1"/>
    </font>
    <font>
      <b/>
      <sz val="11"/>
      <color rgb="FFFFFFFF"/>
      <name val="Arial"/>
      <charset val="1"/>
    </font>
    <font>
      <sz val="10"/>
      <name val="Arial"/>
      <charset val="1"/>
    </font>
    <font>
      <b/>
      <sz val="12"/>
      <color rgb="FF1B1F3B"/>
      <name val="Calibri"/>
      <charset val="1"/>
    </font>
    <font>
      <b/>
      <sz val="10"/>
      <color rgb="FF0000FF"/>
      <name val="Calibri"/>
      <charset val="1"/>
    </font>
    <font>
      <sz val="11"/>
      <color theme="0"/>
      <name val="Calibri"/>
      <family val="2"/>
      <charset val="1"/>
    </font>
    <font>
      <b/>
      <sz val="11"/>
      <color theme="0"/>
      <name val="Lato Black"/>
      <family val="2"/>
    </font>
    <font>
      <b/>
      <sz val="9"/>
      <color rgb="FF5A5F73"/>
      <name val="Amasis MT Pro Black"/>
      <family val="1"/>
    </font>
    <font>
      <i/>
      <sz val="9"/>
      <color rgb="FF5A5F73"/>
      <name val="Amasis MT Pro Black"/>
      <family val="1"/>
    </font>
    <font>
      <b/>
      <sz val="11"/>
      <color rgb="FF1B1F3B"/>
      <name val="Calibri"/>
      <family val="2"/>
    </font>
    <font>
      <b/>
      <sz val="11"/>
      <color theme="1"/>
      <name val="Calibri"/>
      <family val="2"/>
      <charset val="1"/>
    </font>
    <font>
      <b/>
      <sz val="11"/>
      <color theme="0"/>
      <name val="Calibri"/>
      <family val="2"/>
    </font>
    <font>
      <sz val="10"/>
      <color theme="1"/>
      <name val="Arial Unicode MS"/>
    </font>
    <font>
      <b/>
      <sz val="14"/>
      <color theme="0"/>
      <name val="Calibri"/>
      <family val="2"/>
    </font>
    <font>
      <sz val="11"/>
      <color theme="1"/>
      <name val="Calibri"/>
      <family val="2"/>
    </font>
    <font>
      <sz val="14"/>
      <color theme="0"/>
      <name val="Calibri"/>
      <family val="2"/>
    </font>
    <font>
      <b/>
      <sz val="14"/>
      <color theme="0"/>
      <name val="ITALIC"/>
    </font>
    <font>
      <b/>
      <sz val="11"/>
      <color rgb="FFFFFFFF"/>
      <name val="Calibri"/>
      <family val="2"/>
      <charset val="1"/>
    </font>
    <font>
      <sz val="10"/>
      <name val="Calibri"/>
      <family val="2"/>
      <charset val="1"/>
    </font>
  </fonts>
  <fills count="7">
    <fill>
      <patternFill patternType="none"/>
    </fill>
    <fill>
      <patternFill patternType="gray125"/>
    </fill>
    <fill>
      <patternFill patternType="solid">
        <fgColor rgb="FF2E5395"/>
        <bgColor rgb="FF5A5F73"/>
      </patternFill>
    </fill>
    <fill>
      <patternFill patternType="solid">
        <fgColor rgb="FFFFF6D9"/>
        <bgColor rgb="FFFFE8E8"/>
      </patternFill>
    </fill>
    <fill>
      <patternFill patternType="solid">
        <fgColor rgb="FF7C3284"/>
        <bgColor indexed="64"/>
      </patternFill>
    </fill>
    <fill>
      <patternFill patternType="solid">
        <fgColor rgb="FF7C3284"/>
        <bgColor rgb="FF1D2B53"/>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rgb="FFD0D3E0"/>
      </left>
      <right/>
      <top style="thin">
        <color rgb="FFD0D3E0"/>
      </top>
      <bottom/>
      <diagonal/>
    </border>
    <border>
      <left style="thin">
        <color rgb="FFD0D3E0"/>
      </left>
      <right/>
      <top style="thin">
        <color rgb="FFD0D3E0"/>
      </top>
      <bottom style="thin">
        <color rgb="FFD0D3E0"/>
      </bottom>
      <diagonal/>
    </border>
  </borders>
  <cellStyleXfs count="1">
    <xf numFmtId="0" fontId="0" fillId="0" borderId="0"/>
  </cellStyleXfs>
  <cellXfs count="38">
    <xf numFmtId="0" fontId="0" fillId="0" borderId="0" xfId="0"/>
    <xf numFmtId="0" fontId="1" fillId="2" borderId="0" xfId="0" applyFont="1" applyFill="1" applyAlignment="1">
      <alignment horizontal="center"/>
    </xf>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0" fontId="0" fillId="0" borderId="1" xfId="0" applyBorder="1"/>
    <xf numFmtId="0" fontId="9" fillId="0" borderId="1" xfId="0" applyFont="1" applyBorder="1"/>
    <xf numFmtId="0" fontId="4" fillId="3" borderId="1" xfId="0" applyFont="1" applyFill="1" applyBorder="1"/>
    <xf numFmtId="0" fontId="7" fillId="0" borderId="1" xfId="0" applyFont="1" applyBorder="1"/>
    <xf numFmtId="0" fontId="8" fillId="0" borderId="1" xfId="0" applyFont="1" applyBorder="1"/>
    <xf numFmtId="0" fontId="0" fillId="4" borderId="0" xfId="0" applyFill="1" applyAlignment="1">
      <alignment horizontal="center" wrapText="1"/>
    </xf>
    <xf numFmtId="0" fontId="0" fillId="0" borderId="0" xfId="0" applyAlignment="1">
      <alignment wrapText="1"/>
    </xf>
    <xf numFmtId="0" fontId="0" fillId="0" borderId="0" xfId="0" applyAlignment="1">
      <alignment horizontal="center" vertical="center" wrapText="1"/>
    </xf>
    <xf numFmtId="0" fontId="10" fillId="0" borderId="0" xfId="0" applyFont="1" applyAlignment="1">
      <alignment horizontal="center" vertical="center" wrapText="1"/>
    </xf>
    <xf numFmtId="0" fontId="0" fillId="0" borderId="0" xfId="0" applyAlignment="1">
      <alignment vertical="center" wrapText="1"/>
    </xf>
    <xf numFmtId="0" fontId="12" fillId="0" borderId="0" xfId="0" applyFont="1" applyAlignment="1">
      <alignment vertical="center" wrapText="1"/>
    </xf>
    <xf numFmtId="0" fontId="10" fillId="0" borderId="0" xfId="0" applyFont="1" applyAlignment="1">
      <alignment vertical="center" wrapText="1"/>
    </xf>
    <xf numFmtId="0" fontId="0" fillId="0" borderId="0" xfId="0" applyAlignment="1">
      <alignment horizontal="center" wrapText="1"/>
    </xf>
    <xf numFmtId="0" fontId="14" fillId="0" borderId="0" xfId="0" applyFont="1" applyAlignment="1">
      <alignment vertical="center" wrapText="1"/>
    </xf>
    <xf numFmtId="0" fontId="14" fillId="0" borderId="0" xfId="0" applyFont="1" applyAlignment="1">
      <alignment horizontal="left" vertical="center" wrapText="1"/>
    </xf>
    <xf numFmtId="0" fontId="15" fillId="4" borderId="0" xfId="0" applyFont="1" applyFill="1" applyAlignment="1">
      <alignment horizontal="center"/>
    </xf>
    <xf numFmtId="0" fontId="17" fillId="5" borderId="2" xfId="0" applyFont="1" applyFill="1" applyBorder="1" applyAlignment="1">
      <alignment horizontal="center" vertical="center" wrapText="1"/>
    </xf>
    <xf numFmtId="0" fontId="18" fillId="6" borderId="2" xfId="0" applyFont="1" applyFill="1" applyBorder="1" applyAlignment="1">
      <alignment horizontal="left"/>
    </xf>
    <xf numFmtId="0" fontId="18" fillId="6" borderId="2" xfId="0" applyFont="1" applyFill="1" applyBorder="1" applyAlignment="1">
      <alignment horizontal="right"/>
    </xf>
    <xf numFmtId="0" fontId="18" fillId="0" borderId="2" xfId="0" applyFont="1" applyBorder="1" applyAlignment="1">
      <alignment horizontal="left"/>
    </xf>
    <xf numFmtId="0" fontId="18" fillId="0" borderId="2" xfId="0" applyFont="1" applyBorder="1" applyAlignment="1">
      <alignment horizontal="right"/>
    </xf>
    <xf numFmtId="0" fontId="18" fillId="6" borderId="3" xfId="0" applyFont="1" applyFill="1" applyBorder="1" applyAlignment="1">
      <alignment horizontal="left"/>
    </xf>
    <xf numFmtId="0" fontId="18" fillId="6" borderId="3" xfId="0" applyFont="1" applyFill="1" applyBorder="1" applyAlignment="1">
      <alignment horizontal="right"/>
    </xf>
    <xf numFmtId="4" fontId="0" fillId="0" borderId="0" xfId="0" applyNumberFormat="1"/>
    <xf numFmtId="0" fontId="13" fillId="4" borderId="0" xfId="0" applyFont="1" applyFill="1" applyAlignment="1">
      <alignment horizontal="center"/>
    </xf>
    <xf numFmtId="0" fontId="11" fillId="4" borderId="0" xfId="0" applyFont="1" applyFill="1" applyAlignment="1">
      <alignment horizontal="center"/>
    </xf>
    <xf numFmtId="0" fontId="16" fillId="4" borderId="0" xfId="0" applyFont="1" applyFill="1" applyAlignment="1">
      <alignment horizontal="center"/>
    </xf>
    <xf numFmtId="0" fontId="5" fillId="4" borderId="0" xfId="0" applyFont="1" applyFill="1" applyAlignment="1">
      <alignment horizontal="center"/>
    </xf>
    <xf numFmtId="0" fontId="3" fillId="0" borderId="1" xfId="0" applyFont="1" applyBorder="1"/>
    <xf numFmtId="0" fontId="7" fillId="0" borderId="1" xfId="0" applyFont="1" applyBorder="1"/>
    <xf numFmtId="0" fontId="8" fillId="0" borderId="1" xfId="0" applyFont="1" applyBorder="1"/>
    <xf numFmtId="0" fontId="6" fillId="4" borderId="0" xfId="0" applyFont="1" applyFill="1" applyAlignment="1">
      <alignment horizontal="center"/>
    </xf>
  </cellXfs>
  <cellStyles count="1">
    <cellStyle name="Normal" xfId="0" builtinId="0"/>
  </cellStyles>
  <dxfs count="29">
    <dxf>
      <fill>
        <patternFill>
          <bgColor rgb="FFC9F2C9"/>
        </patternFill>
      </fill>
    </dxf>
    <dxf>
      <fill>
        <patternFill>
          <bgColor rgb="FFFFF3B0"/>
        </patternFill>
      </fill>
    </dxf>
    <dxf>
      <fill>
        <patternFill>
          <bgColor rgb="FFFFB3B3"/>
        </patternFill>
      </fill>
    </dxf>
    <dxf>
      <fill>
        <patternFill>
          <bgColor rgb="FFFFB3B3"/>
        </patternFill>
      </fill>
    </dxf>
    <dxf>
      <fill>
        <patternFill>
          <bgColor rgb="FFFFF3B0"/>
        </patternFill>
      </fill>
    </dxf>
    <dxf>
      <fill>
        <patternFill>
          <bgColor rgb="FFFFF3B0"/>
        </patternFill>
      </fill>
    </dxf>
    <dxf>
      <fill>
        <patternFill>
          <bgColor rgb="FFFFC299"/>
        </patternFill>
      </fill>
    </dxf>
    <dxf>
      <fill>
        <patternFill>
          <bgColor rgb="FFFFF3B0"/>
        </patternFill>
      </fill>
    </dxf>
    <dxf>
      <fill>
        <patternFill>
          <bgColor rgb="FFFFE8E8"/>
        </patternFill>
      </fill>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ill>
        <patternFill patternType="solid">
          <fgColor indexed="64"/>
          <bgColor rgb="FF7C3284"/>
        </patternFill>
      </fill>
      <alignment horizontal="center" vertical="bottom" textRotation="0" wrapText="1" indent="0" justifyLastLine="0" shrinkToFit="0" readingOrder="0"/>
    </dxf>
    <dxf>
      <numFmt numFmtId="0" formatCode="General"/>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font>
        <b/>
        <color theme="1"/>
      </font>
      <fill>
        <patternFill>
          <bgColor theme="0"/>
        </patternFill>
      </fill>
      <border>
        <bottom style="thin">
          <color theme="7"/>
        </bottom>
        <vertical/>
        <horizontal/>
      </border>
    </dxf>
    <dxf>
      <font>
        <color theme="0"/>
        <name val="Lato Black"/>
        <family val="2"/>
        <scheme val="none"/>
      </font>
      <fill>
        <patternFill>
          <bgColor rgb="FF7C3284"/>
        </patternFill>
      </fill>
      <border>
        <left style="thin">
          <color theme="7"/>
        </left>
        <right style="thin">
          <color theme="7"/>
        </right>
        <top style="thin">
          <color theme="7"/>
        </top>
        <bottom style="thin">
          <color theme="7"/>
        </bottom>
        <vertical/>
        <horizontal/>
      </border>
    </dxf>
    <dxf>
      <font>
        <color theme="1"/>
        <name val="Cambria"/>
        <family val="1"/>
        <scheme val="major"/>
      </font>
      <fill>
        <patternFill>
          <bgColor theme="0"/>
        </patternFill>
      </fill>
      <border>
        <bottom style="thin">
          <color theme="7"/>
        </bottom>
        <vertical/>
        <horizontal/>
      </border>
    </dxf>
    <dxf>
      <font>
        <color theme="0"/>
        <name val="Lato Black"/>
        <family val="2"/>
        <scheme val="none"/>
      </font>
      <fill>
        <patternFill>
          <bgColor rgb="FF7C3284"/>
        </patternFill>
      </fill>
      <border>
        <left style="thin">
          <color theme="7"/>
        </left>
        <right style="thin">
          <color theme="7"/>
        </right>
        <top style="thin">
          <color theme="7"/>
        </top>
        <bottom style="thin">
          <color theme="7"/>
        </bottom>
        <vertical/>
        <horizontal/>
      </border>
    </dxf>
    <dxf>
      <font>
        <b/>
        <color theme="1"/>
      </font>
      <fill>
        <patternFill>
          <bgColor theme="0"/>
        </patternFill>
      </fill>
      <border>
        <bottom style="thin">
          <color theme="7"/>
        </bottom>
        <vertical/>
        <horizontal/>
      </border>
    </dxf>
    <dxf>
      <font>
        <color theme="0"/>
        <name val="Lato Black"/>
        <family val="2"/>
        <scheme val="none"/>
      </font>
      <fill>
        <patternFill>
          <bgColor rgb="FF7C3284"/>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b val="0"/>
        <i/>
        <color theme="0"/>
        <name val="Segoe UI Light"/>
        <family val="2"/>
        <scheme val="none"/>
      </font>
      <fill>
        <patternFill>
          <bgColor rgb="FF7C3284"/>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0"/>
        <name val="Lato Black"/>
        <family val="2"/>
        <scheme val="none"/>
      </font>
      <fill>
        <patternFill>
          <bgColor rgb="FF7C3284"/>
        </patternFill>
      </fill>
      <border>
        <left style="thin">
          <color theme="7"/>
        </left>
        <right style="thin">
          <color theme="7"/>
        </right>
        <top style="thin">
          <color theme="7"/>
        </top>
        <bottom style="thin">
          <color theme="7"/>
        </bottom>
        <vertical/>
        <horizontal/>
      </border>
    </dxf>
  </dxfs>
  <tableStyles count="5" defaultTableStyle="TableStyleMedium2" defaultPivotStyle="PivotStyleLight16">
    <tableStyle name="Byju's analysis" pivot="0" table="0" count="10" xr9:uid="{179A60D6-C575-4D38-B0B0-C14F7A72C7E5}">
      <tableStyleElement type="wholeTable" dxfId="28"/>
      <tableStyleElement type="headerRow" dxfId="27"/>
    </tableStyle>
    <tableStyle name="Byju's analysis 2" pivot="0" table="0" count="10" xr9:uid="{91FCEBBC-82AD-49A0-A655-D33777F5A391}">
      <tableStyleElement type="wholeTable" dxfId="26"/>
      <tableStyleElement type="headerRow" dxfId="25"/>
    </tableStyle>
    <tableStyle name="Byju's analysis 3" pivot="0" table="0" count="10" xr9:uid="{2BE7C63E-D3B9-40B1-8EF1-5B97073938CD}">
      <tableStyleElement type="wholeTable" dxfId="24"/>
      <tableStyleElement type="headerRow" dxfId="23"/>
    </tableStyle>
    <tableStyle name="Byju's analysis 3 2" pivot="0" table="0" count="10" xr9:uid="{0AF99CD6-750A-4694-A7C8-3A9CFD2E4312}">
      <tableStyleElement type="wholeTable" dxfId="22"/>
      <tableStyleElement type="headerRow" dxfId="21"/>
    </tableStyle>
    <tableStyle name="Byju's analysis 3 3" pivot="0" table="0" count="10" xr9:uid="{27796E8F-6DE7-4527-A0D4-4DBD7A7B465D}">
      <tableStyleElement type="wholeTable" dxfId="20"/>
      <tableStyleElement type="headerRow" dxfId="19"/>
    </tableStyle>
  </tableStyles>
  <colors>
    <indexedColors>
      <rgbColor rgb="FF000000"/>
      <rgbColor rgb="FFFFFFFF"/>
      <rgbColor rgb="FFFF0000"/>
      <rgbColor rgb="FF00FF00"/>
      <rgbColor rgb="FF0000FF"/>
      <rgbColor rgb="FFFFE8E8"/>
      <rgbColor rgb="FFFF00FF"/>
      <rgbColor rgb="FF00FFFF"/>
      <rgbColor rgb="FF800000"/>
      <rgbColor rgb="FF008000"/>
      <rgbColor rgb="FF000080"/>
      <rgbColor rgb="FF808000"/>
      <rgbColor rgb="FF800080"/>
      <rgbColor rgb="FF008080"/>
      <rgbColor rgb="FFB3B3B3"/>
      <rgbColor rgb="FF4F81BD"/>
      <rgbColor rgb="FFEDE7FB"/>
      <rgbColor rgb="FFE63946"/>
      <rgbColor rgb="FFFFF6D9"/>
      <rgbColor rgb="FFF4F6FB"/>
      <rgbColor rgb="FF660066"/>
      <rgbColor rgb="FFFF8080"/>
      <rgbColor rgb="FF0066CC"/>
      <rgbColor rgb="FFC9CEE8"/>
      <rgbColor rgb="FF000080"/>
      <rgbColor rgb="FFFF00FF"/>
      <rgbColor rgb="FFFFFF00"/>
      <rgbColor rgb="FF00FFFF"/>
      <rgbColor rgb="FF800080"/>
      <rgbColor rgb="FF800000"/>
      <rgbColor rgb="FF008080"/>
      <rgbColor rgb="FF0000FF"/>
      <rgbColor rgb="FF00B4A6"/>
      <rgbColor rgb="FFE2E5F0"/>
      <rgbColor rgb="FFC9F2C9"/>
      <rgbColor rgb="FFFFF3B0"/>
      <rgbColor rgb="FFD0D3E0"/>
      <rgbColor rgb="FFFFB3B3"/>
      <rgbColor rgb="FFD9D9D9"/>
      <rgbColor rgb="FFFFC299"/>
      <rgbColor rgb="FF1D8FE1"/>
      <rgbColor rgb="FF33CCCC"/>
      <rgbColor rgb="FF99CC00"/>
      <rgbColor rgb="FFFFCC00"/>
      <rgbColor rgb="FFFF9900"/>
      <rgbColor rgb="FFFF6B35"/>
      <rgbColor rgb="FF5A5F73"/>
      <rgbColor rgb="FF969696"/>
      <rgbColor rgb="FF1B1F3B"/>
      <rgbColor rgb="FF16A34A"/>
      <rgbColor rgb="FF003300"/>
      <rgbColor rgb="FF333300"/>
      <rgbColor rgb="FF993300"/>
      <rgbColor rgb="FF7B2FF7"/>
      <rgbColor rgb="FF2E5395"/>
      <rgbColor rgb="FF1D2B53"/>
      <rgbColor rgb="00003366"/>
      <rgbColor rgb="00339966"/>
      <rgbColor rgb="00003300"/>
      <rgbColor rgb="00333300"/>
      <rgbColor rgb="00993300"/>
      <rgbColor rgb="00993366"/>
      <rgbColor rgb="00333399"/>
      <rgbColor rgb="00333333"/>
    </indexedColors>
    <mruColors>
      <color rgb="FF7C3284"/>
      <color rgb="FFFAFAFA"/>
      <color rgb="FFCC3399"/>
      <color rgb="FF5A2E54"/>
      <color rgb="FF561176"/>
      <color rgb="FF3D0066"/>
      <color rgb="FF8A2BE2"/>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yju's analysis">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Byju's analysis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Byju's analysis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yju's analysis 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yju's analysis 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eetMetadata" Target="metadata.xml"/><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latin typeface="Lato Black" panose="020F0502020204030203" pitchFamily="34" charset="0"/>
                <a:ea typeface="Lato Black" panose="020F0502020204030203" pitchFamily="34" charset="0"/>
                <a:cs typeface="Lato Black" panose="020F0502020204030203" pitchFamily="34" charset="0"/>
              </a:rPr>
              <a:t>Fee</a:t>
            </a:r>
            <a:r>
              <a:rPr lang="en-IN" sz="1000" b="1" baseline="0">
                <a:latin typeface="Lato Black" panose="020F0502020204030203" pitchFamily="34" charset="0"/>
                <a:ea typeface="Lato Black" panose="020F0502020204030203" pitchFamily="34" charset="0"/>
                <a:cs typeface="Lato Black" panose="020F0502020204030203" pitchFamily="34" charset="0"/>
              </a:rPr>
              <a:t> outstanding by course</a:t>
            </a:r>
            <a:endParaRPr lang="en-IN" sz="1000" b="1">
              <a:latin typeface="Lato Black" panose="020F0502020204030203" pitchFamily="34" charset="0"/>
              <a:ea typeface="Lato Black" panose="020F0502020204030203" pitchFamily="34" charset="0"/>
              <a:cs typeface="Lato Black" panose="020F0502020204030203" pitchFamily="34" charset="0"/>
            </a:endParaRPr>
          </a:p>
        </c:rich>
      </c:tx>
      <c:layout>
        <c:manualLayout>
          <c:xMode val="edge"/>
          <c:yMode val="edge"/>
          <c:x val="0.22121816168327796"/>
          <c:y val="3.49344978165938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C32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tables'!$B$26</c:f>
              <c:strCache>
                <c:ptCount val="1"/>
                <c:pt idx="0">
                  <c:v>Total</c:v>
                </c:pt>
              </c:strCache>
            </c:strRef>
          </c:tx>
          <c:spPr>
            <a:solidFill>
              <a:srgbClr val="7C3284"/>
            </a:solidFill>
            <a:ln>
              <a:noFill/>
            </a:ln>
            <a:effectLst/>
          </c:spPr>
          <c:invertIfNegative val="0"/>
          <c:cat>
            <c:strRef>
              <c:f>'pivot tables'!$A$27:$A$35</c:f>
              <c:strCache>
                <c:ptCount val="8"/>
                <c:pt idx="0">
                  <c:v>Neet Prep</c:v>
                </c:pt>
                <c:pt idx="1">
                  <c:v>Coding</c:v>
                </c:pt>
                <c:pt idx="2">
                  <c:v>English</c:v>
                </c:pt>
                <c:pt idx="3">
                  <c:v>Mathematics</c:v>
                </c:pt>
                <c:pt idx="4">
                  <c:v>Robotics</c:v>
                </c:pt>
                <c:pt idx="5">
                  <c:v>Science</c:v>
                </c:pt>
                <c:pt idx="6">
                  <c:v>Spoken English</c:v>
                </c:pt>
                <c:pt idx="7">
                  <c:v>Jee Prep</c:v>
                </c:pt>
              </c:strCache>
            </c:strRef>
          </c:cat>
          <c:val>
            <c:numRef>
              <c:f>'pivot tables'!$B$27:$B$35</c:f>
              <c:numCache>
                <c:formatCode>"₹"\ #,##0.00;[Red]"₹"\ #,##0.00</c:formatCode>
                <c:ptCount val="8"/>
                <c:pt idx="0">
                  <c:v>2824346.12</c:v>
                </c:pt>
                <c:pt idx="1">
                  <c:v>2079233.17</c:v>
                </c:pt>
                <c:pt idx="2">
                  <c:v>2237634.5699999998</c:v>
                </c:pt>
                <c:pt idx="3">
                  <c:v>2389946.16</c:v>
                </c:pt>
                <c:pt idx="4">
                  <c:v>2200960.42</c:v>
                </c:pt>
                <c:pt idx="5">
                  <c:v>2053922.38</c:v>
                </c:pt>
                <c:pt idx="6">
                  <c:v>2102366.11</c:v>
                </c:pt>
                <c:pt idx="7">
                  <c:v>2244679.9</c:v>
                </c:pt>
              </c:numCache>
            </c:numRef>
          </c:val>
          <c:extLst>
            <c:ext xmlns:c16="http://schemas.microsoft.com/office/drawing/2014/chart" uri="{C3380CC4-5D6E-409C-BE32-E72D297353CC}">
              <c16:uniqueId val="{00000000-1281-4481-90E9-7B0F13E80474}"/>
            </c:ext>
          </c:extLst>
        </c:ser>
        <c:dLbls>
          <c:showLegendKey val="0"/>
          <c:showVal val="0"/>
          <c:showCatName val="0"/>
          <c:showSerName val="0"/>
          <c:showPercent val="0"/>
          <c:showBubbleSize val="0"/>
        </c:dLbls>
        <c:gapWidth val="219"/>
        <c:overlap val="-27"/>
        <c:axId val="1926949583"/>
        <c:axId val="1604942671"/>
      </c:barChart>
      <c:catAx>
        <c:axId val="19269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942671"/>
        <c:crosses val="autoZero"/>
        <c:auto val="1"/>
        <c:lblAlgn val="ctr"/>
        <c:lblOffset val="100"/>
        <c:noMultiLvlLbl val="0"/>
      </c:catAx>
      <c:valAx>
        <c:axId val="1604942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94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latin typeface="Lato Black" panose="020F0502020204030203" pitchFamily="34" charset="0"/>
                <a:ea typeface="Lato Black" panose="020F0502020204030203" pitchFamily="34" charset="0"/>
                <a:cs typeface="Lato Black" panose="020F0502020204030203" pitchFamily="34" charset="0"/>
              </a:rPr>
              <a:t>Fee</a:t>
            </a:r>
            <a:r>
              <a:rPr lang="en-IN" sz="1200" b="1" baseline="0">
                <a:latin typeface="Lato Black" panose="020F0502020204030203" pitchFamily="34" charset="0"/>
                <a:ea typeface="Lato Black" panose="020F0502020204030203" pitchFamily="34" charset="0"/>
                <a:cs typeface="Lato Black" panose="020F0502020204030203" pitchFamily="34" charset="0"/>
              </a:rPr>
              <a:t> outstanding by course</a:t>
            </a:r>
            <a:endParaRPr lang="en-IN" sz="1200" b="1">
              <a:latin typeface="Lato Black" panose="020F0502020204030203" pitchFamily="34" charset="0"/>
              <a:ea typeface="Lato Black" panose="020F0502020204030203" pitchFamily="34" charset="0"/>
              <a:cs typeface="Lato Black" panose="020F0502020204030203" pitchFamily="34" charset="0"/>
            </a:endParaRPr>
          </a:p>
        </c:rich>
      </c:tx>
      <c:layout>
        <c:manualLayout>
          <c:xMode val="edge"/>
          <c:yMode val="edge"/>
          <c:x val="0.22526958062471308"/>
          <c:y val="4.03664913852026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C32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tables'!$B$26</c:f>
              <c:strCache>
                <c:ptCount val="1"/>
                <c:pt idx="0">
                  <c:v>Total</c:v>
                </c:pt>
              </c:strCache>
            </c:strRef>
          </c:tx>
          <c:spPr>
            <a:solidFill>
              <a:srgbClr val="7C3284"/>
            </a:solidFill>
            <a:ln>
              <a:noFill/>
            </a:ln>
            <a:effectLst/>
          </c:spPr>
          <c:invertIfNegative val="0"/>
          <c:cat>
            <c:strRef>
              <c:f>'pivot tables'!$A$27:$A$35</c:f>
              <c:strCache>
                <c:ptCount val="8"/>
                <c:pt idx="0">
                  <c:v>Neet Prep</c:v>
                </c:pt>
                <c:pt idx="1">
                  <c:v>Coding</c:v>
                </c:pt>
                <c:pt idx="2">
                  <c:v>English</c:v>
                </c:pt>
                <c:pt idx="3">
                  <c:v>Mathematics</c:v>
                </c:pt>
                <c:pt idx="4">
                  <c:v>Robotics</c:v>
                </c:pt>
                <c:pt idx="5">
                  <c:v>Science</c:v>
                </c:pt>
                <c:pt idx="6">
                  <c:v>Spoken English</c:v>
                </c:pt>
                <c:pt idx="7">
                  <c:v>Jee Prep</c:v>
                </c:pt>
              </c:strCache>
            </c:strRef>
          </c:cat>
          <c:val>
            <c:numRef>
              <c:f>'pivot tables'!$B$27:$B$35</c:f>
              <c:numCache>
                <c:formatCode>"₹"\ #,##0.00;[Red]"₹"\ #,##0.00</c:formatCode>
                <c:ptCount val="8"/>
                <c:pt idx="0">
                  <c:v>2824346.12</c:v>
                </c:pt>
                <c:pt idx="1">
                  <c:v>2079233.17</c:v>
                </c:pt>
                <c:pt idx="2">
                  <c:v>2237634.5699999998</c:v>
                </c:pt>
                <c:pt idx="3">
                  <c:v>2389946.16</c:v>
                </c:pt>
                <c:pt idx="4">
                  <c:v>2200960.42</c:v>
                </c:pt>
                <c:pt idx="5">
                  <c:v>2053922.38</c:v>
                </c:pt>
                <c:pt idx="6">
                  <c:v>2102366.11</c:v>
                </c:pt>
                <c:pt idx="7">
                  <c:v>2244679.9</c:v>
                </c:pt>
              </c:numCache>
            </c:numRef>
          </c:val>
          <c:extLst>
            <c:ext xmlns:c16="http://schemas.microsoft.com/office/drawing/2014/chart" uri="{C3380CC4-5D6E-409C-BE32-E72D297353CC}">
              <c16:uniqueId val="{00000000-D6A6-4608-B696-D66D1AE5FD33}"/>
            </c:ext>
          </c:extLst>
        </c:ser>
        <c:dLbls>
          <c:showLegendKey val="0"/>
          <c:showVal val="0"/>
          <c:showCatName val="0"/>
          <c:showSerName val="0"/>
          <c:showPercent val="0"/>
          <c:showBubbleSize val="0"/>
        </c:dLbls>
        <c:gapWidth val="219"/>
        <c:overlap val="-27"/>
        <c:axId val="1926949583"/>
        <c:axId val="1604942671"/>
      </c:barChart>
      <c:catAx>
        <c:axId val="19269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942671"/>
        <c:crosses val="autoZero"/>
        <c:auto val="1"/>
        <c:lblAlgn val="ctr"/>
        <c:lblOffset val="100"/>
        <c:noMultiLvlLbl val="0"/>
      </c:catAx>
      <c:valAx>
        <c:axId val="1604942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94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tables!PivotTable1</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100">
                <a:latin typeface="Lato Black" panose="020F0502020204030203" pitchFamily="34" charset="0"/>
                <a:ea typeface="Lato Black" panose="020F0502020204030203" pitchFamily="34" charset="0"/>
                <a:cs typeface="Lato Black" panose="020F0502020204030203" pitchFamily="34" charset="0"/>
              </a:rPr>
              <a:t>STUDENT</a:t>
            </a:r>
            <a:r>
              <a:rPr lang="en-US" sz="1100" baseline="0">
                <a:latin typeface="Lato Black" panose="020F0502020204030203" pitchFamily="34" charset="0"/>
                <a:ea typeface="Lato Black" panose="020F0502020204030203" pitchFamily="34" charset="0"/>
                <a:cs typeface="Lato Black" panose="020F0502020204030203" pitchFamily="34" charset="0"/>
              </a:rPr>
              <a:t> BY LEARNING MODE</a:t>
            </a:r>
            <a:endParaRPr lang="en-US" sz="1100">
              <a:latin typeface="Lato Black" panose="020F0502020204030203" pitchFamily="34" charset="0"/>
              <a:ea typeface="Lato Black" panose="020F0502020204030203" pitchFamily="34" charset="0"/>
              <a:cs typeface="Lato Black" panose="020F0502020204030203" pitchFamily="34" charset="0"/>
            </a:endParaRPr>
          </a:p>
        </c:rich>
      </c:tx>
      <c:layout>
        <c:manualLayout>
          <c:xMode val="edge"/>
          <c:yMode val="edge"/>
          <c:x val="0.16358542342734553"/>
          <c:y val="4.67831539082636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rgbClr val="CC3399"/>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9050">
            <a:solidFill>
              <a:srgbClr val="CC3399"/>
            </a:solidFill>
          </a:ln>
          <a:effectLst/>
        </c:spPr>
        <c:dLbl>
          <c:idx val="0"/>
          <c:layout>
            <c:manualLayout>
              <c:x val="0.11362967668537209"/>
              <c:y val="-4.3359571808377087E-2"/>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rgbClr val="CC3399"/>
            </a:solidFill>
          </a:ln>
          <a:effectLst/>
        </c:spPr>
        <c:dLbl>
          <c:idx val="0"/>
          <c:layout>
            <c:manualLayout>
              <c:x val="0.28844456389363676"/>
              <c:y val="0"/>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solidFill>
              <a:srgbClr val="CC3399"/>
            </a:solidFill>
          </a:ln>
          <a:effectLst/>
        </c:spPr>
        <c:dLbl>
          <c:idx val="0"/>
          <c:layout>
            <c:manualLayout>
              <c:x val="-9.2942582846154836E-2"/>
              <c:y val="-0.11360846910721924"/>
            </c:manualLayout>
          </c:layout>
          <c:spPr>
            <a:no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586083427307807"/>
                  <c:h val="0.19573749559210202"/>
                </c:manualLayout>
              </c15:layout>
            </c:ext>
          </c:extLst>
        </c:dLbl>
      </c:pivotFmt>
      <c:pivotFmt>
        <c:idx val="9"/>
        <c:spPr>
          <a:solidFill>
            <a:schemeClr val="accent1"/>
          </a:solidFill>
          <a:ln w="19050">
            <a:solidFill>
              <a:srgbClr val="CC3399"/>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w="19050">
            <a:solidFill>
              <a:srgbClr val="CC3399"/>
            </a:solidFill>
          </a:ln>
          <a:effectLst/>
        </c:spPr>
        <c:dLbl>
          <c:idx val="0"/>
          <c:layout>
            <c:manualLayout>
              <c:x val="0.11362967668537209"/>
              <c:y val="-4.3359571808377087E-2"/>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w="19050">
            <a:solidFill>
              <a:srgbClr val="CC3399"/>
            </a:solidFill>
          </a:ln>
          <a:effectLst/>
        </c:spPr>
        <c:dLbl>
          <c:idx val="0"/>
          <c:layout>
            <c:manualLayout>
              <c:x val="0.28844456389363676"/>
              <c:y val="0"/>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w="19050">
            <a:solidFill>
              <a:srgbClr val="CC3399"/>
            </a:solidFill>
          </a:ln>
          <a:effectLst/>
        </c:spPr>
        <c:dLbl>
          <c:idx val="0"/>
          <c:layout>
            <c:manualLayout>
              <c:x val="-9.2942582846154836E-2"/>
              <c:y val="-0.11360846910721924"/>
            </c:manualLayout>
          </c:layout>
          <c:spPr>
            <a:no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586083427307807"/>
                  <c:h val="0.19573749559210202"/>
                </c:manualLayout>
              </c15:layout>
            </c:ext>
          </c:extLst>
        </c:dLbl>
      </c:pivotFmt>
      <c:pivotFmt>
        <c:idx val="13"/>
        <c:spPr>
          <a:solidFill>
            <a:schemeClr val="accent1"/>
          </a:solidFill>
          <a:ln w="19050">
            <a:solidFill>
              <a:srgbClr val="CC3399"/>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solidFill>
          <a:ln w="19050">
            <a:solidFill>
              <a:srgbClr val="CC3399"/>
            </a:solidFill>
          </a:ln>
          <a:effectLst/>
        </c:spPr>
        <c:dLbl>
          <c:idx val="0"/>
          <c:layout>
            <c:manualLayout>
              <c:x val="0.11362967668537209"/>
              <c:y val="-4.3359571808377087E-2"/>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1"/>
          </a:solidFill>
          <a:ln w="19050">
            <a:solidFill>
              <a:srgbClr val="CC3399"/>
            </a:solidFill>
          </a:ln>
          <a:effectLst/>
        </c:spPr>
        <c:dLbl>
          <c:idx val="0"/>
          <c:layout>
            <c:manualLayout>
              <c:x val="0.28844456389363676"/>
              <c:y val="0"/>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w="19050">
            <a:solidFill>
              <a:srgbClr val="CC3399"/>
            </a:solidFill>
          </a:ln>
          <a:effectLst/>
        </c:spPr>
        <c:dLbl>
          <c:idx val="0"/>
          <c:layout>
            <c:manualLayout>
              <c:x val="-9.2942582846154836E-2"/>
              <c:y val="-0.11360846910721924"/>
            </c:manualLayout>
          </c:layout>
          <c:spPr>
            <a:no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586083427307807"/>
                  <c:h val="0.19573749559210202"/>
                </c:manualLayout>
              </c15:layout>
            </c:ext>
          </c:extLst>
        </c:dLbl>
      </c:pivotFmt>
    </c:pivotFmts>
    <c:plotArea>
      <c:layout>
        <c:manualLayout>
          <c:layoutTarget val="inner"/>
          <c:xMode val="edge"/>
          <c:yMode val="edge"/>
          <c:x val="0.15813740396048248"/>
          <c:y val="0.21033593531773609"/>
          <c:w val="0.55494504170952452"/>
          <c:h val="0.6615236812246027"/>
        </c:manualLayout>
      </c:layout>
      <c:doughnutChart>
        <c:varyColors val="1"/>
        <c:ser>
          <c:idx val="0"/>
          <c:order val="0"/>
          <c:tx>
            <c:strRef>
              <c:f>'pivot tables'!$B$3</c:f>
              <c:strCache>
                <c:ptCount val="1"/>
                <c:pt idx="0">
                  <c:v>Total</c:v>
                </c:pt>
              </c:strCache>
            </c:strRef>
          </c:tx>
          <c:spPr>
            <a:ln>
              <a:solidFill>
                <a:srgbClr val="CC3399"/>
              </a:solidFill>
            </a:ln>
          </c:spPr>
          <c:dPt>
            <c:idx val="0"/>
            <c:bubble3D val="0"/>
            <c:spPr>
              <a:solidFill>
                <a:schemeClr val="accent1"/>
              </a:solidFill>
              <a:ln w="19050">
                <a:solidFill>
                  <a:srgbClr val="CC3399"/>
                </a:solidFill>
              </a:ln>
              <a:effectLst/>
            </c:spPr>
            <c:extLst>
              <c:ext xmlns:c16="http://schemas.microsoft.com/office/drawing/2014/chart" uri="{C3380CC4-5D6E-409C-BE32-E72D297353CC}">
                <c16:uniqueId val="{00000001-6CA8-4D8A-BB1C-855BA32D0304}"/>
              </c:ext>
            </c:extLst>
          </c:dPt>
          <c:dPt>
            <c:idx val="1"/>
            <c:bubble3D val="0"/>
            <c:spPr>
              <a:solidFill>
                <a:schemeClr val="accent2"/>
              </a:solidFill>
              <a:ln w="19050">
                <a:solidFill>
                  <a:srgbClr val="CC3399"/>
                </a:solidFill>
              </a:ln>
              <a:effectLst/>
            </c:spPr>
            <c:extLst>
              <c:ext xmlns:c16="http://schemas.microsoft.com/office/drawing/2014/chart" uri="{C3380CC4-5D6E-409C-BE32-E72D297353CC}">
                <c16:uniqueId val="{00000003-6CA8-4D8A-BB1C-855BA32D0304}"/>
              </c:ext>
            </c:extLst>
          </c:dPt>
          <c:dPt>
            <c:idx val="2"/>
            <c:bubble3D val="0"/>
            <c:spPr>
              <a:solidFill>
                <a:schemeClr val="accent3"/>
              </a:solidFill>
              <a:ln w="19050">
                <a:solidFill>
                  <a:srgbClr val="CC3399"/>
                </a:solidFill>
              </a:ln>
              <a:effectLst/>
            </c:spPr>
            <c:extLst>
              <c:ext xmlns:c16="http://schemas.microsoft.com/office/drawing/2014/chart" uri="{C3380CC4-5D6E-409C-BE32-E72D297353CC}">
                <c16:uniqueId val="{00000005-6CA8-4D8A-BB1C-855BA32D0304}"/>
              </c:ext>
            </c:extLst>
          </c:dPt>
          <c:dLbls>
            <c:dLbl>
              <c:idx val="0"/>
              <c:layout>
                <c:manualLayout>
                  <c:x val="0.11362967668537209"/>
                  <c:y val="-4.3359571808377087E-2"/>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6CA8-4D8A-BB1C-855BA32D0304}"/>
                </c:ext>
              </c:extLst>
            </c:dLbl>
            <c:dLbl>
              <c:idx val="1"/>
              <c:layout>
                <c:manualLayout>
                  <c:x val="0.28844456389363676"/>
                  <c:y val="0"/>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6CA8-4D8A-BB1C-855BA32D0304}"/>
                </c:ext>
              </c:extLst>
            </c:dLbl>
            <c:dLbl>
              <c:idx val="2"/>
              <c:layout>
                <c:manualLayout>
                  <c:x val="-9.2942582846154836E-2"/>
                  <c:y val="-0.11360846910721924"/>
                </c:manualLayout>
              </c:layout>
              <c:spPr>
                <a:no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586083427307807"/>
                      <c:h val="0.19573749559210202"/>
                    </c:manualLayout>
                  </c15:layout>
                </c:ext>
                <c:ext xmlns:c16="http://schemas.microsoft.com/office/drawing/2014/chart" uri="{C3380CC4-5D6E-409C-BE32-E72D297353CC}">
                  <c16:uniqueId val="{00000005-6CA8-4D8A-BB1C-855BA32D0304}"/>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tables'!$A$4:$A$7</c:f>
              <c:strCache>
                <c:ptCount val="3"/>
                <c:pt idx="0">
                  <c:v>Web Only</c:v>
                </c:pt>
                <c:pt idx="1">
                  <c:v>Both App &amp; Web</c:v>
                </c:pt>
                <c:pt idx="2">
                  <c:v>App Only</c:v>
                </c:pt>
              </c:strCache>
            </c:strRef>
          </c:cat>
          <c:val>
            <c:numRef>
              <c:f>'pivot tables'!$B$4:$B$7</c:f>
              <c:numCache>
                <c:formatCode>General</c:formatCode>
                <c:ptCount val="3"/>
                <c:pt idx="0">
                  <c:v>204</c:v>
                </c:pt>
                <c:pt idx="1">
                  <c:v>204</c:v>
                </c:pt>
                <c:pt idx="2">
                  <c:v>207</c:v>
                </c:pt>
              </c:numCache>
            </c:numRef>
          </c:val>
          <c:extLst>
            <c:ext xmlns:c16="http://schemas.microsoft.com/office/drawing/2014/chart" uri="{C3380CC4-5D6E-409C-BE32-E72D297353CC}">
              <c16:uniqueId val="{00000006-6CA8-4D8A-BB1C-855BA32D030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solidFill>
            <a:schemeClr val="bg1">
              <a:alpha val="0"/>
            </a:schemeClr>
          </a:solidFill>
        </a:ln>
        <a:effectLst/>
      </c:spPr>
      <c:txPr>
        <a:bodyPr rot="0" spcFirstLastPara="1" vertOverflow="ellipsis" vert="horz" wrap="square" anchor="ctr" anchorCtr="1"/>
        <a:lstStyle/>
        <a:p>
          <a:pPr>
            <a:defRPr sz="10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50800" dist="38100" dir="5400000" algn="t"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Fee Paid by Course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C3284"/>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'pivot tables'!$B$40</c:f>
              <c:strCache>
                <c:ptCount val="1"/>
                <c:pt idx="0">
                  <c:v>Total</c:v>
                </c:pt>
              </c:strCache>
            </c:strRef>
          </c:tx>
          <c:spPr>
            <a:solidFill>
              <a:srgbClr val="7C3284"/>
            </a:solidFill>
            <a:ln>
              <a:noFill/>
            </a:ln>
            <a:effectLst/>
          </c:spPr>
          <c:cat>
            <c:strRef>
              <c:f>'pivot tables'!$A$41:$A$49</c:f>
              <c:strCache>
                <c:ptCount val="8"/>
                <c:pt idx="0">
                  <c:v>Coding</c:v>
                </c:pt>
                <c:pt idx="1">
                  <c:v>English</c:v>
                </c:pt>
                <c:pt idx="2">
                  <c:v>Jee Prep</c:v>
                </c:pt>
                <c:pt idx="3">
                  <c:v>Mathematics</c:v>
                </c:pt>
                <c:pt idx="4">
                  <c:v>Neet Prep</c:v>
                </c:pt>
                <c:pt idx="5">
                  <c:v>Robotics</c:v>
                </c:pt>
                <c:pt idx="6">
                  <c:v>Science</c:v>
                </c:pt>
                <c:pt idx="7">
                  <c:v>Spoken English</c:v>
                </c:pt>
              </c:strCache>
            </c:strRef>
          </c:cat>
          <c:val>
            <c:numRef>
              <c:f>'pivot tables'!$B$41:$B$49</c:f>
              <c:numCache>
                <c:formatCode>General</c:formatCode>
                <c:ptCount val="8"/>
                <c:pt idx="0">
                  <c:v>5563435.5199999996</c:v>
                </c:pt>
                <c:pt idx="1">
                  <c:v>4969000.91</c:v>
                </c:pt>
                <c:pt idx="2">
                  <c:v>4877503.79</c:v>
                </c:pt>
                <c:pt idx="3">
                  <c:v>6268199.3700000001</c:v>
                </c:pt>
                <c:pt idx="4">
                  <c:v>7257089.7300000004</c:v>
                </c:pt>
                <c:pt idx="5">
                  <c:v>5601697.6500000004</c:v>
                </c:pt>
                <c:pt idx="6">
                  <c:v>5494359.9900000002</c:v>
                </c:pt>
                <c:pt idx="7">
                  <c:v>5568572.71</c:v>
                </c:pt>
              </c:numCache>
            </c:numRef>
          </c:val>
          <c:extLst>
            <c:ext xmlns:c16="http://schemas.microsoft.com/office/drawing/2014/chart" uri="{C3380CC4-5D6E-409C-BE32-E72D297353CC}">
              <c16:uniqueId val="{00000000-3DEE-46E5-B489-1DA8C280AC5C}"/>
            </c:ext>
          </c:extLst>
        </c:ser>
        <c:dLbls>
          <c:showLegendKey val="0"/>
          <c:showVal val="0"/>
          <c:showCatName val="0"/>
          <c:showSerName val="0"/>
          <c:showPercent val="0"/>
          <c:showBubbleSize val="0"/>
        </c:dLbls>
        <c:axId val="2049105135"/>
        <c:axId val="1983459311"/>
      </c:areaChart>
      <c:catAx>
        <c:axId val="2049105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459311"/>
        <c:crosses val="autoZero"/>
        <c:auto val="1"/>
        <c:lblAlgn val="ctr"/>
        <c:lblOffset val="100"/>
        <c:noMultiLvlLbl val="0"/>
      </c:catAx>
      <c:valAx>
        <c:axId val="198345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1051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tables!PivotTable4</c:name>
    <c:fmtId val="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Students by Learner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488779496810114"/>
              <c:y val="5.6666649668796497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4887794968101142"/>
              <c:y val="-0.202380891674273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245-4563-A7D8-CAE6F15353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45-4563-A7D8-CAE6F1535307}"/>
              </c:ext>
            </c:extLst>
          </c:dPt>
          <c:dLbls>
            <c:dLbl>
              <c:idx val="0"/>
              <c:layout>
                <c:manualLayout>
                  <c:x val="0.1488779496810114"/>
                  <c:y val="5.666664966879649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245-4563-A7D8-CAE6F1535307}"/>
                </c:ext>
              </c:extLst>
            </c:dLbl>
            <c:dLbl>
              <c:idx val="1"/>
              <c:layout>
                <c:manualLayout>
                  <c:x val="-0.14887794968101142"/>
                  <c:y val="-0.202380891674273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45-4563-A7D8-CAE6F1535307}"/>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tables'!$A$57:$A$59</c:f>
              <c:strCache>
                <c:ptCount val="2"/>
                <c:pt idx="0">
                  <c:v>Non-Premium Learner</c:v>
                </c:pt>
                <c:pt idx="1">
                  <c:v>Premium Learner</c:v>
                </c:pt>
              </c:strCache>
            </c:strRef>
          </c:cat>
          <c:val>
            <c:numRef>
              <c:f>'pivot tables'!$B$57:$B$59</c:f>
              <c:numCache>
                <c:formatCode>General</c:formatCode>
                <c:ptCount val="2"/>
                <c:pt idx="0">
                  <c:v>444</c:v>
                </c:pt>
                <c:pt idx="1">
                  <c:v>171</c:v>
                </c:pt>
              </c:numCache>
            </c:numRef>
          </c:val>
          <c:extLst>
            <c:ext xmlns:c16="http://schemas.microsoft.com/office/drawing/2014/chart" uri="{C3380CC4-5D6E-409C-BE32-E72D297353CC}">
              <c16:uniqueId val="{00000000-7245-4563-A7D8-CAE6F153530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tables!PivotTable5</c:name>
    <c:fmtId val="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Performance by Course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C328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tables'!$B$67</c:f>
              <c:strCache>
                <c:ptCount val="1"/>
                <c:pt idx="0">
                  <c:v>Total</c:v>
                </c:pt>
              </c:strCache>
            </c:strRef>
          </c:tx>
          <c:spPr>
            <a:ln w="28575" cap="rnd">
              <a:solidFill>
                <a:srgbClr val="7C3284"/>
              </a:solidFill>
              <a:round/>
            </a:ln>
            <a:effectLst/>
          </c:spPr>
          <c:marker>
            <c:symbol val="circle"/>
            <c:size val="5"/>
            <c:spPr>
              <a:solidFill>
                <a:schemeClr val="accent1"/>
              </a:solidFill>
              <a:ln w="9525">
                <a:solidFill>
                  <a:schemeClr val="accent1"/>
                </a:solidFill>
              </a:ln>
              <a:effectLst/>
            </c:spPr>
          </c:marker>
          <c:cat>
            <c:strRef>
              <c:f>'pivot tables'!$A$68:$A$76</c:f>
              <c:strCache>
                <c:ptCount val="8"/>
                <c:pt idx="0">
                  <c:v>Coding</c:v>
                </c:pt>
                <c:pt idx="1">
                  <c:v>English</c:v>
                </c:pt>
                <c:pt idx="2">
                  <c:v>Jee Prep</c:v>
                </c:pt>
                <c:pt idx="3">
                  <c:v>Mathematics</c:v>
                </c:pt>
                <c:pt idx="4">
                  <c:v>Neet Prep</c:v>
                </c:pt>
                <c:pt idx="5">
                  <c:v>Robotics</c:v>
                </c:pt>
                <c:pt idx="6">
                  <c:v>Science</c:v>
                </c:pt>
                <c:pt idx="7">
                  <c:v>Spoken English</c:v>
                </c:pt>
              </c:strCache>
            </c:strRef>
          </c:cat>
          <c:val>
            <c:numRef>
              <c:f>'pivot tables'!$B$68:$B$76</c:f>
              <c:numCache>
                <c:formatCode>General</c:formatCode>
                <c:ptCount val="8"/>
                <c:pt idx="0">
                  <c:v>76</c:v>
                </c:pt>
                <c:pt idx="1">
                  <c:v>72</c:v>
                </c:pt>
                <c:pt idx="2">
                  <c:v>68</c:v>
                </c:pt>
                <c:pt idx="3">
                  <c:v>80</c:v>
                </c:pt>
                <c:pt idx="4">
                  <c:v>100</c:v>
                </c:pt>
                <c:pt idx="5">
                  <c:v>72</c:v>
                </c:pt>
                <c:pt idx="6">
                  <c:v>74</c:v>
                </c:pt>
                <c:pt idx="7">
                  <c:v>73</c:v>
                </c:pt>
              </c:numCache>
            </c:numRef>
          </c:val>
          <c:smooth val="0"/>
          <c:extLst>
            <c:ext xmlns:c16="http://schemas.microsoft.com/office/drawing/2014/chart" uri="{C3380CC4-5D6E-409C-BE32-E72D297353CC}">
              <c16:uniqueId val="{00000000-266F-40B5-8E5C-3D8957C2EEE6}"/>
            </c:ext>
          </c:extLst>
        </c:ser>
        <c:dLbls>
          <c:showLegendKey val="0"/>
          <c:showVal val="0"/>
          <c:showCatName val="0"/>
          <c:showSerName val="0"/>
          <c:showPercent val="0"/>
          <c:showBubbleSize val="0"/>
        </c:dLbls>
        <c:marker val="1"/>
        <c:smooth val="0"/>
        <c:axId val="1992999103"/>
        <c:axId val="1983445871"/>
      </c:lineChart>
      <c:catAx>
        <c:axId val="199299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445871"/>
        <c:crosses val="autoZero"/>
        <c:auto val="1"/>
        <c:lblAlgn val="ctr"/>
        <c:lblOffset val="100"/>
        <c:noMultiLvlLbl val="0"/>
      </c:catAx>
      <c:valAx>
        <c:axId val="198344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9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tables!PivotTable7</c:name>
    <c:fmtId val="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Students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C32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tables'!$B$85</c:f>
              <c:strCache>
                <c:ptCount val="1"/>
                <c:pt idx="0">
                  <c:v>Total</c:v>
                </c:pt>
              </c:strCache>
            </c:strRef>
          </c:tx>
          <c:spPr>
            <a:solidFill>
              <a:srgbClr val="7C328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tables'!$A$86:$A$96</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'pivot tables'!$B$86:$B$96</c:f>
              <c:numCache>
                <c:formatCode>General</c:formatCode>
                <c:ptCount val="10"/>
                <c:pt idx="0">
                  <c:v>54</c:v>
                </c:pt>
                <c:pt idx="1">
                  <c:v>61</c:v>
                </c:pt>
                <c:pt idx="2">
                  <c:v>50</c:v>
                </c:pt>
                <c:pt idx="3">
                  <c:v>53</c:v>
                </c:pt>
                <c:pt idx="4">
                  <c:v>70</c:v>
                </c:pt>
                <c:pt idx="5">
                  <c:v>71</c:v>
                </c:pt>
                <c:pt idx="6">
                  <c:v>57</c:v>
                </c:pt>
                <c:pt idx="7">
                  <c:v>61</c:v>
                </c:pt>
                <c:pt idx="8">
                  <c:v>73</c:v>
                </c:pt>
                <c:pt idx="9">
                  <c:v>65</c:v>
                </c:pt>
              </c:numCache>
            </c:numRef>
          </c:val>
          <c:extLst>
            <c:ext xmlns:c16="http://schemas.microsoft.com/office/drawing/2014/chart" uri="{C3380CC4-5D6E-409C-BE32-E72D297353CC}">
              <c16:uniqueId val="{00000000-2ED7-40F5-8169-872AA7144948}"/>
            </c:ext>
          </c:extLst>
        </c:ser>
        <c:dLbls>
          <c:dLblPos val="outEnd"/>
          <c:showLegendKey val="0"/>
          <c:showVal val="1"/>
          <c:showCatName val="0"/>
          <c:showSerName val="0"/>
          <c:showPercent val="0"/>
          <c:showBubbleSize val="0"/>
        </c:dLbls>
        <c:gapWidth val="219"/>
        <c:overlap val="-27"/>
        <c:axId val="1974621455"/>
        <c:axId val="1787625679"/>
      </c:barChart>
      <c:catAx>
        <c:axId val="197462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25679"/>
        <c:crosses val="autoZero"/>
        <c:auto val="1"/>
        <c:lblAlgn val="ctr"/>
        <c:lblOffset val="100"/>
        <c:noMultiLvlLbl val="0"/>
      </c:catAx>
      <c:valAx>
        <c:axId val="178762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62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100">
                <a:latin typeface="Lato Black" panose="020F0502020204030203" pitchFamily="34" charset="0"/>
                <a:ea typeface="Lato Black" panose="020F0502020204030203" pitchFamily="34" charset="0"/>
                <a:cs typeface="Lato Black" panose="020F0502020204030203" pitchFamily="34" charset="0"/>
              </a:rPr>
              <a:t>STUDENT</a:t>
            </a:r>
            <a:r>
              <a:rPr lang="en-US" sz="1100" baseline="0">
                <a:latin typeface="Lato Black" panose="020F0502020204030203" pitchFamily="34" charset="0"/>
                <a:ea typeface="Lato Black" panose="020F0502020204030203" pitchFamily="34" charset="0"/>
                <a:cs typeface="Lato Black" panose="020F0502020204030203" pitchFamily="34" charset="0"/>
              </a:rPr>
              <a:t> BY LEARNING MODE</a:t>
            </a:r>
            <a:endParaRPr lang="en-US" sz="1100">
              <a:latin typeface="Lato Black" panose="020F0502020204030203" pitchFamily="34" charset="0"/>
              <a:ea typeface="Lato Black" panose="020F0502020204030203" pitchFamily="34" charset="0"/>
              <a:cs typeface="Lato Black" panose="020F0502020204030203" pitchFamily="34" charset="0"/>
            </a:endParaRPr>
          </a:p>
        </c:rich>
      </c:tx>
      <c:layout>
        <c:manualLayout>
          <c:xMode val="edge"/>
          <c:yMode val="edge"/>
          <c:x val="2.5890538514313718E-2"/>
          <c:y val="3.1258281188339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rgbClr val="FAFAFA"/>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9050">
            <a:solidFill>
              <a:srgbClr val="FAFAFA"/>
            </a:solidFill>
          </a:ln>
          <a:effectLst/>
        </c:spPr>
        <c:dLbl>
          <c:idx val="0"/>
          <c:layout>
            <c:manualLayout>
              <c:x val="0.11362967668537209"/>
              <c:y val="-4.3359571808377087E-2"/>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rgbClr val="FAFAFA"/>
            </a:solidFill>
          </a:ln>
          <a:effectLst/>
        </c:spPr>
        <c:dLbl>
          <c:idx val="0"/>
          <c:layout>
            <c:manualLayout>
              <c:x val="0.28844456389363676"/>
              <c:y val="0"/>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solidFill>
              <a:srgbClr val="FAFAFA"/>
            </a:solidFill>
          </a:ln>
          <a:effectLst/>
        </c:spPr>
        <c:dLbl>
          <c:idx val="0"/>
          <c:layout>
            <c:manualLayout>
              <c:x val="-9.2942582846154836E-2"/>
              <c:y val="-0.11360846910721924"/>
            </c:manualLayout>
          </c:layout>
          <c:spPr>
            <a:no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586083427307807"/>
                  <c:h val="0.19573749559210202"/>
                </c:manualLayout>
              </c15:layout>
            </c:ext>
          </c:extLst>
        </c:dLbl>
      </c:pivotFmt>
    </c:pivotFmts>
    <c:plotArea>
      <c:layout>
        <c:manualLayout>
          <c:layoutTarget val="inner"/>
          <c:xMode val="edge"/>
          <c:yMode val="edge"/>
          <c:x val="0.17804655375506162"/>
          <c:y val="0.32786737299990071"/>
          <c:w val="0.55494504170952452"/>
          <c:h val="0.6615236812246027"/>
        </c:manualLayout>
      </c:layout>
      <c:doughnutChart>
        <c:varyColors val="1"/>
        <c:ser>
          <c:idx val="0"/>
          <c:order val="0"/>
          <c:tx>
            <c:strRef>
              <c:f>'pivot tables'!$B$3</c:f>
              <c:strCache>
                <c:ptCount val="1"/>
                <c:pt idx="0">
                  <c:v>Total</c:v>
                </c:pt>
              </c:strCache>
            </c:strRef>
          </c:tx>
          <c:spPr>
            <a:ln>
              <a:solidFill>
                <a:srgbClr val="FAFAFA"/>
              </a:solidFill>
            </a:ln>
          </c:spPr>
          <c:dPt>
            <c:idx val="0"/>
            <c:bubble3D val="0"/>
            <c:spPr>
              <a:solidFill>
                <a:schemeClr val="accent1"/>
              </a:solidFill>
              <a:ln w="19050">
                <a:solidFill>
                  <a:srgbClr val="FAFAFA"/>
                </a:solidFill>
              </a:ln>
              <a:effectLst/>
            </c:spPr>
            <c:extLst>
              <c:ext xmlns:c16="http://schemas.microsoft.com/office/drawing/2014/chart" uri="{C3380CC4-5D6E-409C-BE32-E72D297353CC}">
                <c16:uniqueId val="{00000001-A2CB-47A8-A282-D233748FA702}"/>
              </c:ext>
            </c:extLst>
          </c:dPt>
          <c:dPt>
            <c:idx val="1"/>
            <c:bubble3D val="0"/>
            <c:spPr>
              <a:solidFill>
                <a:schemeClr val="accent2"/>
              </a:solidFill>
              <a:ln w="19050">
                <a:solidFill>
                  <a:srgbClr val="FAFAFA"/>
                </a:solidFill>
              </a:ln>
              <a:effectLst/>
            </c:spPr>
            <c:extLst>
              <c:ext xmlns:c16="http://schemas.microsoft.com/office/drawing/2014/chart" uri="{C3380CC4-5D6E-409C-BE32-E72D297353CC}">
                <c16:uniqueId val="{00000003-A2CB-47A8-A282-D233748FA702}"/>
              </c:ext>
            </c:extLst>
          </c:dPt>
          <c:dPt>
            <c:idx val="2"/>
            <c:bubble3D val="0"/>
            <c:spPr>
              <a:solidFill>
                <a:schemeClr val="accent3"/>
              </a:solidFill>
              <a:ln w="19050">
                <a:solidFill>
                  <a:srgbClr val="FAFAFA"/>
                </a:solidFill>
              </a:ln>
              <a:effectLst/>
            </c:spPr>
            <c:extLst>
              <c:ext xmlns:c16="http://schemas.microsoft.com/office/drawing/2014/chart" uri="{C3380CC4-5D6E-409C-BE32-E72D297353CC}">
                <c16:uniqueId val="{00000005-A2CB-47A8-A282-D233748FA702}"/>
              </c:ext>
            </c:extLst>
          </c:dPt>
          <c:dLbls>
            <c:dLbl>
              <c:idx val="0"/>
              <c:layout>
                <c:manualLayout>
                  <c:x val="0.11362967668537209"/>
                  <c:y val="-4.3359571808377087E-2"/>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A2CB-47A8-A282-D233748FA702}"/>
                </c:ext>
              </c:extLst>
            </c:dLbl>
            <c:dLbl>
              <c:idx val="1"/>
              <c:layout>
                <c:manualLayout>
                  <c:x val="0.28844456389363676"/>
                  <c:y val="0"/>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A2CB-47A8-A282-D233748FA702}"/>
                </c:ext>
              </c:extLst>
            </c:dLbl>
            <c:dLbl>
              <c:idx val="2"/>
              <c:layout>
                <c:manualLayout>
                  <c:x val="-9.2942582846154836E-2"/>
                  <c:y val="-0.11360846910721924"/>
                </c:manualLayout>
              </c:layout>
              <c:spPr>
                <a:no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tx1"/>
                      </a:solidFill>
                      <a:latin typeface="Lato Black" panose="020F050202020403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586083427307807"/>
                      <c:h val="0.19573749559210202"/>
                    </c:manualLayout>
                  </c15:layout>
                </c:ext>
                <c:ext xmlns:c16="http://schemas.microsoft.com/office/drawing/2014/chart" uri="{C3380CC4-5D6E-409C-BE32-E72D297353CC}">
                  <c16:uniqueId val="{00000005-A2CB-47A8-A282-D233748FA702}"/>
                </c:ext>
              </c:extLst>
            </c:dLbl>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tables'!$A$4:$A$7</c:f>
              <c:strCache>
                <c:ptCount val="3"/>
                <c:pt idx="0">
                  <c:v>Web Only</c:v>
                </c:pt>
                <c:pt idx="1">
                  <c:v>Both App &amp; Web</c:v>
                </c:pt>
                <c:pt idx="2">
                  <c:v>App Only</c:v>
                </c:pt>
              </c:strCache>
            </c:strRef>
          </c:cat>
          <c:val>
            <c:numRef>
              <c:f>'pivot tables'!$B$4:$B$7</c:f>
              <c:numCache>
                <c:formatCode>General</c:formatCode>
                <c:ptCount val="3"/>
                <c:pt idx="0">
                  <c:v>204</c:v>
                </c:pt>
                <c:pt idx="1">
                  <c:v>204</c:v>
                </c:pt>
                <c:pt idx="2">
                  <c:v>207</c:v>
                </c:pt>
              </c:numCache>
            </c:numRef>
          </c:val>
          <c:extLst>
            <c:ext xmlns:c16="http://schemas.microsoft.com/office/drawing/2014/chart" uri="{C3380CC4-5D6E-409C-BE32-E72D297353CC}">
              <c16:uniqueId val="{00000006-A2CB-47A8-A282-D233748FA702}"/>
            </c:ext>
          </c:extLst>
        </c:ser>
        <c:dLbls>
          <c:showLegendKey val="0"/>
          <c:showVal val="1"/>
          <c:showCatName val="0"/>
          <c:showSerName val="0"/>
          <c:showPercent val="0"/>
          <c:showBubbleSize val="0"/>
          <c:showLeaderLines val="1"/>
        </c:dLbls>
        <c:firstSliceAng val="0"/>
        <c:holeSize val="75"/>
      </c:doughnutChart>
      <c:spPr>
        <a:pattFill prst="pct5">
          <a:fgClr>
            <a:schemeClr val="accent1"/>
          </a:fgClr>
          <a:bgClr>
            <a:schemeClr val="bg1"/>
          </a:bgClr>
        </a:pattFill>
        <a:ln>
          <a:solidFill>
            <a:schemeClr val="bg1"/>
          </a:solidFill>
        </a:ln>
        <a:effectLst/>
      </c:spPr>
    </c:plotArea>
    <c:legend>
      <c:legendPos val="t"/>
      <c:overlay val="0"/>
      <c:spPr>
        <a:noFill/>
        <a:ln>
          <a:solidFill>
            <a:schemeClr val="bg1">
              <a:alpha val="0"/>
            </a:schemeClr>
          </a:solidFill>
        </a:ln>
        <a:effectLst/>
      </c:spPr>
      <c:txPr>
        <a:bodyPr rot="0" spcFirstLastPara="1" vertOverflow="ellipsis" vert="horz" wrap="square" anchor="ctr" anchorCtr="1"/>
        <a:lstStyle/>
        <a:p>
          <a:pPr>
            <a:defRPr sz="10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Lato Black" panose="020F0502020204030203" pitchFamily="34" charset="0"/>
                <a:ea typeface="Lato Black" panose="020F0502020204030203" pitchFamily="34" charset="0"/>
                <a:cs typeface="Lato Black" panose="020F0502020204030203" pitchFamily="34" charset="0"/>
              </a:rPr>
              <a:t>STUDENT</a:t>
            </a:r>
            <a:r>
              <a:rPr lang="en-US" sz="1400" b="1" baseline="0">
                <a:latin typeface="Lato Black" panose="020F0502020204030203" pitchFamily="34" charset="0"/>
                <a:ea typeface="Lato Black" panose="020F0502020204030203" pitchFamily="34" charset="0"/>
                <a:cs typeface="Lato Black" panose="020F0502020204030203" pitchFamily="34" charset="0"/>
              </a:rPr>
              <a:t> BY COURSE TYPE</a:t>
            </a:r>
            <a:endParaRPr lang="en-US" sz="1400" b="1">
              <a:latin typeface="Lato Black" panose="020F0502020204030203" pitchFamily="34" charset="0"/>
              <a:ea typeface="Lato Black" panose="020F0502020204030203" pitchFamily="34" charset="0"/>
              <a:cs typeface="Lato Black" panose="020F0502020204030203" pitchFamily="34" charset="0"/>
            </a:endParaRPr>
          </a:p>
        </c:rich>
      </c:tx>
      <c:layout>
        <c:manualLayout>
          <c:xMode val="edge"/>
          <c:yMode val="edge"/>
          <c:x val="2.234261144709462E-2"/>
          <c:y val="3.39216972878390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C3284"/>
          </a:solidFill>
          <a:ln>
            <a:solidFill>
              <a:srgbClr val="7C328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c:f>
              <c:strCache>
                <c:ptCount val="1"/>
                <c:pt idx="0">
                  <c:v>Total</c:v>
                </c:pt>
              </c:strCache>
            </c:strRef>
          </c:tx>
          <c:spPr>
            <a:solidFill>
              <a:srgbClr val="7C3284"/>
            </a:solidFill>
            <a:ln>
              <a:solidFill>
                <a:srgbClr val="7C3284"/>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tables'!$A$12:$A$20</c:f>
              <c:strCache>
                <c:ptCount val="8"/>
                <c:pt idx="0">
                  <c:v>Coding</c:v>
                </c:pt>
                <c:pt idx="1">
                  <c:v>English</c:v>
                </c:pt>
                <c:pt idx="2">
                  <c:v>Jee Prep</c:v>
                </c:pt>
                <c:pt idx="3">
                  <c:v>Mathematics</c:v>
                </c:pt>
                <c:pt idx="4">
                  <c:v>Neet Prep</c:v>
                </c:pt>
                <c:pt idx="5">
                  <c:v>Robotics</c:v>
                </c:pt>
                <c:pt idx="6">
                  <c:v>Science</c:v>
                </c:pt>
                <c:pt idx="7">
                  <c:v>Spoken English</c:v>
                </c:pt>
              </c:strCache>
            </c:strRef>
          </c:cat>
          <c:val>
            <c:numRef>
              <c:f>'pivot tables'!$B$12:$B$20</c:f>
              <c:numCache>
                <c:formatCode>General</c:formatCode>
                <c:ptCount val="8"/>
                <c:pt idx="0">
                  <c:v>76</c:v>
                </c:pt>
                <c:pt idx="1">
                  <c:v>72</c:v>
                </c:pt>
                <c:pt idx="2">
                  <c:v>68</c:v>
                </c:pt>
                <c:pt idx="3">
                  <c:v>80</c:v>
                </c:pt>
                <c:pt idx="4">
                  <c:v>100</c:v>
                </c:pt>
                <c:pt idx="5">
                  <c:v>72</c:v>
                </c:pt>
                <c:pt idx="6">
                  <c:v>74</c:v>
                </c:pt>
                <c:pt idx="7">
                  <c:v>73</c:v>
                </c:pt>
              </c:numCache>
            </c:numRef>
          </c:val>
          <c:extLst>
            <c:ext xmlns:c16="http://schemas.microsoft.com/office/drawing/2014/chart" uri="{C3380CC4-5D6E-409C-BE32-E72D297353CC}">
              <c16:uniqueId val="{00000000-980B-45B4-96F5-936DD64B1C86}"/>
            </c:ext>
          </c:extLst>
        </c:ser>
        <c:dLbls>
          <c:showLegendKey val="0"/>
          <c:showVal val="0"/>
          <c:showCatName val="0"/>
          <c:showSerName val="0"/>
          <c:showPercent val="0"/>
          <c:showBubbleSize val="0"/>
        </c:dLbls>
        <c:gapWidth val="182"/>
        <c:axId val="1764661087"/>
        <c:axId val="1238945615"/>
      </c:barChart>
      <c:catAx>
        <c:axId val="1764661087"/>
        <c:scaling>
          <c:orientation val="minMax"/>
        </c:scaling>
        <c:delete val="0"/>
        <c:axPos val="l"/>
        <c:numFmt formatCode="General" sourceLinked="1"/>
        <c:majorTickMark val="none"/>
        <c:minorTickMark val="none"/>
        <c:tickLblPos val="nextTo"/>
        <c:spPr>
          <a:solidFill>
            <a:schemeClr val="bg1"/>
          </a:solidFill>
          <a:ln w="349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945615"/>
        <c:crosses val="autoZero"/>
        <c:auto val="1"/>
        <c:lblAlgn val="ctr"/>
        <c:lblOffset val="100"/>
        <c:noMultiLvlLbl val="0"/>
      </c:catAx>
      <c:valAx>
        <c:axId val="1238945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66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latin typeface="Lato Black" panose="020F0502020204030203" pitchFamily="34" charset="0"/>
                <a:ea typeface="Lato Black" panose="020F0502020204030203" pitchFamily="34" charset="0"/>
                <a:cs typeface="Lato Black" panose="020F0502020204030203" pitchFamily="34" charset="0"/>
              </a:rPr>
              <a:t>Fee</a:t>
            </a:r>
            <a:r>
              <a:rPr lang="en-IN" sz="1200" b="1" baseline="0">
                <a:latin typeface="Lato Black" panose="020F0502020204030203" pitchFamily="34" charset="0"/>
                <a:ea typeface="Lato Black" panose="020F0502020204030203" pitchFamily="34" charset="0"/>
                <a:cs typeface="Lato Black" panose="020F0502020204030203" pitchFamily="34" charset="0"/>
              </a:rPr>
              <a:t> outstanding by course</a:t>
            </a:r>
            <a:endParaRPr lang="en-IN" sz="1200" b="1">
              <a:latin typeface="Lato Black" panose="020F0502020204030203" pitchFamily="34" charset="0"/>
              <a:ea typeface="Lato Black" panose="020F0502020204030203" pitchFamily="34" charset="0"/>
              <a:cs typeface="Lato Black" panose="020F0502020204030203" pitchFamily="34" charset="0"/>
            </a:endParaRPr>
          </a:p>
        </c:rich>
      </c:tx>
      <c:layout>
        <c:manualLayout>
          <c:xMode val="edge"/>
          <c:yMode val="edge"/>
          <c:x val="4.4748340861856653E-2"/>
          <c:y val="2.9034543433142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C3284"/>
          </a:solidFill>
          <a:ln>
            <a:solidFill>
              <a:srgbClr val="7C328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tables'!$B$26</c:f>
              <c:strCache>
                <c:ptCount val="1"/>
                <c:pt idx="0">
                  <c:v>Total</c:v>
                </c:pt>
              </c:strCache>
            </c:strRef>
          </c:tx>
          <c:spPr>
            <a:solidFill>
              <a:srgbClr val="7C3284"/>
            </a:solidFill>
            <a:ln>
              <a:solidFill>
                <a:srgbClr val="7C3284"/>
              </a:solidFill>
            </a:ln>
            <a:effectLst/>
          </c:spPr>
          <c:invertIfNegative val="0"/>
          <c:cat>
            <c:strRef>
              <c:f>'pivot tables'!$A$27:$A$35</c:f>
              <c:strCache>
                <c:ptCount val="8"/>
                <c:pt idx="0">
                  <c:v>Neet Prep</c:v>
                </c:pt>
                <c:pt idx="1">
                  <c:v>Coding</c:v>
                </c:pt>
                <c:pt idx="2">
                  <c:v>English</c:v>
                </c:pt>
                <c:pt idx="3">
                  <c:v>Mathematics</c:v>
                </c:pt>
                <c:pt idx="4">
                  <c:v>Robotics</c:v>
                </c:pt>
                <c:pt idx="5">
                  <c:v>Science</c:v>
                </c:pt>
                <c:pt idx="6">
                  <c:v>Spoken English</c:v>
                </c:pt>
                <c:pt idx="7">
                  <c:v>Jee Prep</c:v>
                </c:pt>
              </c:strCache>
            </c:strRef>
          </c:cat>
          <c:val>
            <c:numRef>
              <c:f>'pivot tables'!$B$27:$B$35</c:f>
              <c:numCache>
                <c:formatCode>"₹"\ #,##0.00;[Red]"₹"\ #,##0.00</c:formatCode>
                <c:ptCount val="8"/>
                <c:pt idx="0">
                  <c:v>2824346.12</c:v>
                </c:pt>
                <c:pt idx="1">
                  <c:v>2079233.17</c:v>
                </c:pt>
                <c:pt idx="2">
                  <c:v>2237634.5699999998</c:v>
                </c:pt>
                <c:pt idx="3">
                  <c:v>2389946.16</c:v>
                </c:pt>
                <c:pt idx="4">
                  <c:v>2200960.42</c:v>
                </c:pt>
                <c:pt idx="5">
                  <c:v>2053922.38</c:v>
                </c:pt>
                <c:pt idx="6">
                  <c:v>2102366.11</c:v>
                </c:pt>
                <c:pt idx="7">
                  <c:v>2244679.9</c:v>
                </c:pt>
              </c:numCache>
            </c:numRef>
          </c:val>
          <c:extLst>
            <c:ext xmlns:c16="http://schemas.microsoft.com/office/drawing/2014/chart" uri="{C3380CC4-5D6E-409C-BE32-E72D297353CC}">
              <c16:uniqueId val="{00000000-ADA0-4514-AC57-7885F4594729}"/>
            </c:ext>
          </c:extLst>
        </c:ser>
        <c:dLbls>
          <c:showLegendKey val="0"/>
          <c:showVal val="0"/>
          <c:showCatName val="0"/>
          <c:showSerName val="0"/>
          <c:showPercent val="0"/>
          <c:showBubbleSize val="0"/>
        </c:dLbls>
        <c:gapWidth val="219"/>
        <c:overlap val="-27"/>
        <c:axId val="1926949583"/>
        <c:axId val="1604942671"/>
      </c:barChart>
      <c:catAx>
        <c:axId val="19269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942671"/>
        <c:crosses val="autoZero"/>
        <c:auto val="1"/>
        <c:lblAlgn val="ctr"/>
        <c:lblOffset val="100"/>
        <c:noMultiLvlLbl val="0"/>
      </c:catAx>
      <c:valAx>
        <c:axId val="16049426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94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Lato Black" panose="020F0502020204030203" pitchFamily="34" charset="0"/>
                <a:ea typeface="Lato Black" panose="020F0502020204030203" pitchFamily="34" charset="0"/>
                <a:cs typeface="Lato Black" panose="020F0502020204030203" pitchFamily="34" charset="0"/>
              </a:rPr>
              <a:t>Fee Paid by Course Type</a:t>
            </a:r>
            <a:endParaRPr lang="en-US" b="1">
              <a:solidFill>
                <a:schemeClr val="tx1"/>
              </a:solidFill>
              <a:latin typeface="Lato Black" panose="020F0502020204030203" pitchFamily="34" charset="0"/>
              <a:ea typeface="Lato Black" panose="020F0502020204030203" pitchFamily="34" charset="0"/>
              <a:cs typeface="Lato Black" panose="020F050202020403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C3284"/>
          </a:solidFill>
          <a:ln w="22225">
            <a:solidFill>
              <a:schemeClr val="tx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7C3284"/>
          </a:solidFill>
          <a:ln w="22225">
            <a:solidFill>
              <a:schemeClr val="tx1"/>
            </a:solidFill>
          </a:ln>
          <a:effectLst/>
        </c:spPr>
        <c:dLbl>
          <c:idx val="0"/>
          <c:layout>
            <c:manualLayout>
              <c:x val="7.7986129317445682E-2"/>
              <c:y val="-0.28413507735314886"/>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7C3284"/>
          </a:solidFill>
          <a:ln w="22225">
            <a:solidFill>
              <a:schemeClr val="tx1"/>
            </a:solidFill>
          </a:ln>
          <a:effectLst/>
        </c:spPr>
        <c:dLbl>
          <c:idx val="0"/>
          <c:layout>
            <c:manualLayout>
              <c:x val="-1.9496532329361421E-2"/>
              <c:y val="-6.26060339930666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7C3284"/>
          </a:solidFill>
          <a:ln w="22225">
            <a:solidFill>
              <a:schemeClr val="tx1"/>
            </a:solidFill>
          </a:ln>
          <a:effectLst/>
        </c:spPr>
        <c:dLbl>
          <c:idx val="0"/>
          <c:layout>
            <c:manualLayout>
              <c:x val="-2.8161657809077645E-2"/>
              <c:y val="0.12521206798613338"/>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7C3284"/>
          </a:solidFill>
          <a:ln w="22225">
            <a:solidFill>
              <a:schemeClr val="tx1"/>
            </a:solidFill>
          </a:ln>
          <a:effectLst/>
        </c:spPr>
        <c:dLbl>
          <c:idx val="0"/>
          <c:layout>
            <c:manualLayout>
              <c:x val="-1.9496532329361421E-2"/>
              <c:y val="1.926339507478975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7C3284"/>
          </a:solidFill>
          <a:ln w="22225">
            <a:solidFill>
              <a:schemeClr val="tx1"/>
            </a:solidFill>
          </a:ln>
          <a:effectLst/>
        </c:spPr>
        <c:dLbl>
          <c:idx val="0"/>
          <c:layout>
            <c:manualLayout>
              <c:x val="-2.1662813699290465E-3"/>
              <c:y val="-0.1300279167548308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7C3284"/>
          </a:solidFill>
          <a:ln w="22225">
            <a:solidFill>
              <a:schemeClr val="tx1"/>
            </a:solidFill>
          </a:ln>
          <a:effectLst/>
        </c:spPr>
        <c:dLbl>
          <c:idx val="0"/>
          <c:layout>
            <c:manualLayout>
              <c:x val="-9.3150098906949003E-2"/>
              <c:y val="0.14447546306092315"/>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7C3284"/>
          </a:solidFill>
          <a:ln w="22225">
            <a:solidFill>
              <a:schemeClr val="tx1"/>
            </a:solidFill>
          </a:ln>
          <a:effectLst/>
        </c:spPr>
        <c:dLbl>
          <c:idx val="0"/>
          <c:layout>
            <c:manualLayout>
              <c:x val="-1.2997688219574279E-2"/>
              <c:y val="0.1396596142922257"/>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7C3284"/>
          </a:solidFill>
          <a:ln w="22225">
            <a:solidFill>
              <a:schemeClr val="tx1"/>
            </a:solidFill>
          </a:ln>
          <a:effectLst/>
        </c:spPr>
        <c:dLbl>
          <c:idx val="0"/>
          <c:layout>
            <c:manualLayout>
              <c:x val="-4.9824471508368072E-2"/>
              <c:y val="-0.31303016996533345"/>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6554114987921"/>
                  <c:h val="9.7346884449207208E-2"/>
                </c:manualLayout>
              </c15:layout>
            </c:ext>
          </c:extLst>
        </c:dLbl>
      </c:pivotFmt>
    </c:pivotFmts>
    <c:plotArea>
      <c:layout>
        <c:manualLayout>
          <c:layoutTarget val="inner"/>
          <c:xMode val="edge"/>
          <c:yMode val="edge"/>
          <c:x val="0.10238019191632089"/>
          <c:y val="0.17719934504456747"/>
          <c:w val="0.85236273980706323"/>
          <c:h val="0.60296132987198947"/>
        </c:manualLayout>
      </c:layout>
      <c:areaChart>
        <c:grouping val="standard"/>
        <c:varyColors val="0"/>
        <c:ser>
          <c:idx val="0"/>
          <c:order val="0"/>
          <c:tx>
            <c:strRef>
              <c:f>'pivot tables'!$B$40</c:f>
              <c:strCache>
                <c:ptCount val="1"/>
                <c:pt idx="0">
                  <c:v>Total</c:v>
                </c:pt>
              </c:strCache>
            </c:strRef>
          </c:tx>
          <c:spPr>
            <a:solidFill>
              <a:srgbClr val="7C3284"/>
            </a:solidFill>
            <a:ln w="22225">
              <a:solidFill>
                <a:schemeClr val="tx1"/>
              </a:solidFill>
            </a:ln>
            <a:effectLst/>
          </c:spPr>
          <c:dPt>
            <c:idx val="0"/>
            <c:bubble3D val="0"/>
            <c:extLst>
              <c:ext xmlns:c16="http://schemas.microsoft.com/office/drawing/2014/chart" uri="{C3380CC4-5D6E-409C-BE32-E72D297353CC}">
                <c16:uniqueId val="{00000005-93DF-4F12-A3A4-2B9908271140}"/>
              </c:ext>
            </c:extLst>
          </c:dPt>
          <c:dPt>
            <c:idx val="1"/>
            <c:bubble3D val="0"/>
            <c:extLst>
              <c:ext xmlns:c16="http://schemas.microsoft.com/office/drawing/2014/chart" uri="{C3380CC4-5D6E-409C-BE32-E72D297353CC}">
                <c16:uniqueId val="{00000006-93DF-4F12-A3A4-2B9908271140}"/>
              </c:ext>
            </c:extLst>
          </c:dPt>
          <c:dPt>
            <c:idx val="2"/>
            <c:bubble3D val="0"/>
            <c:extLst>
              <c:ext xmlns:c16="http://schemas.microsoft.com/office/drawing/2014/chart" uri="{C3380CC4-5D6E-409C-BE32-E72D297353CC}">
                <c16:uniqueId val="{00000007-93DF-4F12-A3A4-2B9908271140}"/>
              </c:ext>
            </c:extLst>
          </c:dPt>
          <c:dPt>
            <c:idx val="3"/>
            <c:bubble3D val="0"/>
            <c:extLst>
              <c:ext xmlns:c16="http://schemas.microsoft.com/office/drawing/2014/chart" uri="{C3380CC4-5D6E-409C-BE32-E72D297353CC}">
                <c16:uniqueId val="{00000008-93DF-4F12-A3A4-2B9908271140}"/>
              </c:ext>
            </c:extLst>
          </c:dPt>
          <c:dPt>
            <c:idx val="4"/>
            <c:bubble3D val="0"/>
            <c:extLst>
              <c:ext xmlns:c16="http://schemas.microsoft.com/office/drawing/2014/chart" uri="{C3380CC4-5D6E-409C-BE32-E72D297353CC}">
                <c16:uniqueId val="{00000002-93DF-4F12-A3A4-2B9908271140}"/>
              </c:ext>
            </c:extLst>
          </c:dPt>
          <c:dPt>
            <c:idx val="5"/>
            <c:bubble3D val="0"/>
            <c:extLst>
              <c:ext xmlns:c16="http://schemas.microsoft.com/office/drawing/2014/chart" uri="{C3380CC4-5D6E-409C-BE32-E72D297353CC}">
                <c16:uniqueId val="{00000003-93DF-4F12-A3A4-2B9908271140}"/>
              </c:ext>
            </c:extLst>
          </c:dPt>
          <c:dPt>
            <c:idx val="6"/>
            <c:bubble3D val="0"/>
            <c:extLst>
              <c:ext xmlns:c16="http://schemas.microsoft.com/office/drawing/2014/chart" uri="{C3380CC4-5D6E-409C-BE32-E72D297353CC}">
                <c16:uniqueId val="{00000004-93DF-4F12-A3A4-2B9908271140}"/>
              </c:ext>
            </c:extLst>
          </c:dPt>
          <c:dPt>
            <c:idx val="7"/>
            <c:bubble3D val="0"/>
            <c:extLst>
              <c:ext xmlns:c16="http://schemas.microsoft.com/office/drawing/2014/chart" uri="{C3380CC4-5D6E-409C-BE32-E72D297353CC}">
                <c16:uniqueId val="{00000009-93DF-4F12-A3A4-2B9908271140}"/>
              </c:ext>
            </c:extLst>
          </c:dPt>
          <c:dLbls>
            <c:dLbl>
              <c:idx val="0"/>
              <c:layout>
                <c:manualLayout>
                  <c:x val="7.7986129317445682E-2"/>
                  <c:y val="-0.2841350773531488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DF-4F12-A3A4-2B9908271140}"/>
                </c:ext>
              </c:extLst>
            </c:dLbl>
            <c:dLbl>
              <c:idx val="1"/>
              <c:layout>
                <c:manualLayout>
                  <c:x val="-1.9496532329361421E-2"/>
                  <c:y val="-6.26060339930666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3DF-4F12-A3A4-2B9908271140}"/>
                </c:ext>
              </c:extLst>
            </c:dLbl>
            <c:dLbl>
              <c:idx val="2"/>
              <c:layout>
                <c:manualLayout>
                  <c:x val="-2.8161657809077645E-2"/>
                  <c:y val="0.1252120679861333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DF-4F12-A3A4-2B9908271140}"/>
                </c:ext>
              </c:extLst>
            </c:dLbl>
            <c:dLbl>
              <c:idx val="3"/>
              <c:layout>
                <c:manualLayout>
                  <c:x val="-1.9496532329361421E-2"/>
                  <c:y val="1.926339507478975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3DF-4F12-A3A4-2B9908271140}"/>
                </c:ext>
              </c:extLst>
            </c:dLbl>
            <c:dLbl>
              <c:idx val="4"/>
              <c:layout>
                <c:manualLayout>
                  <c:x val="-2.1662813699290465E-3"/>
                  <c:y val="-0.1300279167548308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DF-4F12-A3A4-2B9908271140}"/>
                </c:ext>
              </c:extLst>
            </c:dLbl>
            <c:dLbl>
              <c:idx val="5"/>
              <c:layout>
                <c:manualLayout>
                  <c:x val="-9.3150098906949003E-2"/>
                  <c:y val="0.1444754630609231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DF-4F12-A3A4-2B9908271140}"/>
                </c:ext>
              </c:extLst>
            </c:dLbl>
            <c:dLbl>
              <c:idx val="6"/>
              <c:layout>
                <c:manualLayout>
                  <c:x val="-1.2997688219574279E-2"/>
                  <c:y val="0.139659614292225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3DF-4F12-A3A4-2B9908271140}"/>
                </c:ext>
              </c:extLst>
            </c:dLbl>
            <c:dLbl>
              <c:idx val="7"/>
              <c:layout>
                <c:manualLayout>
                  <c:x val="-4.9824471508368072E-2"/>
                  <c:y val="-0.31303016996533345"/>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6554114987921"/>
                      <c:h val="9.7346884449207208E-2"/>
                    </c:manualLayout>
                  </c15:layout>
                </c:ext>
                <c:ext xmlns:c16="http://schemas.microsoft.com/office/drawing/2014/chart" uri="{C3380CC4-5D6E-409C-BE32-E72D297353CC}">
                  <c16:uniqueId val="{00000009-93DF-4F12-A3A4-2B9908271140}"/>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tables'!$A$41:$A$49</c:f>
              <c:strCache>
                <c:ptCount val="8"/>
                <c:pt idx="0">
                  <c:v>Coding</c:v>
                </c:pt>
                <c:pt idx="1">
                  <c:v>English</c:v>
                </c:pt>
                <c:pt idx="2">
                  <c:v>Jee Prep</c:v>
                </c:pt>
                <c:pt idx="3">
                  <c:v>Mathematics</c:v>
                </c:pt>
                <c:pt idx="4">
                  <c:v>Neet Prep</c:v>
                </c:pt>
                <c:pt idx="5">
                  <c:v>Robotics</c:v>
                </c:pt>
                <c:pt idx="6">
                  <c:v>Science</c:v>
                </c:pt>
                <c:pt idx="7">
                  <c:v>Spoken English</c:v>
                </c:pt>
              </c:strCache>
            </c:strRef>
          </c:cat>
          <c:val>
            <c:numRef>
              <c:f>'pivot tables'!$B$41:$B$49</c:f>
              <c:numCache>
                <c:formatCode>General</c:formatCode>
                <c:ptCount val="8"/>
                <c:pt idx="0">
                  <c:v>5563435.5199999996</c:v>
                </c:pt>
                <c:pt idx="1">
                  <c:v>4969000.91</c:v>
                </c:pt>
                <c:pt idx="2">
                  <c:v>4877503.79</c:v>
                </c:pt>
                <c:pt idx="3">
                  <c:v>6268199.3700000001</c:v>
                </c:pt>
                <c:pt idx="4">
                  <c:v>7257089.7300000004</c:v>
                </c:pt>
                <c:pt idx="5">
                  <c:v>5601697.6500000004</c:v>
                </c:pt>
                <c:pt idx="6">
                  <c:v>5494359.9900000002</c:v>
                </c:pt>
                <c:pt idx="7">
                  <c:v>5568572.71</c:v>
                </c:pt>
              </c:numCache>
            </c:numRef>
          </c:val>
          <c:extLst>
            <c:ext xmlns:c16="http://schemas.microsoft.com/office/drawing/2014/chart" uri="{C3380CC4-5D6E-409C-BE32-E72D297353CC}">
              <c16:uniqueId val="{00000000-93DF-4F12-A3A4-2B9908271140}"/>
            </c:ext>
          </c:extLst>
        </c:ser>
        <c:dLbls>
          <c:showLegendKey val="0"/>
          <c:showVal val="0"/>
          <c:showCatName val="0"/>
          <c:showSerName val="0"/>
          <c:showPercent val="0"/>
          <c:showBubbleSize val="0"/>
        </c:dLbls>
        <c:axId val="2049105135"/>
        <c:axId val="1983459311"/>
      </c:areaChart>
      <c:catAx>
        <c:axId val="2049105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459311"/>
        <c:crosses val="autoZero"/>
        <c:auto val="1"/>
        <c:lblAlgn val="ctr"/>
        <c:lblOffset val="100"/>
        <c:noMultiLvlLbl val="0"/>
      </c:catAx>
      <c:valAx>
        <c:axId val="198345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1051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tables!PivotTable4</c:name>
    <c:fmtId val="8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Students by Learner Category</a:t>
            </a:r>
            <a:endParaRPr lang="en-US"/>
          </a:p>
        </c:rich>
      </c:tx>
      <c:layout>
        <c:manualLayout>
          <c:xMode val="edge"/>
          <c:yMode val="edge"/>
          <c:x val="3.2851764208629598E-2"/>
          <c:y val="2.79593422729844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21144938158530285"/>
              <c:y val="0.10108464883959911"/>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fld id="{2CF39B8A-AFEE-4B11-9C8B-96C37C7BD17E}" type="CATEGORYNAME">
                  <a:rPr lang="en-US"/>
                  <a:pPr>
                    <a:defRPr/>
                  </a:pPr>
                  <a:t>[CATEGORY NAME]</a:t>
                </a:fld>
                <a:r>
                  <a:rPr lang="en-US"/>
                  <a:t>
</a:t>
                </a:r>
                <a:fld id="{C98222BE-3D04-4236-8628-AC755731B7CD}" type="PERCENTAGE">
                  <a:rPr lang="en-US"/>
                  <a:pPr>
                    <a:defRPr/>
                  </a:pPr>
                  <a:t>[PERCENTAGE]</a:t>
                </a:fld>
                <a:endParaRPr lang="en-US"/>
              </a:p>
            </c:rich>
          </c:tx>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1"/>
          </a:solidFill>
          <a:ln w="19050">
            <a:solidFill>
              <a:schemeClr val="lt1"/>
            </a:solidFill>
          </a:ln>
          <a:effectLst/>
        </c:spPr>
        <c:dLbl>
          <c:idx val="0"/>
          <c:layout>
            <c:manualLayout>
              <c:x val="0.34559450915492934"/>
              <c:y val="-0.1435897178204513"/>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B9-4B91-BBF9-5D47FF6AE2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B9-4B91-BBF9-5D47FF6AE2A2}"/>
              </c:ext>
            </c:extLst>
          </c:dPt>
          <c:dLbls>
            <c:dLbl>
              <c:idx val="0"/>
              <c:layout>
                <c:manualLayout>
                  <c:x val="0.21144938158530285"/>
                  <c:y val="0.10108464883959911"/>
                </c:manualLayout>
              </c:layout>
              <c:tx>
                <c:rich>
                  <a:bodyPr/>
                  <a:lstStyle/>
                  <a:p>
                    <a:fld id="{2CF39B8A-AFEE-4B11-9C8B-96C37C7BD17E}" type="CATEGORYNAME">
                      <a:rPr lang="en-US"/>
                      <a:pPr/>
                      <a:t>[CATEGORY NAME]</a:t>
                    </a:fld>
                    <a:r>
                      <a:rPr lang="en-US"/>
                      <a:t>
</a:t>
                    </a:r>
                    <a:fld id="{C98222BE-3D04-4236-8628-AC755731B7CD}"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FB9-4B91-BBF9-5D47FF6AE2A2}"/>
                </c:ext>
              </c:extLst>
            </c:dLbl>
            <c:dLbl>
              <c:idx val="1"/>
              <c:layout>
                <c:manualLayout>
                  <c:x val="0.34559450915492934"/>
                  <c:y val="-0.14358971782045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FB9-4B91-BBF9-5D47FF6AE2A2}"/>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tables'!$A$57:$A$59</c:f>
              <c:strCache>
                <c:ptCount val="2"/>
                <c:pt idx="0">
                  <c:v>Non-Premium Learner</c:v>
                </c:pt>
                <c:pt idx="1">
                  <c:v>Premium Learner</c:v>
                </c:pt>
              </c:strCache>
            </c:strRef>
          </c:cat>
          <c:val>
            <c:numRef>
              <c:f>'pivot tables'!$B$57:$B$59</c:f>
              <c:numCache>
                <c:formatCode>General</c:formatCode>
                <c:ptCount val="2"/>
                <c:pt idx="0">
                  <c:v>444</c:v>
                </c:pt>
                <c:pt idx="1">
                  <c:v>171</c:v>
                </c:pt>
              </c:numCache>
            </c:numRef>
          </c:val>
          <c:extLst>
            <c:ext xmlns:c16="http://schemas.microsoft.com/office/drawing/2014/chart" uri="{C3380CC4-5D6E-409C-BE32-E72D297353CC}">
              <c16:uniqueId val="{00000004-CFB9-4B91-BBF9-5D47FF6AE2A2}"/>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tables!PivotTable5</c:name>
    <c:fmtId val="8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600"/>
              <a:t>Average Performance by Course Type</a:t>
            </a:r>
            <a:endParaRPr lang="en-US" sz="1600"/>
          </a:p>
        </c:rich>
      </c:tx>
      <c:layout>
        <c:manualLayout>
          <c:xMode val="edge"/>
          <c:yMode val="edge"/>
          <c:x val="9.9806434875277864E-2"/>
          <c:y val="1.2429381295738532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7C3284"/>
            </a:solidFill>
            <a:round/>
          </a:ln>
          <a:effectLst/>
        </c:spPr>
        <c:marker>
          <c:symbol val="circle"/>
          <c:size val="8"/>
          <c:spPr>
            <a:solidFill>
              <a:srgbClr val="92D05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10214003903408E-2"/>
          <c:y val="0.27046333699527048"/>
          <c:w val="0.68581242203411164"/>
          <c:h val="0.3938347332698815"/>
        </c:manualLayout>
      </c:layout>
      <c:lineChart>
        <c:grouping val="stacked"/>
        <c:varyColors val="0"/>
        <c:ser>
          <c:idx val="0"/>
          <c:order val="0"/>
          <c:tx>
            <c:strRef>
              <c:f>'pivot tables'!$B$67</c:f>
              <c:strCache>
                <c:ptCount val="1"/>
                <c:pt idx="0">
                  <c:v>Total</c:v>
                </c:pt>
              </c:strCache>
            </c:strRef>
          </c:tx>
          <c:spPr>
            <a:ln w="38100" cap="rnd">
              <a:solidFill>
                <a:srgbClr val="7C3284"/>
              </a:solidFill>
              <a:round/>
            </a:ln>
            <a:effectLst/>
          </c:spPr>
          <c:marker>
            <c:symbol val="circle"/>
            <c:size val="8"/>
            <c:spPr>
              <a:solidFill>
                <a:srgbClr val="92D05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cat>
            <c:strRef>
              <c:f>'pivot tables'!$A$68:$A$76</c:f>
              <c:strCache>
                <c:ptCount val="8"/>
                <c:pt idx="0">
                  <c:v>Coding</c:v>
                </c:pt>
                <c:pt idx="1">
                  <c:v>English</c:v>
                </c:pt>
                <c:pt idx="2">
                  <c:v>Jee Prep</c:v>
                </c:pt>
                <c:pt idx="3">
                  <c:v>Mathematics</c:v>
                </c:pt>
                <c:pt idx="4">
                  <c:v>Neet Prep</c:v>
                </c:pt>
                <c:pt idx="5">
                  <c:v>Robotics</c:v>
                </c:pt>
                <c:pt idx="6">
                  <c:v>Science</c:v>
                </c:pt>
                <c:pt idx="7">
                  <c:v>Spoken English</c:v>
                </c:pt>
              </c:strCache>
            </c:strRef>
          </c:cat>
          <c:val>
            <c:numRef>
              <c:f>'pivot tables'!$B$68:$B$76</c:f>
              <c:numCache>
                <c:formatCode>General</c:formatCode>
                <c:ptCount val="8"/>
                <c:pt idx="0">
                  <c:v>76</c:v>
                </c:pt>
                <c:pt idx="1">
                  <c:v>72</c:v>
                </c:pt>
                <c:pt idx="2">
                  <c:v>68</c:v>
                </c:pt>
                <c:pt idx="3">
                  <c:v>80</c:v>
                </c:pt>
                <c:pt idx="4">
                  <c:v>100</c:v>
                </c:pt>
                <c:pt idx="5">
                  <c:v>72</c:v>
                </c:pt>
                <c:pt idx="6">
                  <c:v>74</c:v>
                </c:pt>
                <c:pt idx="7">
                  <c:v>73</c:v>
                </c:pt>
              </c:numCache>
            </c:numRef>
          </c:val>
          <c:smooth val="0"/>
          <c:extLst>
            <c:ext xmlns:c16="http://schemas.microsoft.com/office/drawing/2014/chart" uri="{C3380CC4-5D6E-409C-BE32-E72D297353CC}">
              <c16:uniqueId val="{00000000-DBBC-4836-A9C9-48508F968D50}"/>
            </c:ext>
          </c:extLst>
        </c:ser>
        <c:dLbls>
          <c:showLegendKey val="0"/>
          <c:showVal val="0"/>
          <c:showCatName val="0"/>
          <c:showSerName val="0"/>
          <c:showPercent val="0"/>
          <c:showBubbleSize val="0"/>
        </c:dLbls>
        <c:marker val="1"/>
        <c:smooth val="0"/>
        <c:axId val="1992999103"/>
        <c:axId val="1983445871"/>
      </c:lineChart>
      <c:catAx>
        <c:axId val="199299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83445871"/>
        <c:crosses val="autoZero"/>
        <c:auto val="1"/>
        <c:lblAlgn val="ctr"/>
        <c:lblOffset val="100"/>
        <c:noMultiLvlLbl val="0"/>
      </c:catAx>
      <c:valAx>
        <c:axId val="19834458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99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[Byju's Learning analytics.xlsx]pivot tables!PivotTable7</c:name>
    <c:fmtId val="8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Students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C32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tables'!$B$85</c:f>
              <c:strCache>
                <c:ptCount val="1"/>
                <c:pt idx="0">
                  <c:v>Total</c:v>
                </c:pt>
              </c:strCache>
            </c:strRef>
          </c:tx>
          <c:spPr>
            <a:solidFill>
              <a:srgbClr val="7C328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tables'!$A$86:$A$96</c:f>
              <c:strCache>
                <c:ptCount val="10"/>
                <c:pt idx="0">
                  <c:v>Delhi</c:v>
                </c:pt>
                <c:pt idx="1">
                  <c:v>Gujarat</c:v>
                </c:pt>
                <c:pt idx="2">
                  <c:v>Karnataka</c:v>
                </c:pt>
                <c:pt idx="3">
                  <c:v>Kerala</c:v>
                </c:pt>
                <c:pt idx="4">
                  <c:v>Maharashtra</c:v>
                </c:pt>
                <c:pt idx="5">
                  <c:v>Rajasthan</c:v>
                </c:pt>
                <c:pt idx="6">
                  <c:v>Tamil Nadu</c:v>
                </c:pt>
                <c:pt idx="7">
                  <c:v>Telangana</c:v>
                </c:pt>
                <c:pt idx="8">
                  <c:v>Uttar Pradesh</c:v>
                </c:pt>
                <c:pt idx="9">
                  <c:v>West Bengal</c:v>
                </c:pt>
              </c:strCache>
            </c:strRef>
          </c:cat>
          <c:val>
            <c:numRef>
              <c:f>'pivot tables'!$B$86:$B$96</c:f>
              <c:numCache>
                <c:formatCode>General</c:formatCode>
                <c:ptCount val="10"/>
                <c:pt idx="0">
                  <c:v>54</c:v>
                </c:pt>
                <c:pt idx="1">
                  <c:v>61</c:v>
                </c:pt>
                <c:pt idx="2">
                  <c:v>50</c:v>
                </c:pt>
                <c:pt idx="3">
                  <c:v>53</c:v>
                </c:pt>
                <c:pt idx="4">
                  <c:v>70</c:v>
                </c:pt>
                <c:pt idx="5">
                  <c:v>71</c:v>
                </c:pt>
                <c:pt idx="6">
                  <c:v>57</c:v>
                </c:pt>
                <c:pt idx="7">
                  <c:v>61</c:v>
                </c:pt>
                <c:pt idx="8">
                  <c:v>73</c:v>
                </c:pt>
                <c:pt idx="9">
                  <c:v>65</c:v>
                </c:pt>
              </c:numCache>
            </c:numRef>
          </c:val>
          <c:extLst>
            <c:ext xmlns:c16="http://schemas.microsoft.com/office/drawing/2014/chart" uri="{C3380CC4-5D6E-409C-BE32-E72D297353CC}">
              <c16:uniqueId val="{00000000-BB38-4A32-BF15-3E45A9BA7A11}"/>
            </c:ext>
          </c:extLst>
        </c:ser>
        <c:dLbls>
          <c:dLblPos val="outEnd"/>
          <c:showLegendKey val="0"/>
          <c:showVal val="1"/>
          <c:showCatName val="0"/>
          <c:showSerName val="0"/>
          <c:showPercent val="0"/>
          <c:showBubbleSize val="0"/>
        </c:dLbls>
        <c:gapWidth val="219"/>
        <c:overlap val="-27"/>
        <c:axId val="1974621455"/>
        <c:axId val="1787625679"/>
      </c:barChart>
      <c:catAx>
        <c:axId val="197462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25679"/>
        <c:crosses val="autoZero"/>
        <c:auto val="1"/>
        <c:lblAlgn val="ctr"/>
        <c:lblOffset val="100"/>
        <c:noMultiLvlLbl val="0"/>
      </c:catAx>
      <c:valAx>
        <c:axId val="178762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62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pivot tables'!A1"/><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hyperlink" Target="#insights!A1"/><Relationship Id="rId4" Type="http://schemas.openxmlformats.org/officeDocument/2006/relationships/chart" Target="../charts/chart11.xml"/><Relationship Id="rId9" Type="http://schemas.openxmlformats.org/officeDocument/2006/relationships/hyperlink" Target="#'cleaned data'!A1"/></Relationships>
</file>

<file path=xl/drawings/drawing1.xml><?xml version="1.0" encoding="utf-8"?>
<xdr:wsDr xmlns:xdr="http://schemas.openxmlformats.org/drawingml/2006/spreadsheetDrawing" xmlns:a="http://schemas.openxmlformats.org/drawingml/2006/main">
  <xdr:twoCellAnchor>
    <xdr:from>
      <xdr:col>2</xdr:col>
      <xdr:colOff>280948</xdr:colOff>
      <xdr:row>9</xdr:row>
      <xdr:rowOff>207472</xdr:rowOff>
    </xdr:from>
    <xdr:to>
      <xdr:col>6</xdr:col>
      <xdr:colOff>104855</xdr:colOff>
      <xdr:row>21</xdr:row>
      <xdr:rowOff>242</xdr:rowOff>
    </xdr:to>
    <xdr:graphicFrame macro="">
      <xdr:nvGraphicFramePr>
        <xdr:cNvPr id="6" name="Chart 5">
          <a:extLst>
            <a:ext uri="{FF2B5EF4-FFF2-40B4-BE49-F238E27FC236}">
              <a16:creationId xmlns:a16="http://schemas.microsoft.com/office/drawing/2014/main" id="{86F92E5D-063F-4BD9-B7E3-1F46F4CE9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271182</xdr:colOff>
      <xdr:row>22</xdr:row>
      <xdr:rowOff>180975</xdr:rowOff>
    </xdr:from>
    <xdr:to>
      <xdr:col>6</xdr:col>
      <xdr:colOff>132069</xdr:colOff>
      <xdr:row>35</xdr:row>
      <xdr:rowOff>20017</xdr:rowOff>
    </xdr:to>
    <xdr:graphicFrame macro="">
      <xdr:nvGraphicFramePr>
        <xdr:cNvPr id="7" name="Chart 6">
          <a:extLst>
            <a:ext uri="{FF2B5EF4-FFF2-40B4-BE49-F238E27FC236}">
              <a16:creationId xmlns:a16="http://schemas.microsoft.com/office/drawing/2014/main" id="{22524896-D140-4242-B21E-B83FC0FFD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530679</xdr:colOff>
      <xdr:row>0</xdr:row>
      <xdr:rowOff>83242</xdr:rowOff>
    </xdr:from>
    <xdr:to>
      <xdr:col>5</xdr:col>
      <xdr:colOff>296155</xdr:colOff>
      <xdr:row>8</xdr:row>
      <xdr:rowOff>161683</xdr:rowOff>
    </xdr:to>
    <xdr:graphicFrame macro="">
      <xdr:nvGraphicFramePr>
        <xdr:cNvPr id="8" name="Chart 7">
          <a:extLst>
            <a:ext uri="{FF2B5EF4-FFF2-40B4-BE49-F238E27FC236}">
              <a16:creationId xmlns:a16="http://schemas.microsoft.com/office/drawing/2014/main" id="{A5826646-BA33-4625-BB66-D0AFDF878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323369</xdr:colOff>
      <xdr:row>36</xdr:row>
      <xdr:rowOff>9924</xdr:rowOff>
    </xdr:from>
    <xdr:to>
      <xdr:col>5</xdr:col>
      <xdr:colOff>1107781</xdr:colOff>
      <xdr:row>50</xdr:row>
      <xdr:rowOff>86124</xdr:rowOff>
    </xdr:to>
    <xdr:graphicFrame macro="">
      <xdr:nvGraphicFramePr>
        <xdr:cNvPr id="2" name="Chart 1">
          <a:extLst>
            <a:ext uri="{FF2B5EF4-FFF2-40B4-BE49-F238E27FC236}">
              <a16:creationId xmlns:a16="http://schemas.microsoft.com/office/drawing/2014/main" id="{1C0B0076-19B6-ECC4-1C1B-B59BA7D00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365791</xdr:colOff>
      <xdr:row>51</xdr:row>
      <xdr:rowOff>91247</xdr:rowOff>
    </xdr:from>
    <xdr:to>
      <xdr:col>5</xdr:col>
      <xdr:colOff>819630</xdr:colOff>
      <xdr:row>60</xdr:row>
      <xdr:rowOff>124864</xdr:rowOff>
    </xdr:to>
    <xdr:graphicFrame macro="">
      <xdr:nvGraphicFramePr>
        <xdr:cNvPr id="3" name="Chart 2">
          <a:extLst>
            <a:ext uri="{FF2B5EF4-FFF2-40B4-BE49-F238E27FC236}">
              <a16:creationId xmlns:a16="http://schemas.microsoft.com/office/drawing/2014/main" id="{466E2E04-4926-3C07-8432-819B05F87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381000</xdr:colOff>
      <xdr:row>63</xdr:row>
      <xdr:rowOff>131988</xdr:rowOff>
    </xdr:from>
    <xdr:to>
      <xdr:col>5</xdr:col>
      <xdr:colOff>244929</xdr:colOff>
      <xdr:row>78</xdr:row>
      <xdr:rowOff>17688</xdr:rowOff>
    </xdr:to>
    <xdr:graphicFrame macro="">
      <xdr:nvGraphicFramePr>
        <xdr:cNvPr id="4" name="Chart 3">
          <a:extLst>
            <a:ext uri="{FF2B5EF4-FFF2-40B4-BE49-F238E27FC236}">
              <a16:creationId xmlns:a16="http://schemas.microsoft.com/office/drawing/2014/main" id="{87896269-1DD0-6073-DC78-C534769E5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380999</xdr:colOff>
      <xdr:row>82</xdr:row>
      <xdr:rowOff>23132</xdr:rowOff>
    </xdr:from>
    <xdr:to>
      <xdr:col>5</xdr:col>
      <xdr:colOff>244928</xdr:colOff>
      <xdr:row>96</xdr:row>
      <xdr:rowOff>99332</xdr:rowOff>
    </xdr:to>
    <xdr:graphicFrame macro="">
      <xdr:nvGraphicFramePr>
        <xdr:cNvPr id="5" name="Chart 4">
          <a:extLst>
            <a:ext uri="{FF2B5EF4-FFF2-40B4-BE49-F238E27FC236}">
              <a16:creationId xmlns:a16="http://schemas.microsoft.com/office/drawing/2014/main" id="{08B5FF86-67B5-9840-497E-199AAE45B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24493</xdr:colOff>
      <xdr:row>6</xdr:row>
      <xdr:rowOff>36740</xdr:rowOff>
    </xdr:from>
    <xdr:to>
      <xdr:col>8</xdr:col>
      <xdr:colOff>574222</xdr:colOff>
      <xdr:row>19</xdr:row>
      <xdr:rowOff>43543</xdr:rowOff>
    </xdr:to>
    <mc:AlternateContent xmlns:mc="http://schemas.openxmlformats.org/markup-compatibility/2006" xmlns:a14="http://schemas.microsoft.com/office/drawing/2010/main">
      <mc:Choice Requires="a14">
        <xdr:graphicFrame macro="">
          <xdr:nvGraphicFramePr>
            <xdr:cNvPr id="9" name="Course_Type_Clean">
              <a:extLst>
                <a:ext uri="{FF2B5EF4-FFF2-40B4-BE49-F238E27FC236}">
                  <a16:creationId xmlns:a16="http://schemas.microsoft.com/office/drawing/2014/main" id="{99CDB1E7-3582-095C-7246-C797BEA550A8}"/>
                </a:ext>
              </a:extLst>
            </xdr:cNvPr>
            <xdr:cNvGraphicFramePr/>
          </xdr:nvGraphicFramePr>
          <xdr:xfrm>
            <a:off x="0" y="0"/>
            <a:ext cx="0" cy="0"/>
          </xdr:xfrm>
          <a:graphic>
            <a:graphicData uri="http://schemas.microsoft.com/office/drawing/2010/slicer">
              <sle:slicer xmlns:sle="http://schemas.microsoft.com/office/drawing/2010/slicer" name="Course_Type_Clean"/>
            </a:graphicData>
          </a:graphic>
        </xdr:graphicFrame>
      </mc:Choice>
      <mc:Fallback xmlns="">
        <xdr:sp macro="" textlink="">
          <xdr:nvSpPr>
            <xdr:cNvPr id="0" name=""/>
            <xdr:cNvSpPr>
              <a:spLocks noTextEdit="1"/>
            </xdr:cNvSpPr>
          </xdr:nvSpPr>
          <xdr:spPr>
            <a:xfrm>
              <a:off x="9930493" y="122056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908957</xdr:colOff>
      <xdr:row>6</xdr:row>
      <xdr:rowOff>50347</xdr:rowOff>
    </xdr:from>
    <xdr:to>
      <xdr:col>9</xdr:col>
      <xdr:colOff>1254577</xdr:colOff>
      <xdr:row>19</xdr:row>
      <xdr:rowOff>57150</xdr:rowOff>
    </xdr:to>
    <mc:AlternateContent xmlns:mc="http://schemas.openxmlformats.org/markup-compatibility/2006" xmlns:a14="http://schemas.microsoft.com/office/drawing/2010/main">
      <mc:Choice Requires="a14">
        <xdr:graphicFrame macro="">
          <xdr:nvGraphicFramePr>
            <xdr:cNvPr id="10" name="Learning_Mode_Clean">
              <a:extLst>
                <a:ext uri="{FF2B5EF4-FFF2-40B4-BE49-F238E27FC236}">
                  <a16:creationId xmlns:a16="http://schemas.microsoft.com/office/drawing/2014/main" id="{F44E3834-9B4D-68AF-CF33-0CB667B0D70D}"/>
                </a:ext>
              </a:extLst>
            </xdr:cNvPr>
            <xdr:cNvGraphicFramePr/>
          </xdr:nvGraphicFramePr>
          <xdr:xfrm>
            <a:off x="0" y="0"/>
            <a:ext cx="0" cy="0"/>
          </xdr:xfrm>
          <a:graphic>
            <a:graphicData uri="http://schemas.microsoft.com/office/drawing/2010/slicer">
              <sle:slicer xmlns:sle="http://schemas.microsoft.com/office/drawing/2010/slicer" name="Learning_Mode_Clean"/>
            </a:graphicData>
          </a:graphic>
        </xdr:graphicFrame>
      </mc:Choice>
      <mc:Fallback xmlns="">
        <xdr:sp macro="" textlink="">
          <xdr:nvSpPr>
            <xdr:cNvPr id="0" name=""/>
            <xdr:cNvSpPr>
              <a:spLocks noTextEdit="1"/>
            </xdr:cNvSpPr>
          </xdr:nvSpPr>
          <xdr:spPr>
            <a:xfrm>
              <a:off x="12094028" y="123416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92528</xdr:colOff>
      <xdr:row>5</xdr:row>
      <xdr:rowOff>91168</xdr:rowOff>
    </xdr:from>
    <xdr:to>
      <xdr:col>10</xdr:col>
      <xdr:colOff>1921328</xdr:colOff>
      <xdr:row>18</xdr:row>
      <xdr:rowOff>97971</xdr:rowOff>
    </xdr:to>
    <mc:AlternateContent xmlns:mc="http://schemas.openxmlformats.org/markup-compatibility/2006" xmlns:a14="http://schemas.microsoft.com/office/drawing/2010/main">
      <mc:Choice Requires="a14">
        <xdr:graphicFrame macro="">
          <xdr:nvGraphicFramePr>
            <xdr:cNvPr id="11" name="State_Clean">
              <a:extLst>
                <a:ext uri="{FF2B5EF4-FFF2-40B4-BE49-F238E27FC236}">
                  <a16:creationId xmlns:a16="http://schemas.microsoft.com/office/drawing/2014/main" id="{5A79A32D-738A-2225-9833-DD2581A24794}"/>
                </a:ext>
              </a:extLst>
            </xdr:cNvPr>
            <xdr:cNvGraphicFramePr/>
          </xdr:nvGraphicFramePr>
          <xdr:xfrm>
            <a:off x="0" y="0"/>
            <a:ext cx="0" cy="0"/>
          </xdr:xfrm>
          <a:graphic>
            <a:graphicData uri="http://schemas.microsoft.com/office/drawing/2010/slicer">
              <sle:slicer xmlns:sle="http://schemas.microsoft.com/office/drawing/2010/slicer" name="State_Clean"/>
            </a:graphicData>
          </a:graphic>
        </xdr:graphicFrame>
      </mc:Choice>
      <mc:Fallback xmlns="">
        <xdr:sp macro="" textlink="">
          <xdr:nvSpPr>
            <xdr:cNvPr id="0" name=""/>
            <xdr:cNvSpPr>
              <a:spLocks noTextEdit="1"/>
            </xdr:cNvSpPr>
          </xdr:nvSpPr>
          <xdr:spPr>
            <a:xfrm>
              <a:off x="14298385" y="108448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370095</xdr:colOff>
      <xdr:row>18</xdr:row>
      <xdr:rowOff>105600</xdr:rowOff>
    </xdr:from>
    <xdr:to>
      <xdr:col>28</xdr:col>
      <xdr:colOff>398318</xdr:colOff>
      <xdr:row>59</xdr:row>
      <xdr:rowOff>132300</xdr:rowOff>
    </xdr:to>
    <xdr:sp macro="" textlink="">
      <xdr:nvSpPr>
        <xdr:cNvPr id="4" name="Rectangle 3">
          <a:extLst>
            <a:ext uri="{FF2B5EF4-FFF2-40B4-BE49-F238E27FC236}">
              <a16:creationId xmlns:a16="http://schemas.microsoft.com/office/drawing/2014/main" id="{1495BAC3-815F-8CD0-267E-DEBB6641B0DE}"/>
            </a:ext>
          </a:extLst>
        </xdr:cNvPr>
        <xdr:cNvSpPr/>
      </xdr:nvSpPr>
      <xdr:spPr>
        <a:xfrm>
          <a:off x="982416" y="3534600"/>
          <a:ext cx="16560902" cy="7837200"/>
        </a:xfrm>
        <a:prstGeom prst="rect">
          <a:avLst/>
        </a:prstGeom>
        <a:solidFill>
          <a:schemeClr val="bg1"/>
        </a:solidFill>
        <a:ln>
          <a:solidFill>
            <a:srgbClr val="7C3284">
              <a:alpha val="46000"/>
            </a:srgb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474237</xdr:colOff>
      <xdr:row>19</xdr:row>
      <xdr:rowOff>35193</xdr:rowOff>
    </xdr:from>
    <xdr:to>
      <xdr:col>5</xdr:col>
      <xdr:colOff>257236</xdr:colOff>
      <xdr:row>58</xdr:row>
      <xdr:rowOff>129693</xdr:rowOff>
    </xdr:to>
    <xdr:sp macro="" textlink="">
      <xdr:nvSpPr>
        <xdr:cNvPr id="5" name="Rectangle: Top Corners Rounded 4">
          <a:extLst>
            <a:ext uri="{FF2B5EF4-FFF2-40B4-BE49-F238E27FC236}">
              <a16:creationId xmlns:a16="http://schemas.microsoft.com/office/drawing/2014/main" id="{88EC2C40-4649-4D8E-11CE-E8933B807CC7}"/>
            </a:ext>
          </a:extLst>
        </xdr:cNvPr>
        <xdr:cNvSpPr/>
      </xdr:nvSpPr>
      <xdr:spPr>
        <a:xfrm rot="5400000">
          <a:off x="-1559299" y="6300550"/>
          <a:ext cx="7524000" cy="2232285"/>
        </a:xfrm>
        <a:prstGeom prst="round2SameRect">
          <a:avLst>
            <a:gd name="adj1" fmla="val 15221"/>
            <a:gd name="adj2" fmla="val 0"/>
          </a:avLst>
        </a:prstGeom>
        <a:solidFill>
          <a:srgbClr val="7C3284"/>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599144</xdr:colOff>
      <xdr:row>19</xdr:row>
      <xdr:rowOff>42938</xdr:rowOff>
    </xdr:from>
    <xdr:to>
      <xdr:col>5</xdr:col>
      <xdr:colOff>526572</xdr:colOff>
      <xdr:row>23</xdr:row>
      <xdr:rowOff>93791</xdr:rowOff>
    </xdr:to>
    <xdr:sp macro="" textlink="">
      <xdr:nvSpPr>
        <xdr:cNvPr id="6" name="TextBox 5">
          <a:extLst>
            <a:ext uri="{FF2B5EF4-FFF2-40B4-BE49-F238E27FC236}">
              <a16:creationId xmlns:a16="http://schemas.microsoft.com/office/drawing/2014/main" id="{3309EAEE-C524-5645-28F8-601937F4A0F4}"/>
            </a:ext>
          </a:extLst>
        </xdr:cNvPr>
        <xdr:cNvSpPr txBox="1"/>
      </xdr:nvSpPr>
      <xdr:spPr>
        <a:xfrm>
          <a:off x="599144" y="3662438"/>
          <a:ext cx="2958110" cy="812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bg1"/>
              </a:solidFill>
              <a:latin typeface="Aptos Display" panose="020B0004020202020204" pitchFamily="34" charset="0"/>
              <a:ea typeface="ADLaM Display" panose="02010000000000000000" pitchFamily="2" charset="0"/>
              <a:cs typeface="ADLaM Display" panose="02010000000000000000" pitchFamily="2" charset="0"/>
            </a:rPr>
            <a:t>BYJU'S</a:t>
          </a:r>
        </a:p>
      </xdr:txBody>
    </xdr:sp>
    <xdr:clientData/>
  </xdr:twoCellAnchor>
  <xdr:twoCellAnchor>
    <xdr:from>
      <xdr:col>0</xdr:col>
      <xdr:colOff>578178</xdr:colOff>
      <xdr:row>22</xdr:row>
      <xdr:rowOff>13589</xdr:rowOff>
    </xdr:from>
    <xdr:to>
      <xdr:col>5</xdr:col>
      <xdr:colOff>603201</xdr:colOff>
      <xdr:row>23</xdr:row>
      <xdr:rowOff>130326</xdr:rowOff>
    </xdr:to>
    <xdr:sp macro="" textlink="">
      <xdr:nvSpPr>
        <xdr:cNvPr id="7" name="TextBox 6">
          <a:extLst>
            <a:ext uri="{FF2B5EF4-FFF2-40B4-BE49-F238E27FC236}">
              <a16:creationId xmlns:a16="http://schemas.microsoft.com/office/drawing/2014/main" id="{6D4E8AB6-7CD0-F68B-38D1-CFF058F9A90A}"/>
            </a:ext>
          </a:extLst>
        </xdr:cNvPr>
        <xdr:cNvSpPr txBox="1"/>
      </xdr:nvSpPr>
      <xdr:spPr>
        <a:xfrm>
          <a:off x="578178" y="4204589"/>
          <a:ext cx="3055705" cy="307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Aptos Display" panose="020B0004020202020204" pitchFamily="34" charset="0"/>
              <a:ea typeface="ADLaM Display" panose="02010000000000000000" pitchFamily="2" charset="0"/>
              <a:cs typeface="ADLaM Display" panose="02010000000000000000" pitchFamily="2" charset="0"/>
            </a:rPr>
            <a:t>The Learnig</a:t>
          </a:r>
          <a:r>
            <a:rPr lang="en-IN" sz="1400" b="1" baseline="0">
              <a:solidFill>
                <a:schemeClr val="bg1"/>
              </a:solidFill>
              <a:latin typeface="Aptos Display" panose="020B0004020202020204" pitchFamily="34" charset="0"/>
              <a:ea typeface="ADLaM Display" panose="02010000000000000000" pitchFamily="2" charset="0"/>
              <a:cs typeface="ADLaM Display" panose="02010000000000000000" pitchFamily="2" charset="0"/>
            </a:rPr>
            <a:t> App</a:t>
          </a:r>
          <a:endParaRPr lang="en-IN" sz="1400" b="1">
            <a:solidFill>
              <a:schemeClr val="bg1"/>
            </a:solidFill>
            <a:latin typeface="Aptos Display"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xdr:from>
      <xdr:col>5</xdr:col>
      <xdr:colOff>533985</xdr:colOff>
      <xdr:row>19</xdr:row>
      <xdr:rowOff>31207</xdr:rowOff>
    </xdr:from>
    <xdr:to>
      <xdr:col>10</xdr:col>
      <xdr:colOff>253736</xdr:colOff>
      <xdr:row>24</xdr:row>
      <xdr:rowOff>123229</xdr:rowOff>
    </xdr:to>
    <xdr:sp macro="" textlink="">
      <xdr:nvSpPr>
        <xdr:cNvPr id="8" name="Rectangle: Rounded Corners 7">
          <a:extLst>
            <a:ext uri="{FF2B5EF4-FFF2-40B4-BE49-F238E27FC236}">
              <a16:creationId xmlns:a16="http://schemas.microsoft.com/office/drawing/2014/main" id="{A512436D-F27E-28B2-8DBA-5FCA8E246BF6}"/>
            </a:ext>
          </a:extLst>
        </xdr:cNvPr>
        <xdr:cNvSpPr/>
      </xdr:nvSpPr>
      <xdr:spPr>
        <a:xfrm>
          <a:off x="3564667" y="3650707"/>
          <a:ext cx="2750433" cy="1044522"/>
        </a:xfrm>
        <a:prstGeom prst="roundRect">
          <a:avLst>
            <a:gd name="adj" fmla="val 19697"/>
          </a:avLst>
        </a:prstGeom>
        <a:gradFill flip="none" rotWithShape="1">
          <a:gsLst>
            <a:gs pos="36000">
              <a:srgbClr val="7C3284"/>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137174</xdr:colOff>
      <xdr:row>19</xdr:row>
      <xdr:rowOff>31207</xdr:rowOff>
    </xdr:from>
    <xdr:to>
      <xdr:col>15</xdr:col>
      <xdr:colOff>463060</xdr:colOff>
      <xdr:row>24</xdr:row>
      <xdr:rowOff>123229</xdr:rowOff>
    </xdr:to>
    <xdr:sp macro="" textlink="">
      <xdr:nvSpPr>
        <xdr:cNvPr id="9" name="Rectangle: Rounded Corners 8">
          <a:extLst>
            <a:ext uri="{FF2B5EF4-FFF2-40B4-BE49-F238E27FC236}">
              <a16:creationId xmlns:a16="http://schemas.microsoft.com/office/drawing/2014/main" id="{D1254F24-1B5D-6BB1-E642-1081AF8AF26D}"/>
            </a:ext>
          </a:extLst>
        </xdr:cNvPr>
        <xdr:cNvSpPr/>
      </xdr:nvSpPr>
      <xdr:spPr>
        <a:xfrm>
          <a:off x="6804674" y="3650707"/>
          <a:ext cx="2750431" cy="1044522"/>
        </a:xfrm>
        <a:prstGeom prst="roundRect">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533985</xdr:colOff>
      <xdr:row>25</xdr:row>
      <xdr:rowOff>77645</xdr:rowOff>
    </xdr:from>
    <xdr:to>
      <xdr:col>10</xdr:col>
      <xdr:colOff>253736</xdr:colOff>
      <xdr:row>30</xdr:row>
      <xdr:rowOff>172895</xdr:rowOff>
    </xdr:to>
    <xdr:sp macro="" textlink="">
      <xdr:nvSpPr>
        <xdr:cNvPr id="10" name="Rectangle: Rounded Corners 9">
          <a:extLst>
            <a:ext uri="{FF2B5EF4-FFF2-40B4-BE49-F238E27FC236}">
              <a16:creationId xmlns:a16="http://schemas.microsoft.com/office/drawing/2014/main" id="{64BBCA15-6D6C-C024-1B35-8C62F5C6C74C}"/>
            </a:ext>
          </a:extLst>
        </xdr:cNvPr>
        <xdr:cNvSpPr/>
      </xdr:nvSpPr>
      <xdr:spPr>
        <a:xfrm>
          <a:off x="3564667" y="4840145"/>
          <a:ext cx="2750433" cy="1047750"/>
        </a:xfrm>
        <a:prstGeom prst="roundRect">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11</xdr:col>
      <xdr:colOff>137174</xdr:colOff>
      <xdr:row>25</xdr:row>
      <xdr:rowOff>60326</xdr:rowOff>
    </xdr:from>
    <xdr:to>
      <xdr:col>15</xdr:col>
      <xdr:colOff>463060</xdr:colOff>
      <xdr:row>30</xdr:row>
      <xdr:rowOff>155576</xdr:rowOff>
    </xdr:to>
    <xdr:sp macro="" textlink="">
      <xdr:nvSpPr>
        <xdr:cNvPr id="11" name="Rectangle: Rounded Corners 10">
          <a:extLst>
            <a:ext uri="{FF2B5EF4-FFF2-40B4-BE49-F238E27FC236}">
              <a16:creationId xmlns:a16="http://schemas.microsoft.com/office/drawing/2014/main" id="{5D2CB46D-DA7C-FAA9-01BA-E0C8EA78262D}"/>
            </a:ext>
          </a:extLst>
        </xdr:cNvPr>
        <xdr:cNvSpPr/>
      </xdr:nvSpPr>
      <xdr:spPr>
        <a:xfrm>
          <a:off x="6804674" y="4822826"/>
          <a:ext cx="2750431" cy="1047750"/>
        </a:xfrm>
        <a:prstGeom prst="roundRect">
          <a:avLst/>
        </a:prstGeom>
        <a:solidFill>
          <a:srgbClr val="FAFAFA"/>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513047</xdr:colOff>
      <xdr:row>17</xdr:row>
      <xdr:rowOff>81644</xdr:rowOff>
    </xdr:from>
    <xdr:to>
      <xdr:col>8</xdr:col>
      <xdr:colOff>381000</xdr:colOff>
      <xdr:row>22</xdr:row>
      <xdr:rowOff>163286</xdr:rowOff>
    </xdr:to>
    <xdr:sp macro="" textlink="">
      <xdr:nvSpPr>
        <xdr:cNvPr id="12" name="TextBox 11">
          <a:extLst>
            <a:ext uri="{FF2B5EF4-FFF2-40B4-BE49-F238E27FC236}">
              <a16:creationId xmlns:a16="http://schemas.microsoft.com/office/drawing/2014/main" id="{F2C64EE8-9F84-61AF-82E6-A46C2EBF0FC6}"/>
            </a:ext>
          </a:extLst>
        </xdr:cNvPr>
        <xdr:cNvSpPr txBox="1"/>
      </xdr:nvSpPr>
      <xdr:spPr>
        <a:xfrm>
          <a:off x="4186976" y="3320144"/>
          <a:ext cx="1092595" cy="103414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bg1"/>
              </a:solidFill>
              <a:effectLst/>
              <a:latin typeface="+mn-lt"/>
              <a:ea typeface="+mn-ea"/>
              <a:cs typeface="+mn-cs"/>
            </a:rPr>
            <a:t>615</a:t>
          </a:r>
          <a:r>
            <a:rPr lang="en-IN" sz="5400" b="1">
              <a:solidFill>
                <a:schemeClr val="bg1"/>
              </a:solidFill>
              <a:effectLst/>
            </a:rPr>
            <a:t> </a:t>
          </a:r>
          <a:r>
            <a:rPr lang="en-IN" sz="5400" b="1">
              <a:solidFill>
                <a:schemeClr val="bg1"/>
              </a:solidFill>
              <a:effectLst/>
              <a:latin typeface="Segoe UI" panose="020B0502040204020203" pitchFamily="34" charset="0"/>
              <a:cs typeface="Segoe UI" panose="020B0502040204020203" pitchFamily="34" charset="0"/>
            </a:rPr>
            <a:t> </a:t>
          </a:r>
          <a:endParaRPr lang="en-IN" sz="54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6</xdr:col>
      <xdr:colOff>363680</xdr:colOff>
      <xdr:row>22</xdr:row>
      <xdr:rowOff>39585</xdr:rowOff>
    </xdr:from>
    <xdr:to>
      <xdr:col>9</xdr:col>
      <xdr:colOff>431716</xdr:colOff>
      <xdr:row>25</xdr:row>
      <xdr:rowOff>25978</xdr:rowOff>
    </xdr:to>
    <xdr:sp macro="" textlink="">
      <xdr:nvSpPr>
        <xdr:cNvPr id="13" name="TextBox 12">
          <a:extLst>
            <a:ext uri="{FF2B5EF4-FFF2-40B4-BE49-F238E27FC236}">
              <a16:creationId xmlns:a16="http://schemas.microsoft.com/office/drawing/2014/main" id="{EEBEF641-43A0-8CCF-BD7C-98BD3A0DAD46}"/>
            </a:ext>
          </a:extLst>
        </xdr:cNvPr>
        <xdr:cNvSpPr txBox="1"/>
      </xdr:nvSpPr>
      <xdr:spPr>
        <a:xfrm>
          <a:off x="4000498" y="4230585"/>
          <a:ext cx="1886445" cy="55789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egoe UI Black" panose="020B0A02040204020203" pitchFamily="34" charset="0"/>
              <a:ea typeface="Segoe UI Black" panose="020B0A02040204020203" pitchFamily="34" charset="0"/>
            </a:rPr>
            <a:t>Total Students</a:t>
          </a:r>
        </a:p>
      </xdr:txBody>
    </xdr:sp>
    <xdr:clientData/>
  </xdr:twoCellAnchor>
  <xdr:twoCellAnchor>
    <xdr:from>
      <xdr:col>9</xdr:col>
      <xdr:colOff>49480</xdr:colOff>
      <xdr:row>20</xdr:row>
      <xdr:rowOff>108858</xdr:rowOff>
    </xdr:from>
    <xdr:to>
      <xdr:col>10</xdr:col>
      <xdr:colOff>63086</xdr:colOff>
      <xdr:row>23</xdr:row>
      <xdr:rowOff>108858</xdr:rowOff>
    </xdr:to>
    <xdr:sp macro="" textlink="">
      <xdr:nvSpPr>
        <xdr:cNvPr id="14" name="TextBox 13">
          <a:extLst>
            <a:ext uri="{FF2B5EF4-FFF2-40B4-BE49-F238E27FC236}">
              <a16:creationId xmlns:a16="http://schemas.microsoft.com/office/drawing/2014/main" id="{20ECBE3B-F73F-D89A-CD0B-87973573E0C3}"/>
            </a:ext>
          </a:extLst>
        </xdr:cNvPr>
        <xdr:cNvSpPr txBox="1"/>
      </xdr:nvSpPr>
      <xdr:spPr>
        <a:xfrm>
          <a:off x="5504707" y="3918858"/>
          <a:ext cx="619743" cy="5715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t>👨‍🎓</a:t>
          </a:r>
        </a:p>
      </xdr:txBody>
    </xdr:sp>
    <xdr:clientData/>
  </xdr:twoCellAnchor>
  <xdr:twoCellAnchor>
    <xdr:from>
      <xdr:col>10</xdr:col>
      <xdr:colOff>306778</xdr:colOff>
      <xdr:row>22</xdr:row>
      <xdr:rowOff>80406</xdr:rowOff>
    </xdr:from>
    <xdr:to>
      <xdr:col>15</xdr:col>
      <xdr:colOff>238744</xdr:colOff>
      <xdr:row>24</xdr:row>
      <xdr:rowOff>80406</xdr:rowOff>
    </xdr:to>
    <xdr:sp macro="" textlink="">
      <xdr:nvSpPr>
        <xdr:cNvPr id="15" name="TextBox 14">
          <a:extLst>
            <a:ext uri="{FF2B5EF4-FFF2-40B4-BE49-F238E27FC236}">
              <a16:creationId xmlns:a16="http://schemas.microsoft.com/office/drawing/2014/main" id="{C0C4466F-44E5-6AC6-51F1-56EA3B969B11}"/>
            </a:ext>
          </a:extLst>
        </xdr:cNvPr>
        <xdr:cNvSpPr txBox="1"/>
      </xdr:nvSpPr>
      <xdr:spPr>
        <a:xfrm>
          <a:off x="6368142" y="4271406"/>
          <a:ext cx="2962647" cy="3810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a:latin typeface="Lato black" panose="020F0502020204030203" pitchFamily="34" charset="0"/>
              <a:ea typeface="Lato black" panose="020F0502020204030203" pitchFamily="34" charset="0"/>
              <a:cs typeface="Lato black" panose="020F0502020204030203" pitchFamily="34" charset="0"/>
            </a:rPr>
            <a:t>total Fees Collected</a:t>
          </a:r>
        </a:p>
      </xdr:txBody>
    </xdr:sp>
    <xdr:clientData/>
  </xdr:twoCellAnchor>
  <xdr:twoCellAnchor>
    <xdr:from>
      <xdr:col>14</xdr:col>
      <xdr:colOff>212768</xdr:colOff>
      <xdr:row>20</xdr:row>
      <xdr:rowOff>60614</xdr:rowOff>
    </xdr:from>
    <xdr:to>
      <xdr:col>15</xdr:col>
      <xdr:colOff>369868</xdr:colOff>
      <xdr:row>23</xdr:row>
      <xdr:rowOff>6185</xdr:rowOff>
    </xdr:to>
    <xdr:sp macro="" textlink="">
      <xdr:nvSpPr>
        <xdr:cNvPr id="16" name="TextBox 15">
          <a:extLst>
            <a:ext uri="{FF2B5EF4-FFF2-40B4-BE49-F238E27FC236}">
              <a16:creationId xmlns:a16="http://schemas.microsoft.com/office/drawing/2014/main" id="{6DBBDE93-8A7F-32AD-ECA1-BCECBB0D3052}"/>
            </a:ext>
          </a:extLst>
        </xdr:cNvPr>
        <xdr:cNvSpPr txBox="1"/>
      </xdr:nvSpPr>
      <xdr:spPr>
        <a:xfrm>
          <a:off x="8698677" y="3870614"/>
          <a:ext cx="763236" cy="51707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a:t>
          </a:r>
        </a:p>
      </xdr:txBody>
    </xdr:sp>
    <xdr:clientData/>
  </xdr:twoCellAnchor>
  <xdr:twoCellAnchor>
    <xdr:from>
      <xdr:col>11</xdr:col>
      <xdr:colOff>392134</xdr:colOff>
      <xdr:row>20</xdr:row>
      <xdr:rowOff>56904</xdr:rowOff>
    </xdr:from>
    <xdr:to>
      <xdr:col>14</xdr:col>
      <xdr:colOff>215240</xdr:colOff>
      <xdr:row>22</xdr:row>
      <xdr:rowOff>124939</xdr:rowOff>
    </xdr:to>
    <xdr:sp macro="" textlink="">
      <xdr:nvSpPr>
        <xdr:cNvPr id="17" name="TextBox 16">
          <a:extLst>
            <a:ext uri="{FF2B5EF4-FFF2-40B4-BE49-F238E27FC236}">
              <a16:creationId xmlns:a16="http://schemas.microsoft.com/office/drawing/2014/main" id="{DC3CD34D-DEF8-569A-77DC-50206D1EAAA6}"/>
            </a:ext>
          </a:extLst>
        </xdr:cNvPr>
        <xdr:cNvSpPr txBox="1"/>
      </xdr:nvSpPr>
      <xdr:spPr>
        <a:xfrm>
          <a:off x="7059634" y="3866904"/>
          <a:ext cx="1641515" cy="44903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dk1"/>
              </a:solidFill>
              <a:effectLst/>
              <a:latin typeface="+mn-lt"/>
              <a:ea typeface="+mn-ea"/>
              <a:cs typeface="+mn-cs"/>
            </a:rPr>
            <a:t>45599859.67</a:t>
          </a:r>
          <a:r>
            <a:rPr lang="en-IN" sz="1600" b="1">
              <a:effectLst/>
            </a:rPr>
            <a:t> </a:t>
          </a:r>
          <a:endParaRPr lang="en-IN" sz="1600" b="1">
            <a:effectLst/>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408214</xdr:colOff>
      <xdr:row>31</xdr:row>
      <xdr:rowOff>176893</xdr:rowOff>
    </xdr:from>
    <xdr:to>
      <xdr:col>16</xdr:col>
      <xdr:colOff>149678</xdr:colOff>
      <xdr:row>31</xdr:row>
      <xdr:rowOff>176893</xdr:rowOff>
    </xdr:to>
    <xdr:cxnSp macro="">
      <xdr:nvCxnSpPr>
        <xdr:cNvPr id="3" name="Straight Connector 2">
          <a:extLst>
            <a:ext uri="{FF2B5EF4-FFF2-40B4-BE49-F238E27FC236}">
              <a16:creationId xmlns:a16="http://schemas.microsoft.com/office/drawing/2014/main" id="{5946D744-003F-E10A-7F62-4BF1D03D170A}"/>
            </a:ext>
          </a:extLst>
        </xdr:cNvPr>
        <xdr:cNvCxnSpPr/>
      </xdr:nvCxnSpPr>
      <xdr:spPr>
        <a:xfrm>
          <a:off x="3469821" y="6082393"/>
          <a:ext cx="6477000" cy="0"/>
        </a:xfrm>
        <a:prstGeom prst="line">
          <a:avLst/>
        </a:prstGeom>
        <a:ln w="22225">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333689</xdr:colOff>
      <xdr:row>28</xdr:row>
      <xdr:rowOff>169633</xdr:rowOff>
    </xdr:from>
    <xdr:to>
      <xdr:col>9</xdr:col>
      <xdr:colOff>349833</xdr:colOff>
      <xdr:row>31</xdr:row>
      <xdr:rowOff>43709</xdr:rowOff>
    </xdr:to>
    <xdr:sp macro="" textlink="">
      <xdr:nvSpPr>
        <xdr:cNvPr id="18" name="TextBox 17">
          <a:extLst>
            <a:ext uri="{FF2B5EF4-FFF2-40B4-BE49-F238E27FC236}">
              <a16:creationId xmlns:a16="http://schemas.microsoft.com/office/drawing/2014/main" id="{DCFD5600-7F21-F161-2EF0-652060D5F845}"/>
            </a:ext>
          </a:extLst>
        </xdr:cNvPr>
        <xdr:cNvSpPr txBox="1"/>
      </xdr:nvSpPr>
      <xdr:spPr>
        <a:xfrm>
          <a:off x="4007618" y="5503633"/>
          <a:ext cx="1853108" cy="44557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Lato black" panose="020F0502020204030203" pitchFamily="34" charset="0"/>
              <a:ea typeface="Lato black" panose="020F0502020204030203" pitchFamily="34" charset="0"/>
              <a:cs typeface="Lato black" panose="020F0502020204030203" pitchFamily="34" charset="0"/>
            </a:rPr>
            <a:t>Fee</a:t>
          </a:r>
          <a:r>
            <a:rPr lang="en-IN" sz="1200" b="0" baseline="0">
              <a:latin typeface="Lato black" panose="020F0502020204030203" pitchFamily="34" charset="0"/>
              <a:ea typeface="Lato black" panose="020F0502020204030203" pitchFamily="34" charset="0"/>
              <a:cs typeface="Lato black" panose="020F0502020204030203" pitchFamily="34" charset="0"/>
            </a:rPr>
            <a:t> Outstanding</a:t>
          </a:r>
          <a:endParaRPr lang="en-IN" sz="1200" b="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356049</xdr:colOff>
      <xdr:row>26</xdr:row>
      <xdr:rowOff>10274</xdr:rowOff>
    </xdr:from>
    <xdr:to>
      <xdr:col>9</xdr:col>
      <xdr:colOff>210753</xdr:colOff>
      <xdr:row>28</xdr:row>
      <xdr:rowOff>122464</xdr:rowOff>
    </xdr:to>
    <xdr:sp macro="" textlink="">
      <xdr:nvSpPr>
        <xdr:cNvPr id="19" name="TextBox 18">
          <a:extLst>
            <a:ext uri="{FF2B5EF4-FFF2-40B4-BE49-F238E27FC236}">
              <a16:creationId xmlns:a16="http://schemas.microsoft.com/office/drawing/2014/main" id="{B8AD7E08-988E-A881-21B3-64B15305AB41}"/>
            </a:ext>
          </a:extLst>
        </xdr:cNvPr>
        <xdr:cNvSpPr txBox="1"/>
      </xdr:nvSpPr>
      <xdr:spPr>
        <a:xfrm>
          <a:off x="4029978" y="4963274"/>
          <a:ext cx="1691668" cy="493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18133088.83</a:t>
          </a:r>
          <a:r>
            <a:rPr lang="en-IN" sz="2800" b="1">
              <a:effectLst/>
            </a:rPr>
            <a:t> </a:t>
          </a:r>
          <a:r>
            <a:rPr lang="en-IN" sz="2800" b="1">
              <a:effectLst/>
              <a:latin typeface="Lato black" panose="020F0502020204030204" pitchFamily="34" charset="0"/>
              <a:ea typeface="Lato black" panose="020F0502020204030204" pitchFamily="34" charset="0"/>
              <a:cs typeface="Lato black" panose="020F0502020204030204" pitchFamily="34" charset="0"/>
            </a:rPr>
            <a:t>  </a:t>
          </a:r>
          <a:endParaRPr lang="en-IN" sz="2800" b="1">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twoCellAnchor>
    <xdr:from>
      <xdr:col>9</xdr:col>
      <xdr:colOff>74555</xdr:colOff>
      <xdr:row>26</xdr:row>
      <xdr:rowOff>16143</xdr:rowOff>
    </xdr:from>
    <xdr:to>
      <xdr:col>10</xdr:col>
      <xdr:colOff>122987</xdr:colOff>
      <xdr:row>29</xdr:row>
      <xdr:rowOff>113008</xdr:rowOff>
    </xdr:to>
    <xdr:sp macro="" textlink="">
      <xdr:nvSpPr>
        <xdr:cNvPr id="20" name="TextBox 19">
          <a:extLst>
            <a:ext uri="{FF2B5EF4-FFF2-40B4-BE49-F238E27FC236}">
              <a16:creationId xmlns:a16="http://schemas.microsoft.com/office/drawing/2014/main" id="{7CA1955D-9293-D4CD-9263-B4C48C7462EF}"/>
            </a:ext>
          </a:extLst>
        </xdr:cNvPr>
        <xdr:cNvSpPr txBox="1"/>
      </xdr:nvSpPr>
      <xdr:spPr>
        <a:xfrm>
          <a:off x="5529782" y="4969143"/>
          <a:ext cx="654569" cy="66836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t>🧾</a:t>
          </a:r>
        </a:p>
      </xdr:txBody>
    </xdr:sp>
    <xdr:clientData/>
  </xdr:twoCellAnchor>
  <xdr:twoCellAnchor>
    <xdr:from>
      <xdr:col>11</xdr:col>
      <xdr:colOff>533340</xdr:colOff>
      <xdr:row>28</xdr:row>
      <xdr:rowOff>129153</xdr:rowOff>
    </xdr:from>
    <xdr:to>
      <xdr:col>15</xdr:col>
      <xdr:colOff>484907</xdr:colOff>
      <xdr:row>30</xdr:row>
      <xdr:rowOff>80721</xdr:rowOff>
    </xdr:to>
    <xdr:sp macro="" textlink="">
      <xdr:nvSpPr>
        <xdr:cNvPr id="21" name="TextBox 20">
          <a:extLst>
            <a:ext uri="{FF2B5EF4-FFF2-40B4-BE49-F238E27FC236}">
              <a16:creationId xmlns:a16="http://schemas.microsoft.com/office/drawing/2014/main" id="{E571FDA1-CB30-3FF2-6F06-9ADFD33E31F9}"/>
            </a:ext>
          </a:extLst>
        </xdr:cNvPr>
        <xdr:cNvSpPr txBox="1"/>
      </xdr:nvSpPr>
      <xdr:spPr>
        <a:xfrm>
          <a:off x="7200840" y="5463153"/>
          <a:ext cx="2376112" cy="33256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Lato black" panose="020F0502020204030203" pitchFamily="34" charset="0"/>
              <a:ea typeface="Lato black" panose="020F0502020204030203" pitchFamily="34" charset="0"/>
              <a:cs typeface="Lato black" panose="020F0502020204030203" pitchFamily="34" charset="0"/>
            </a:rPr>
            <a:t>Total</a:t>
          </a:r>
          <a:r>
            <a:rPr lang="en-IN" sz="1100" b="1" baseline="0">
              <a:latin typeface="Lato black" panose="020F0502020204030203" pitchFamily="34" charset="0"/>
              <a:ea typeface="Lato black" panose="020F0502020204030203" pitchFamily="34" charset="0"/>
              <a:cs typeface="Lato black" panose="020F0502020204030203" pitchFamily="34" charset="0"/>
            </a:rPr>
            <a:t> Study Hours</a:t>
          </a:r>
          <a:endParaRPr lang="en-IN" sz="11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108440</xdr:colOff>
      <xdr:row>25</xdr:row>
      <xdr:rowOff>122463</xdr:rowOff>
    </xdr:from>
    <xdr:to>
      <xdr:col>14</xdr:col>
      <xdr:colOff>520847</xdr:colOff>
      <xdr:row>28</xdr:row>
      <xdr:rowOff>136070</xdr:rowOff>
    </xdr:to>
    <xdr:sp macro="" textlink="">
      <xdr:nvSpPr>
        <xdr:cNvPr id="22" name="TextBox 21">
          <a:extLst>
            <a:ext uri="{FF2B5EF4-FFF2-40B4-BE49-F238E27FC236}">
              <a16:creationId xmlns:a16="http://schemas.microsoft.com/office/drawing/2014/main" id="{A2D65142-B95F-F9E6-B767-7FAEF5E73D76}"/>
            </a:ext>
          </a:extLst>
        </xdr:cNvPr>
        <xdr:cNvSpPr txBox="1"/>
      </xdr:nvSpPr>
      <xdr:spPr>
        <a:xfrm>
          <a:off x="7456297" y="4884963"/>
          <a:ext cx="1637050" cy="58510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effectLst/>
              <a:latin typeface="Lato black" panose="020F0502020204030203" pitchFamily="34" charset="0"/>
              <a:ea typeface="Lato black" panose="020F0502020204030203" pitchFamily="34" charset="0"/>
              <a:cs typeface="Lato black" panose="020F0502020204030203" pitchFamily="34" charset="0"/>
            </a:rPr>
            <a:t> </a:t>
          </a:r>
          <a:r>
            <a:rPr lang="en-IN" sz="1600" b="1" i="0" u="none" strike="noStrike">
              <a:solidFill>
                <a:schemeClr val="dk1"/>
              </a:solidFill>
              <a:effectLst/>
              <a:latin typeface="+mn-lt"/>
              <a:ea typeface="+mn-ea"/>
              <a:cs typeface="+mn-cs"/>
            </a:rPr>
            <a:t>26100.9</a:t>
          </a:r>
          <a:r>
            <a:rPr lang="en-IN" sz="2800" b="1">
              <a:effectLst/>
            </a:rPr>
            <a:t> </a:t>
          </a:r>
          <a:endParaRPr lang="en-IN" sz="18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152930</xdr:colOff>
      <xdr:row>26</xdr:row>
      <xdr:rowOff>17318</xdr:rowOff>
    </xdr:from>
    <xdr:to>
      <xdr:col>15</xdr:col>
      <xdr:colOff>233650</xdr:colOff>
      <xdr:row>29</xdr:row>
      <xdr:rowOff>90994</xdr:rowOff>
    </xdr:to>
    <xdr:sp macro="" textlink="">
      <xdr:nvSpPr>
        <xdr:cNvPr id="23" name="TextBox 22">
          <a:extLst>
            <a:ext uri="{FF2B5EF4-FFF2-40B4-BE49-F238E27FC236}">
              <a16:creationId xmlns:a16="http://schemas.microsoft.com/office/drawing/2014/main" id="{BD683064-F39D-63A5-D512-F7F5EE765635}"/>
            </a:ext>
          </a:extLst>
        </xdr:cNvPr>
        <xdr:cNvSpPr txBox="1"/>
      </xdr:nvSpPr>
      <xdr:spPr>
        <a:xfrm>
          <a:off x="8638839" y="4970318"/>
          <a:ext cx="686856" cy="64517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t>📚 </a:t>
          </a:r>
        </a:p>
      </xdr:txBody>
    </xdr:sp>
    <xdr:clientData/>
  </xdr:twoCellAnchor>
  <xdr:twoCellAnchor>
    <xdr:from>
      <xdr:col>5</xdr:col>
      <xdr:colOff>355168</xdr:colOff>
      <xdr:row>32</xdr:row>
      <xdr:rowOff>138545</xdr:rowOff>
    </xdr:from>
    <xdr:to>
      <xdr:col>16</xdr:col>
      <xdr:colOff>207818</xdr:colOff>
      <xdr:row>59</xdr:row>
      <xdr:rowOff>16145</xdr:rowOff>
    </xdr:to>
    <xdr:sp macro="" textlink="">
      <xdr:nvSpPr>
        <xdr:cNvPr id="27" name="Rectangle: Rounded Corners 26">
          <a:extLst>
            <a:ext uri="{FF2B5EF4-FFF2-40B4-BE49-F238E27FC236}">
              <a16:creationId xmlns:a16="http://schemas.microsoft.com/office/drawing/2014/main" id="{2DAC3ED6-035E-4CCB-90B3-CE1A5DD20F3C}"/>
            </a:ext>
          </a:extLst>
        </xdr:cNvPr>
        <xdr:cNvSpPr/>
      </xdr:nvSpPr>
      <xdr:spPr>
        <a:xfrm>
          <a:off x="3385850" y="6234545"/>
          <a:ext cx="6520150" cy="5021100"/>
        </a:xfrm>
        <a:prstGeom prst="roundRect">
          <a:avLst>
            <a:gd name="adj" fmla="val 3786"/>
          </a:avLst>
        </a:prstGeom>
        <a:solidFill>
          <a:schemeClr val="bg1"/>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450273</xdr:colOff>
      <xdr:row>33</xdr:row>
      <xdr:rowOff>51955</xdr:rowOff>
    </xdr:from>
    <xdr:to>
      <xdr:col>10</xdr:col>
      <xdr:colOff>242161</xdr:colOff>
      <xdr:row>45</xdr:row>
      <xdr:rowOff>80720</xdr:rowOff>
    </xdr:to>
    <xdr:graphicFrame macro="">
      <xdr:nvGraphicFramePr>
        <xdr:cNvPr id="28" name="Chart 27">
          <a:extLst>
            <a:ext uri="{FF2B5EF4-FFF2-40B4-BE49-F238E27FC236}">
              <a16:creationId xmlns:a16="http://schemas.microsoft.com/office/drawing/2014/main" id="{5D18D2BE-762A-4A99-A164-9B5C1D6C6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465644</xdr:colOff>
      <xdr:row>46</xdr:row>
      <xdr:rowOff>17758</xdr:rowOff>
    </xdr:from>
    <xdr:to>
      <xdr:col>15</xdr:col>
      <xdr:colOff>204108</xdr:colOff>
      <xdr:row>46</xdr:row>
      <xdr:rowOff>25977</xdr:rowOff>
    </xdr:to>
    <xdr:cxnSp macro="">
      <xdr:nvCxnSpPr>
        <xdr:cNvPr id="2" name="Straight Connector 1">
          <a:extLst>
            <a:ext uri="{FF2B5EF4-FFF2-40B4-BE49-F238E27FC236}">
              <a16:creationId xmlns:a16="http://schemas.microsoft.com/office/drawing/2014/main" id="{DB8B3597-B1A4-0C9D-8673-133F57E932DD}"/>
            </a:ext>
          </a:extLst>
        </xdr:cNvPr>
        <xdr:cNvCxnSpPr/>
      </xdr:nvCxnSpPr>
      <xdr:spPr>
        <a:xfrm>
          <a:off x="3527251" y="8780758"/>
          <a:ext cx="5861678" cy="8219"/>
        </a:xfrm>
        <a:prstGeom prst="line">
          <a:avLst/>
        </a:prstGeom>
        <a:ln w="22225">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272143</xdr:colOff>
      <xdr:row>33</xdr:row>
      <xdr:rowOff>108857</xdr:rowOff>
    </xdr:from>
    <xdr:to>
      <xdr:col>10</xdr:col>
      <xdr:colOff>285750</xdr:colOff>
      <xdr:row>45</xdr:row>
      <xdr:rowOff>81643</xdr:rowOff>
    </xdr:to>
    <xdr:cxnSp macro="">
      <xdr:nvCxnSpPr>
        <xdr:cNvPr id="24" name="Straight Connector 23">
          <a:extLst>
            <a:ext uri="{FF2B5EF4-FFF2-40B4-BE49-F238E27FC236}">
              <a16:creationId xmlns:a16="http://schemas.microsoft.com/office/drawing/2014/main" id="{685364EB-DECC-8972-539C-AB3725D77573}"/>
            </a:ext>
          </a:extLst>
        </xdr:cNvPr>
        <xdr:cNvCxnSpPr/>
      </xdr:nvCxnSpPr>
      <xdr:spPr>
        <a:xfrm flipH="1" flipV="1">
          <a:off x="6395357" y="6395357"/>
          <a:ext cx="13607" cy="2258786"/>
        </a:xfrm>
        <a:prstGeom prst="line">
          <a:avLst/>
        </a:prstGeom>
        <a:ln w="22225">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467591</xdr:colOff>
      <xdr:row>46</xdr:row>
      <xdr:rowOff>123702</xdr:rowOff>
    </xdr:from>
    <xdr:to>
      <xdr:col>16</xdr:col>
      <xdr:colOff>11133</xdr:colOff>
      <xdr:row>58</xdr:row>
      <xdr:rowOff>123702</xdr:rowOff>
    </xdr:to>
    <xdr:graphicFrame macro="">
      <xdr:nvGraphicFramePr>
        <xdr:cNvPr id="34" name="Chart 33">
          <a:extLst>
            <a:ext uri="{FF2B5EF4-FFF2-40B4-BE49-F238E27FC236}">
              <a16:creationId xmlns:a16="http://schemas.microsoft.com/office/drawing/2014/main" id="{E0A1C6B3-3B2A-4CE8-AD4D-99F34D533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408215</xdr:colOff>
      <xdr:row>33</xdr:row>
      <xdr:rowOff>86591</xdr:rowOff>
    </xdr:from>
    <xdr:to>
      <xdr:col>16</xdr:col>
      <xdr:colOff>40822</xdr:colOff>
      <xdr:row>45</xdr:row>
      <xdr:rowOff>42059</xdr:rowOff>
    </xdr:to>
    <xdr:graphicFrame macro="">
      <xdr:nvGraphicFramePr>
        <xdr:cNvPr id="47" name="Chart 46">
          <a:extLst>
            <a:ext uri="{FF2B5EF4-FFF2-40B4-BE49-F238E27FC236}">
              <a16:creationId xmlns:a16="http://schemas.microsoft.com/office/drawing/2014/main" id="{B757E324-D280-4424-A0C4-2356682C4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294409</xdr:colOff>
      <xdr:row>19</xdr:row>
      <xdr:rowOff>34636</xdr:rowOff>
    </xdr:from>
    <xdr:to>
      <xdr:col>28</xdr:col>
      <xdr:colOff>277091</xdr:colOff>
      <xdr:row>59</xdr:row>
      <xdr:rowOff>69273</xdr:rowOff>
    </xdr:to>
    <xdr:sp macro="" textlink="">
      <xdr:nvSpPr>
        <xdr:cNvPr id="33" name="Rectangle: Rounded Corners 32">
          <a:extLst>
            <a:ext uri="{FF2B5EF4-FFF2-40B4-BE49-F238E27FC236}">
              <a16:creationId xmlns:a16="http://schemas.microsoft.com/office/drawing/2014/main" id="{92B1844E-1395-34B0-23CF-51E23CCAB2C5}"/>
            </a:ext>
          </a:extLst>
        </xdr:cNvPr>
        <xdr:cNvSpPr/>
      </xdr:nvSpPr>
      <xdr:spPr>
        <a:xfrm>
          <a:off x="9992591" y="3654136"/>
          <a:ext cx="7256318" cy="7654637"/>
        </a:xfrm>
        <a:prstGeom prst="roundRect">
          <a:avLst>
            <a:gd name="adj" fmla="val 4158"/>
          </a:avLst>
        </a:prstGeom>
        <a:solidFill>
          <a:schemeClr val="accent1">
            <a:alpha val="0"/>
          </a:schemeClr>
        </a:solidFill>
        <a:ln>
          <a:solidFill>
            <a:schemeClr val="bg1">
              <a:lumMod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519544</xdr:colOff>
      <xdr:row>20</xdr:row>
      <xdr:rowOff>61850</xdr:rowOff>
    </xdr:from>
    <xdr:to>
      <xdr:col>28</xdr:col>
      <xdr:colOff>173181</xdr:colOff>
      <xdr:row>33</xdr:row>
      <xdr:rowOff>125989</xdr:rowOff>
    </xdr:to>
    <xdr:graphicFrame macro="">
      <xdr:nvGraphicFramePr>
        <xdr:cNvPr id="36" name="Chart 35">
          <a:extLst>
            <a:ext uri="{FF2B5EF4-FFF2-40B4-BE49-F238E27FC236}">
              <a16:creationId xmlns:a16="http://schemas.microsoft.com/office/drawing/2014/main" id="{7D35781F-CDA5-47BC-862F-D69E109B0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430789</xdr:colOff>
      <xdr:row>33</xdr:row>
      <xdr:rowOff>138545</xdr:rowOff>
    </xdr:from>
    <xdr:to>
      <xdr:col>21</xdr:col>
      <xdr:colOff>277091</xdr:colOff>
      <xdr:row>45</xdr:row>
      <xdr:rowOff>123700</xdr:rowOff>
    </xdr:to>
    <xdr:graphicFrame macro="">
      <xdr:nvGraphicFramePr>
        <xdr:cNvPr id="37" name="Chart 36">
          <a:extLst>
            <a:ext uri="{FF2B5EF4-FFF2-40B4-BE49-F238E27FC236}">
              <a16:creationId xmlns:a16="http://schemas.microsoft.com/office/drawing/2014/main" id="{9AFB20B8-FF61-40DF-A018-9B7C0BB72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502227</xdr:colOff>
      <xdr:row>33</xdr:row>
      <xdr:rowOff>121227</xdr:rowOff>
    </xdr:from>
    <xdr:to>
      <xdr:col>27</xdr:col>
      <xdr:colOff>519545</xdr:colOff>
      <xdr:row>33</xdr:row>
      <xdr:rowOff>173182</xdr:rowOff>
    </xdr:to>
    <xdr:cxnSp macro="">
      <xdr:nvCxnSpPr>
        <xdr:cNvPr id="39" name="Straight Connector 38">
          <a:extLst>
            <a:ext uri="{FF2B5EF4-FFF2-40B4-BE49-F238E27FC236}">
              <a16:creationId xmlns:a16="http://schemas.microsoft.com/office/drawing/2014/main" id="{006EF004-BDEA-C8CC-99B2-314C453E956C}"/>
            </a:ext>
          </a:extLst>
        </xdr:cNvPr>
        <xdr:cNvCxnSpPr/>
      </xdr:nvCxnSpPr>
      <xdr:spPr>
        <a:xfrm>
          <a:off x="10200409" y="6407727"/>
          <a:ext cx="6684818" cy="51955"/>
        </a:xfrm>
        <a:prstGeom prst="line">
          <a:avLst/>
        </a:prstGeom>
        <a:ln w="22225">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432954</xdr:colOff>
      <xdr:row>34</xdr:row>
      <xdr:rowOff>69273</xdr:rowOff>
    </xdr:from>
    <xdr:to>
      <xdr:col>21</xdr:col>
      <xdr:colOff>450272</xdr:colOff>
      <xdr:row>44</xdr:row>
      <xdr:rowOff>138545</xdr:rowOff>
    </xdr:to>
    <xdr:cxnSp macro="">
      <xdr:nvCxnSpPr>
        <xdr:cNvPr id="45" name="Straight Connector 44">
          <a:extLst>
            <a:ext uri="{FF2B5EF4-FFF2-40B4-BE49-F238E27FC236}">
              <a16:creationId xmlns:a16="http://schemas.microsoft.com/office/drawing/2014/main" id="{341640DC-FDD4-3514-175B-F1BA1522ED93}"/>
            </a:ext>
          </a:extLst>
        </xdr:cNvPr>
        <xdr:cNvCxnSpPr/>
      </xdr:nvCxnSpPr>
      <xdr:spPr>
        <a:xfrm flipV="1">
          <a:off x="13161818" y="6546273"/>
          <a:ext cx="17318" cy="1974272"/>
        </a:xfrm>
        <a:prstGeom prst="line">
          <a:avLst/>
        </a:prstGeom>
        <a:ln w="22225">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536553</xdr:colOff>
      <xdr:row>34</xdr:row>
      <xdr:rowOff>51955</xdr:rowOff>
    </xdr:from>
    <xdr:to>
      <xdr:col>28</xdr:col>
      <xdr:colOff>155865</xdr:colOff>
      <xdr:row>45</xdr:row>
      <xdr:rowOff>0</xdr:rowOff>
    </xdr:to>
    <xdr:graphicFrame macro="">
      <xdr:nvGraphicFramePr>
        <xdr:cNvPr id="56" name="Chart 55">
          <a:extLst>
            <a:ext uri="{FF2B5EF4-FFF2-40B4-BE49-F238E27FC236}">
              <a16:creationId xmlns:a16="http://schemas.microsoft.com/office/drawing/2014/main" id="{9E1B3DDD-63D4-4462-B505-8C3EBC600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560416</xdr:colOff>
      <xdr:row>40</xdr:row>
      <xdr:rowOff>40872</xdr:rowOff>
    </xdr:from>
    <xdr:to>
      <xdr:col>32</xdr:col>
      <xdr:colOff>606135</xdr:colOff>
      <xdr:row>40</xdr:row>
      <xdr:rowOff>86591</xdr:rowOff>
    </xdr:to>
    <xdr:sp macro="" textlink="">
      <xdr:nvSpPr>
        <xdr:cNvPr id="3073" name="Text Box 1">
          <a:extLst>
            <a:ext uri="{FF2B5EF4-FFF2-40B4-BE49-F238E27FC236}">
              <a16:creationId xmlns:a16="http://schemas.microsoft.com/office/drawing/2014/main" id="{6153E927-49C4-8D6D-1FEF-771859EBD031}"/>
            </a:ext>
          </a:extLst>
        </xdr:cNvPr>
        <xdr:cNvSpPr txBox="1">
          <a:spLocks noChangeArrowheads="1"/>
        </xdr:cNvSpPr>
      </xdr:nvSpPr>
      <xdr:spPr bwMode="auto">
        <a:xfrm flipH="1">
          <a:off x="19956780" y="7660872"/>
          <a:ext cx="45719" cy="45719"/>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16</xdr:col>
      <xdr:colOff>519545</xdr:colOff>
      <xdr:row>46</xdr:row>
      <xdr:rowOff>103909</xdr:rowOff>
    </xdr:from>
    <xdr:to>
      <xdr:col>28</xdr:col>
      <xdr:colOff>51955</xdr:colOff>
      <xdr:row>58</xdr:row>
      <xdr:rowOff>155864</xdr:rowOff>
    </xdr:to>
    <xdr:graphicFrame macro="">
      <xdr:nvGraphicFramePr>
        <xdr:cNvPr id="57" name="Chart 56">
          <a:extLst>
            <a:ext uri="{FF2B5EF4-FFF2-40B4-BE49-F238E27FC236}">
              <a16:creationId xmlns:a16="http://schemas.microsoft.com/office/drawing/2014/main" id="{6C4777D0-ADFB-46E6-B961-3CC9E1871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450273</xdr:colOff>
      <xdr:row>45</xdr:row>
      <xdr:rowOff>138545</xdr:rowOff>
    </xdr:from>
    <xdr:to>
      <xdr:col>28</xdr:col>
      <xdr:colOff>207818</xdr:colOff>
      <xdr:row>45</xdr:row>
      <xdr:rowOff>155864</xdr:rowOff>
    </xdr:to>
    <xdr:cxnSp macro="">
      <xdr:nvCxnSpPr>
        <xdr:cNvPr id="25" name="Straight Connector 24">
          <a:extLst>
            <a:ext uri="{FF2B5EF4-FFF2-40B4-BE49-F238E27FC236}">
              <a16:creationId xmlns:a16="http://schemas.microsoft.com/office/drawing/2014/main" id="{4BFD6170-6EDC-F4B7-1BF2-A221D5286E5B}"/>
            </a:ext>
          </a:extLst>
        </xdr:cNvPr>
        <xdr:cNvCxnSpPr/>
      </xdr:nvCxnSpPr>
      <xdr:spPr>
        <a:xfrm>
          <a:off x="10148455" y="8711045"/>
          <a:ext cx="7031181" cy="17319"/>
        </a:xfrm>
        <a:prstGeom prst="line">
          <a:avLst/>
        </a:prstGeom>
        <a:ln w="22225">
          <a:solidFill>
            <a:srgbClr val="7030A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86590</xdr:colOff>
      <xdr:row>24</xdr:row>
      <xdr:rowOff>66799</xdr:rowOff>
    </xdr:from>
    <xdr:to>
      <xdr:col>4</xdr:col>
      <xdr:colOff>583870</xdr:colOff>
      <xdr:row>26</xdr:row>
      <xdr:rowOff>134835</xdr:rowOff>
    </xdr:to>
    <xdr:sp macro="" textlink="">
      <xdr:nvSpPr>
        <xdr:cNvPr id="48" name="TextBox 47">
          <a:extLst>
            <a:ext uri="{FF2B5EF4-FFF2-40B4-BE49-F238E27FC236}">
              <a16:creationId xmlns:a16="http://schemas.microsoft.com/office/drawing/2014/main" id="{3B621D6D-AE30-E303-8580-61D8E44FB0D8}"/>
            </a:ext>
          </a:extLst>
        </xdr:cNvPr>
        <xdr:cNvSpPr txBox="1"/>
      </xdr:nvSpPr>
      <xdr:spPr>
        <a:xfrm>
          <a:off x="1298863" y="4638799"/>
          <a:ext cx="1709552" cy="44903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Segoe UI Black" panose="020B0A02040204020203" pitchFamily="34" charset="0"/>
              <a:ea typeface="Segoe UI Black" panose="020B0A02040204020203" pitchFamily="34" charset="0"/>
              <a:cs typeface="Lato Black" panose="020F0502020204030203" pitchFamily="34" charset="0"/>
            </a:rPr>
            <a:t>☷ </a:t>
          </a:r>
          <a:r>
            <a:rPr lang="en-IN" sz="1200" b="1">
              <a:solidFill>
                <a:schemeClr val="bg1"/>
              </a:solidFill>
              <a:latin typeface="Segoe UI Black" panose="020B0A02040204020203" pitchFamily="34" charset="0"/>
              <a:ea typeface="Segoe UI Black" panose="020B0A02040204020203" pitchFamily="34" charset="0"/>
              <a:cs typeface="Lato Black" panose="020F0502020204030203" pitchFamily="34" charset="0"/>
            </a:rPr>
            <a:t> FILTER PANEL</a:t>
          </a:r>
        </a:p>
      </xdr:txBody>
    </xdr:sp>
    <xdr:clientData/>
  </xdr:twoCellAnchor>
  <xdr:twoCellAnchor editAs="oneCell">
    <xdr:from>
      <xdr:col>2</xdr:col>
      <xdr:colOff>51954</xdr:colOff>
      <xdr:row>26</xdr:row>
      <xdr:rowOff>103909</xdr:rowOff>
    </xdr:from>
    <xdr:to>
      <xdr:col>5</xdr:col>
      <xdr:colOff>62345</xdr:colOff>
      <xdr:row>33</xdr:row>
      <xdr:rowOff>0</xdr:rowOff>
    </xdr:to>
    <mc:AlternateContent xmlns:mc="http://schemas.openxmlformats.org/markup-compatibility/2006" xmlns:a14="http://schemas.microsoft.com/office/drawing/2010/main">
      <mc:Choice Requires="a14">
        <xdr:graphicFrame macro="">
          <xdr:nvGraphicFramePr>
            <xdr:cNvPr id="49" name="Course type">
              <a:extLst>
                <a:ext uri="{FF2B5EF4-FFF2-40B4-BE49-F238E27FC236}">
                  <a16:creationId xmlns:a16="http://schemas.microsoft.com/office/drawing/2014/main" id="{A7179BC4-FBFB-4704-847B-3104A953BD5C}"/>
                </a:ext>
              </a:extLst>
            </xdr:cNvPr>
            <xdr:cNvGraphicFramePr/>
          </xdr:nvGraphicFramePr>
          <xdr:xfrm>
            <a:off x="0" y="0"/>
            <a:ext cx="0" cy="0"/>
          </xdr:xfrm>
          <a:graphic>
            <a:graphicData uri="http://schemas.microsoft.com/office/drawing/2010/slicer">
              <sle:slicer xmlns:sle="http://schemas.microsoft.com/office/drawing/2010/slicer" name="Course type"/>
            </a:graphicData>
          </a:graphic>
        </xdr:graphicFrame>
      </mc:Choice>
      <mc:Fallback xmlns="">
        <xdr:sp macro="" textlink="">
          <xdr:nvSpPr>
            <xdr:cNvPr id="0" name=""/>
            <xdr:cNvSpPr>
              <a:spLocks noTextEdit="1"/>
            </xdr:cNvSpPr>
          </xdr:nvSpPr>
          <xdr:spPr>
            <a:xfrm>
              <a:off x="1276597" y="5056909"/>
              <a:ext cx="1847355" cy="1229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17318</xdr:colOff>
      <xdr:row>33</xdr:row>
      <xdr:rowOff>155864</xdr:rowOff>
    </xdr:from>
    <xdr:to>
      <xdr:col>5</xdr:col>
      <xdr:colOff>27709</xdr:colOff>
      <xdr:row>40</xdr:row>
      <xdr:rowOff>34637</xdr:rowOff>
    </xdr:to>
    <mc:AlternateContent xmlns:mc="http://schemas.openxmlformats.org/markup-compatibility/2006" xmlns:a14="http://schemas.microsoft.com/office/drawing/2010/main">
      <mc:Choice Requires="a14">
        <xdr:graphicFrame macro="">
          <xdr:nvGraphicFramePr>
            <xdr:cNvPr id="50" name="Learning_Mode_Clean 1">
              <a:extLst>
                <a:ext uri="{FF2B5EF4-FFF2-40B4-BE49-F238E27FC236}">
                  <a16:creationId xmlns:a16="http://schemas.microsoft.com/office/drawing/2014/main" id="{A5E14CB3-74BD-4F87-87A4-571397D23E96}"/>
                </a:ext>
              </a:extLst>
            </xdr:cNvPr>
            <xdr:cNvGraphicFramePr/>
          </xdr:nvGraphicFramePr>
          <xdr:xfrm>
            <a:off x="0" y="0"/>
            <a:ext cx="0" cy="0"/>
          </xdr:xfrm>
          <a:graphic>
            <a:graphicData uri="http://schemas.microsoft.com/office/drawing/2010/slicer">
              <sle:slicer xmlns:sle="http://schemas.microsoft.com/office/drawing/2010/slicer" name="Learning_Mode_Clean 1"/>
            </a:graphicData>
          </a:graphic>
        </xdr:graphicFrame>
      </mc:Choice>
      <mc:Fallback xmlns="">
        <xdr:sp macro="" textlink="">
          <xdr:nvSpPr>
            <xdr:cNvPr id="0" name=""/>
            <xdr:cNvSpPr>
              <a:spLocks noTextEdit="1"/>
            </xdr:cNvSpPr>
          </xdr:nvSpPr>
          <xdr:spPr>
            <a:xfrm>
              <a:off x="1241961" y="6442364"/>
              <a:ext cx="1847355" cy="1212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51954</xdr:colOff>
      <xdr:row>41</xdr:row>
      <xdr:rowOff>69271</xdr:rowOff>
    </xdr:from>
    <xdr:to>
      <xdr:col>5</xdr:col>
      <xdr:colOff>62345</xdr:colOff>
      <xdr:row>51</xdr:row>
      <xdr:rowOff>17318</xdr:rowOff>
    </xdr:to>
    <mc:AlternateContent xmlns:mc="http://schemas.openxmlformats.org/markup-compatibility/2006" xmlns:a14="http://schemas.microsoft.com/office/drawing/2010/main">
      <mc:Choice Requires="a14">
        <xdr:graphicFrame macro="">
          <xdr:nvGraphicFramePr>
            <xdr:cNvPr id="51" name="State_Clean 1">
              <a:extLst>
                <a:ext uri="{FF2B5EF4-FFF2-40B4-BE49-F238E27FC236}">
                  <a16:creationId xmlns:a16="http://schemas.microsoft.com/office/drawing/2014/main" id="{824E989E-D501-4351-B7FD-00A3E51DFAF1}"/>
                </a:ext>
              </a:extLst>
            </xdr:cNvPr>
            <xdr:cNvGraphicFramePr/>
          </xdr:nvGraphicFramePr>
          <xdr:xfrm>
            <a:off x="0" y="0"/>
            <a:ext cx="0" cy="0"/>
          </xdr:xfrm>
          <a:graphic>
            <a:graphicData uri="http://schemas.microsoft.com/office/drawing/2010/slicer">
              <sle:slicer xmlns:sle="http://schemas.microsoft.com/office/drawing/2010/slicer" name="State_Clean 1"/>
            </a:graphicData>
          </a:graphic>
        </xdr:graphicFrame>
      </mc:Choice>
      <mc:Fallback xmlns="">
        <xdr:sp macro="" textlink="">
          <xdr:nvSpPr>
            <xdr:cNvPr id="0" name=""/>
            <xdr:cNvSpPr>
              <a:spLocks noTextEdit="1"/>
            </xdr:cNvSpPr>
          </xdr:nvSpPr>
          <xdr:spPr>
            <a:xfrm>
              <a:off x="1276597" y="7879771"/>
              <a:ext cx="1847355" cy="1853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564078</xdr:colOff>
      <xdr:row>53</xdr:row>
      <xdr:rowOff>48244</xdr:rowOff>
    </xdr:from>
    <xdr:to>
      <xdr:col>3</xdr:col>
      <xdr:colOff>38347</xdr:colOff>
      <xdr:row>56</xdr:row>
      <xdr:rowOff>117516</xdr:rowOff>
    </xdr:to>
    <xdr:sp macro="" textlink="">
      <xdr:nvSpPr>
        <xdr:cNvPr id="52" name="TextBox 51">
          <a:hlinkClick xmlns:r="http://schemas.openxmlformats.org/officeDocument/2006/relationships" r:id="rId8"/>
          <a:extLst>
            <a:ext uri="{FF2B5EF4-FFF2-40B4-BE49-F238E27FC236}">
              <a16:creationId xmlns:a16="http://schemas.microsoft.com/office/drawing/2014/main" id="{924B6CE3-3532-14C0-70AA-FB49217EE6CA}"/>
            </a:ext>
          </a:extLst>
        </xdr:cNvPr>
        <xdr:cNvSpPr txBox="1"/>
      </xdr:nvSpPr>
      <xdr:spPr>
        <a:xfrm>
          <a:off x="1176399" y="10144744"/>
          <a:ext cx="698912" cy="64077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a:t>
          </a:r>
        </a:p>
      </xdr:txBody>
    </xdr:sp>
    <xdr:clientData/>
  </xdr:twoCellAnchor>
  <xdr:twoCellAnchor>
    <xdr:from>
      <xdr:col>2</xdr:col>
      <xdr:colOff>518308</xdr:colOff>
      <xdr:row>53</xdr:row>
      <xdr:rowOff>6186</xdr:rowOff>
    </xdr:from>
    <xdr:to>
      <xdr:col>4</xdr:col>
      <xdr:colOff>96487</xdr:colOff>
      <xdr:row>56</xdr:row>
      <xdr:rowOff>144731</xdr:rowOff>
    </xdr:to>
    <xdr:sp macro="" textlink="">
      <xdr:nvSpPr>
        <xdr:cNvPr id="53" name="TextBox 52">
          <a:hlinkClick xmlns:r="http://schemas.openxmlformats.org/officeDocument/2006/relationships" r:id="rId9"/>
          <a:extLst>
            <a:ext uri="{FF2B5EF4-FFF2-40B4-BE49-F238E27FC236}">
              <a16:creationId xmlns:a16="http://schemas.microsoft.com/office/drawing/2014/main" id="{20DD82B1-2A86-5E0C-0E5D-09DE0A9FD44E}"/>
            </a:ext>
          </a:extLst>
        </xdr:cNvPr>
        <xdr:cNvSpPr txBox="1"/>
      </xdr:nvSpPr>
      <xdr:spPr>
        <a:xfrm>
          <a:off x="1742951" y="10102686"/>
          <a:ext cx="802822" cy="71004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t>🛢️</a:t>
          </a:r>
        </a:p>
      </xdr:txBody>
    </xdr:sp>
    <xdr:clientData/>
  </xdr:twoCellAnchor>
  <xdr:twoCellAnchor>
    <xdr:from>
      <xdr:col>4</xdr:col>
      <xdr:colOff>1</xdr:colOff>
      <xdr:row>53</xdr:row>
      <xdr:rowOff>68036</xdr:rowOff>
    </xdr:from>
    <xdr:to>
      <xdr:col>5</xdr:col>
      <xdr:colOff>13608</xdr:colOff>
      <xdr:row>56</xdr:row>
      <xdr:rowOff>81643</xdr:rowOff>
    </xdr:to>
    <xdr:sp macro="" textlink="">
      <xdr:nvSpPr>
        <xdr:cNvPr id="26" name="TextBox 25">
          <a:hlinkClick xmlns:r="http://schemas.openxmlformats.org/officeDocument/2006/relationships" r:id="rId10"/>
          <a:extLst>
            <a:ext uri="{FF2B5EF4-FFF2-40B4-BE49-F238E27FC236}">
              <a16:creationId xmlns:a16="http://schemas.microsoft.com/office/drawing/2014/main" id="{3021A601-3115-B928-02CB-D7286E1134F6}"/>
            </a:ext>
          </a:extLst>
        </xdr:cNvPr>
        <xdr:cNvSpPr txBox="1"/>
      </xdr:nvSpPr>
      <xdr:spPr>
        <a:xfrm>
          <a:off x="2449287" y="10164536"/>
          <a:ext cx="625928" cy="58510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1.439691666666" backgroundQuery="1" createdVersion="8" refreshedVersion="8" minRefreshableVersion="3" recordCount="0" supportSubquery="1" supportAdvancedDrill="1" xr:uid="{497E4EDD-AC1E-4785-9525-1B007F680D30}">
  <cacheSource type="external" connectionId="1"/>
  <cacheFields count="6">
    <cacheField name="[Range].[Learning_Mode_Clean].[Learning_Mode_Clean]" caption="Learning_Mode_Clean" numFmtId="0" hierarchy="14" level="1">
      <sharedItems count="3">
        <s v="App Only"/>
        <s v="Both App &amp; Web"/>
        <s v="Web Only"/>
      </sharedItems>
    </cacheField>
    <cacheField name="[Measures].[Count of Student_ID]" caption="Count of Student_ID" numFmtId="0" hierarchy="31" level="32767"/>
    <cacheField name="[Measures].[Sum of Fee_Paid_Clean]" caption="Sum of Fee_Paid_Clean" numFmtId="0" hierarchy="32" level="32767"/>
    <cacheField name="[Measures].[Sum of Fee_Outstanding]" caption="Sum of Fee_Outstanding" numFmtId="0" hierarchy="33" level="32767"/>
    <cacheField name="[Measures].[Sum of Avg_Monthly_Study_Hours]" caption="Sum of Avg_Monthly_Study_Hours" numFmtId="0" hierarchy="37" level="32767"/>
    <cacheField name="[Range].[State_Clean].[State_Clean]" caption="State_Clean" numFmtId="0" hierarchy="6" level="1">
      <sharedItems containsSemiMixedTypes="0" containsNonDate="0" containsString="0"/>
    </cacheField>
  </cacheFields>
  <cacheHierarchies count="39">
    <cacheHierarchy uniqueName="[Range].[Student_ID]" caption="Student_ID" attribute="1" defaultMemberUniqueName="[Range].[Student_ID].[All]" allUniqueName="[Range].[Student_ID].[All]" dimensionUniqueName="[Range]" displayFolder="" count="2" memberValueDatatype="130" unbalanced="0"/>
    <cacheHierarchy uniqueName="[Range].[Name]" caption="Name" attribute="1" defaultMemberUniqueName="[Range].[Name].[All]" allUniqueName="[Range].[Name].[All]" dimensionUniqueName="[Range]" displayFolder="" count="2" memberValueDatatype="130" unbalanced="0"/>
    <cacheHierarchy uniqueName="[Range].[Age_Clean]" caption="Age_Clean" attribute="1" defaultMemberUniqueName="[Range].[Age_Clean].[All]" allUniqueName="[Range].[Age_Clean].[All]" dimensionUniqueName="[Range]" displayFolder="" count="2" memberValueDatatype="20" unbalanced="0"/>
    <cacheHierarchy uniqueName="[Range].[Age_Flag]" caption="Age_Flag" attribute="1" defaultMemberUniqueName="[Range].[Age_Flag].[All]" allUniqueName="[Range].[Age_Flag].[All]" dimensionUniqueName="[Range]" displayFolder="" count="2" memberValueDatatype="130" unbalanced="0"/>
    <cacheHierarchy uniqueName="[Range].[Gender_Clean]" caption="Gender_Clean" attribute="1" defaultMemberUniqueName="[Range].[Gender_Clean].[All]" allUniqueName="[Range].[Gender_Clean].[All]" dimensionUniqueName="[Range]" displayFolder="" count="2" memberValueDatatype="130" unbalanced="0"/>
    <cacheHierarchy uniqueName="[Range].[City_Clean]" caption="City_Clean" attribute="1" defaultMemberUniqueName="[Range].[City_Clean].[All]" allUniqueName="[Range].[City_Clean].[All]" dimensionUniqueName="[Range]" displayFolder="" count="2" memberValueDatatype="130" unbalanced="0"/>
    <cacheHierarchy uniqueName="[Range].[State_Clean]" caption="State_Clean" attribute="1" defaultMemberUniqueName="[Range].[State_Clean].[All]" allUniqueName="[Range].[State_Clean].[All]" dimensionUniqueName="[Range]" displayFolder="" count="2" memberValueDatatype="130" unbalanced="0">
      <fieldsUsage count="2">
        <fieldUsage x="-1"/>
        <fieldUsage x="5"/>
      </fieldsUsage>
    </cacheHierarchy>
    <cacheHierarchy uniqueName="[Range].[Course_Type_Clean]" caption="Course_Type_Clean" attribute="1" defaultMemberUniqueName="[Range].[Course_Type_Clean].[All]" allUniqueName="[Range].[Course_Type_Clean].[All]" dimensionUniqueName="[Range]" displayFolder="" count="2" memberValueDatatype="130" unbalanced="0"/>
    <cacheHierarchy uniqueName="[Range].[Learning_Center_Clean]" caption="Learning_Center_Clean" attribute="1" defaultMemberUniqueName="[Range].[Learning_Center_Clean].[All]" allUniqueName="[Range].[Learning_Center_Clean].[All]" dimensionUniqueName="[Range]" displayFolder="" count="2" memberValueDatatype="130" unbalanced="0"/>
    <cacheHierarchy uniqueName="[Range].[Enrollment_Year]" caption="Enrollment_Year" attribute="1" defaultMemberUniqueName="[Range].[Enrollment_Year].[All]" allUniqueName="[Range].[Enrollment_Year].[All]" dimensionUniqueName="[Range]" displayFolder="" count="2" memberValueDatatype="20" unbalanced="0"/>
    <cacheHierarchy uniqueName="[Range].[Parent_Occupation_Clean]" caption="Parent_Occupation_Clean" attribute="1" defaultMemberUniqueName="[Range].[Parent_Occupation_Clean].[All]" allUniqueName="[Range].[Parent_Occupation_Clean].[All]" dimensionUniqueName="[Range]" displayFolder="" count="2" memberValueDatatype="130" unbalanced="0"/>
    <cacheHierarchy uniqueName="[Range].[Age_Group_Calc]" caption="Age_Group_Calc" attribute="1" defaultMemberUniqueName="[Range].[Age_Group_Calc].[All]" allUniqueName="[Range].[Age_Group_Calc].[All]" dimensionUniqueName="[Range]" displayFolder="" count="2" memberValueDatatype="130" unbalanced="0"/>
    <cacheHierarchy uniqueName="[Range].[Age_Category_Calc]" caption="Age_Category_Calc" attribute="1" defaultMemberUniqueName="[Range].[Age_Category_Calc].[All]" allUniqueName="[Range].[Age_Category_Calc].[All]" dimensionUniqueName="[Range]" displayFolder="" count="2" memberValueDatatype="130" unbalanced="0"/>
    <cacheHierarchy uniqueName="[Range].[Learner_Category_Clean]" caption="Learner_Category_Clean" attribute="1" defaultMemberUniqueName="[Range].[Learner_Category_Clean].[All]" allUniqueName="[Range].[Learner_Category_Clean].[All]" dimensionUniqueName="[Range]" displayFolder="" count="2" memberValueDatatype="130" unbalanced="0"/>
    <cacheHierarchy uniqueName="[Range].[Learning_Mode_Clean]" caption="Learning_Mode_Clean" attribute="1" defaultMemberUniqueName="[Range].[Learning_Mode_Clean].[All]" allUniqueName="[Range].[Learning_Mode_Clean].[All]" dimensionUniqueName="[Range]" displayFolder="" count="2" memberValueDatatype="130" unbalanced="0">
      <fieldsUsage count="2">
        <fieldUsage x="-1"/>
        <fieldUsage x="0"/>
      </fieldsUsage>
    </cacheHierarchy>
    <cacheHierarchy uniqueName="[Range].[Fee_Paid_Clean]" caption="Fee_Paid_Clean" attribute="1" defaultMemberUniqueName="[Range].[Fee_Paid_Clean].[All]" allUniqueName="[Range].[Fee_Paid_Clean].[All]" dimensionUniqueName="[Range]" displayFolder="" count="2" memberValueDatatype="5" unbalanced="0"/>
    <cacheHierarchy uniqueName="[Range].[Fee_Paid_Flag]" caption="Fee_Paid_Flag" attribute="1" defaultMemberUniqueName="[Range].[Fee_Paid_Flag].[All]" allUniqueName="[Range].[Fee_Paid_Flag].[All]" dimensionUniqueName="[Range]" displayFolder="" count="2" memberValueDatatype="130" unbalanced="0"/>
    <cacheHierarchy uniqueName="[Range].[Avg_Monthly_Study_Hours]" caption="Avg_Monthly_Study_Hours" attribute="1" defaultMemberUniqueName="[Range].[Avg_Monthly_Study_Hours].[All]" allUniqueName="[Range].[Avg_Monthly_Study_Hours].[All]" dimensionUniqueName="[Range]" displayFolder="" count="2" memberValueDatatype="5" unbalanced="0"/>
    <cacheHierarchy uniqueName="[Range].[Fee_Outstanding]" caption="Fee_Outstanding" attribute="1" defaultMemberUniqueName="[Range].[Fee_Outstanding].[All]" allUniqueName="[Range].[Fee_Outstanding].[All]" dimensionUniqueName="[Range]" displayFolder="" count="2" memberValueDatatype="5" unbalanced="0"/>
    <cacheHierarchy uniqueName="[Range].[Subscription_Status_Clean]" caption="Subscription_Status_Clean" attribute="1" defaultMemberUniqueName="[Range].[Subscription_Status_Clean].[All]" allUniqueName="[Range].[Subscription_Status_Clean].[All]" dimensionUniqueName="[Range]" displayFolder="" count="2" memberValueDatatype="130" unbalanced="0"/>
    <cacheHierarchy uniqueName="[Range].[Performance_Score_Clean]" caption="Performance_Score_Clean" attribute="1" defaultMemberUniqueName="[Range].[Performance_Score_Clean].[All]" allUniqueName="[Range].[Performance_Score_Clean].[All]" dimensionUniqueName="[Range]" displayFolder="" count="2" memberValueDatatype="130" unbalanced="0"/>
    <cacheHierarchy uniqueName="[Range].[Performance_Score_Flag]" caption="Performance_Score_Flag" attribute="1" defaultMemberUniqueName="[Range].[Performance_Score_Flag].[All]" allUniqueName="[Range].[Performance_Score_Flag].[All]" dimensionUniqueName="[Range]" displayFolder="" count="2" memberValueDatatype="130" unbalanced="0"/>
    <cacheHierarchy uniqueName="[Range].[Sessions_Attended]" caption="Sessions_Attended" attribute="1" defaultMemberUniqueName="[Range].[Sessions_Attended].[All]" allUniqueName="[Range].[Sessions_Attended].[All]" dimensionUniqueName="[Range]" displayFolder="" count="2" memberValueDatatype="20" unbalanced="0"/>
    <cacheHierarchy uniqueName="[Range].[App_Usage_Clean]" caption="App_Usage_Clean" attribute="1" defaultMemberUniqueName="[Range].[App_Usage_Clean].[All]" allUniqueName="[Range].[App_Usage_Clean].[All]" dimensionUniqueName="[Range]" displayFolder="" count="2" memberValueDatatype="130" unbalanced="0"/>
    <cacheHierarchy uniqueName="[Range].[Web_Usage_Clean]" caption="Web_Usage_Clean" attribute="1" defaultMemberUniqueName="[Range].[Web_Usage_Clean].[All]" allUniqueName="[Range].[Web_Usage_Clean].[All]" dimensionUniqueName="[Range]" displayFolder="" count="2" memberValueDatatype="130" unbalanced="0"/>
    <cacheHierarchy uniqueName="[Range].[Satisfaction_Score]" caption="Satisfaction_Score" attribute="1" defaultMemberUniqueName="[Range].[Satisfaction_Score].[All]" allUniqueName="[Range].[Satisfaction_Score].[All]" dimensionUniqueName="[Range]" displayFolder="" count="2" memberValueDatatype="20" unbalanced="0"/>
    <cacheHierarchy uniqueName="[Range].[Learning_Tenure_Years]" caption="Learning_Tenure_Years" attribute="1" defaultMemberUniqueName="[Range].[Learning_Tenure_Years].[All]" allUniqueName="[Range].[Learning_Tenure_Years].[All]" dimensionUniqueName="[Range]" displayFolder="" count="2" memberValueDatatype="5" unbalanced="0"/>
    <cacheHierarchy uniqueName="[Range].[Duplicate_Flag]" caption="Duplicate_Flag" attribute="1" defaultMemberUniqueName="[Range].[Duplicate_Flag].[All]" allUniqueName="[Range].[Duplicate_Flag].[All]" dimensionUniqueName="[Range]" displayFolder="" count="2" memberValueDatatype="130" unbalanced="0"/>
    <cacheHierarchy uniqueName="[Range].[Row_Quality_Flag]" caption="Row_Quality_Flag" attribute="1" defaultMemberUniqueName="[Range].[Row_Quality_Flag].[All]" allUniqueName="[Range].[Row_Quality_Flag].[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ee_Paid_Clean]" caption="Sum of Fee_Paid_Clean" measure="1" displayFolder="" measureGroup="Range"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Fee_Outstanding]" caption="Sum of Fee_Outstanding" measure="1" displayFolder="" measureGroup="Range"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Performance_Score_Clean]" caption="Count of Performance_Score_Clean" measure="1" displayFolder="" measureGroup="Range" count="0" hidden="1">
      <extLst>
        <ext xmlns:x15="http://schemas.microsoft.com/office/spreadsheetml/2010/11/main" uri="{B97F6D7D-B522-45F9-BDA1-12C45D357490}">
          <x15:cacheHierarchy aggregatedColumn="20"/>
        </ext>
      </extLst>
    </cacheHierarchy>
    <cacheHierarchy uniqueName="[Measures].[Average of Fee_Outstanding]" caption="Average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Subscription_Status_Clean]" caption="Count of Subscription_Status_Clean" measure="1" displayFolder="" measureGroup="Range" count="0" hidden="1">
      <extLst>
        <ext xmlns:x15="http://schemas.microsoft.com/office/spreadsheetml/2010/11/main" uri="{B97F6D7D-B522-45F9-BDA1-12C45D357490}">
          <x15:cacheHierarchy aggregatedColumn="19"/>
        </ext>
      </extLst>
    </cacheHierarchy>
    <cacheHierarchy uniqueName="[Measures].[Sum of Avg_Monthly_Study_Hours]" caption="Sum of Avg_Monthly_Study_Hours" measure="1" displayFolder="" measureGroup="Range" count="0" oneField="1" hidden="1">
      <fieldsUsage count="1">
        <fieldUsage x="4"/>
      </fieldsUsage>
      <extLst>
        <ext xmlns:x15="http://schemas.microsoft.com/office/spreadsheetml/2010/11/main" uri="{B97F6D7D-B522-45F9-BDA1-12C45D357490}">
          <x15:cacheHierarchy aggregatedColumn="17"/>
        </ext>
      </extLst>
    </cacheHierarchy>
    <cacheHierarchy uniqueName="[Measures].[Count of Learning_Mode_Clean]" caption="Count of Learning_Mode_Clean"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1.439692129628" backgroundQuery="1" createdVersion="8" refreshedVersion="8" minRefreshableVersion="3" recordCount="0" supportSubquery="1" supportAdvancedDrill="1" xr:uid="{5096E859-F058-43CC-88A1-504D7E0D4EDA}">
  <cacheSource type="external" connectionId="1"/>
  <cacheFields count="3">
    <cacheField name="[Range].[Learning_Mode_Clean].[Learning_Mode_Clean]" caption="Learning_Mode_Clean" numFmtId="0" hierarchy="14" level="1">
      <sharedItems count="3">
        <s v="App Only"/>
        <s v="Both App &amp; Web"/>
        <s v="Web Only"/>
      </sharedItems>
    </cacheField>
    <cacheField name="[Measures].[Count of Student_ID]" caption="Count of Student_ID" numFmtId="0" hierarchy="31" level="32767"/>
    <cacheField name="[Range].[State_Clean].[State_Clean]" caption="State_Clean" numFmtId="0" hierarchy="6" level="1">
      <sharedItems containsSemiMixedTypes="0" containsNonDate="0" containsString="0"/>
    </cacheField>
  </cacheFields>
  <cacheHierarchies count="39">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Age_Clean]" caption="Age_Clean" attribute="1" defaultMemberUniqueName="[Range].[Age_Clean].[All]" allUniqueName="[Range].[Age_Clean].[All]" dimensionUniqueName="[Range]" displayFolder="" count="0" memberValueDatatype="20" unbalanced="0"/>
    <cacheHierarchy uniqueName="[Range].[Age_Flag]" caption="Age_Flag" attribute="1" defaultMemberUniqueName="[Range].[Age_Flag].[All]" allUniqueName="[Range].[Age_Flag].[All]" dimensionUniqueName="[Range]" displayFolder="" count="0" memberValueDatatype="130" unbalanced="0"/>
    <cacheHierarchy uniqueName="[Range].[Gender_Clean]" caption="Gender_Clean" attribute="1" defaultMemberUniqueName="[Range].[Gender_Clean].[All]" allUniqueName="[Range].[Gender_Clean].[All]" dimensionUniqueName="[Range]" displayFolder="" count="0" memberValueDatatype="130" unbalanced="0"/>
    <cacheHierarchy uniqueName="[Range].[City_Clean]" caption="City_Clean" attribute="1" defaultMemberUniqueName="[Range].[City_Clean].[All]" allUniqueName="[Range].[City_Clean].[All]" dimensionUniqueName="[Range]" displayFolder="" count="0" memberValueDatatype="130" unbalanced="0"/>
    <cacheHierarchy uniqueName="[Range].[State_Clean]" caption="State_Clean" attribute="1" defaultMemberUniqueName="[Range].[State_Clean].[All]" allUniqueName="[Range].[State_Clean].[All]" dimensionUniqueName="[Range]" displayFolder="" count="2" memberValueDatatype="130" unbalanced="0">
      <fieldsUsage count="2">
        <fieldUsage x="-1"/>
        <fieldUsage x="2"/>
      </fieldsUsage>
    </cacheHierarchy>
    <cacheHierarchy uniqueName="[Range].[Course_Type_Clean]" caption="Course_Type_Clean" attribute="1" defaultMemberUniqueName="[Range].[Course_Type_Clean].[All]" allUniqueName="[Range].[Course_Type_Clean].[All]" dimensionUniqueName="[Range]" displayFolder="" count="2" memberValueDatatype="130" unbalanced="0"/>
    <cacheHierarchy uniqueName="[Range].[Learning_Center_Clean]" caption="Learning_Center_Clean" attribute="1" defaultMemberUniqueName="[Range].[Learning_Center_Clean].[All]" allUniqueName="[Range].[Learning_Center_Clean].[All]" dimensionUniqueName="[Range]" displayFolder="" count="0" memberValueDatatype="130" unbalanced="0"/>
    <cacheHierarchy uniqueName="[Range].[Enrollment_Year]" caption="Enrollment_Year" attribute="1" defaultMemberUniqueName="[Range].[Enrollment_Year].[All]" allUniqueName="[Range].[Enrollment_Year].[All]" dimensionUniqueName="[Range]" displayFolder="" count="0" memberValueDatatype="20" unbalanced="0"/>
    <cacheHierarchy uniqueName="[Range].[Parent_Occupation_Clean]" caption="Parent_Occupation_Clean" attribute="1" defaultMemberUniqueName="[Range].[Parent_Occupation_Clean].[All]" allUniqueName="[Range].[Parent_Occupation_Clean].[All]" dimensionUniqueName="[Range]" displayFolder="" count="0" memberValueDatatype="130" unbalanced="0"/>
    <cacheHierarchy uniqueName="[Range].[Age_Group_Calc]" caption="Age_Group_Calc" attribute="1" defaultMemberUniqueName="[Range].[Age_Group_Calc].[All]" allUniqueName="[Range].[Age_Group_Calc].[All]" dimensionUniqueName="[Range]" displayFolder="" count="0" memberValueDatatype="130" unbalanced="0"/>
    <cacheHierarchy uniqueName="[Range].[Age_Category_Calc]" caption="Age_Category_Calc" attribute="1" defaultMemberUniqueName="[Range].[Age_Category_Calc].[All]" allUniqueName="[Range].[Age_Category_Calc].[All]" dimensionUniqueName="[Range]" displayFolder="" count="0" memberValueDatatype="130" unbalanced="0"/>
    <cacheHierarchy uniqueName="[Range].[Learner_Category_Clean]" caption="Learner_Category_Clean" attribute="1" defaultMemberUniqueName="[Range].[Learner_Category_Clean].[All]" allUniqueName="[Range].[Learner_Category_Clean].[All]" dimensionUniqueName="[Range]" displayFolder="" count="0" memberValueDatatype="130" unbalanced="0"/>
    <cacheHierarchy uniqueName="[Range].[Learning_Mode_Clean]" caption="Learning_Mode_Clean" attribute="1" defaultMemberUniqueName="[Range].[Learning_Mode_Clean].[All]" allUniqueName="[Range].[Learning_Mode_Clean].[All]" dimensionUniqueName="[Range]" displayFolder="" count="2" memberValueDatatype="130" unbalanced="0">
      <fieldsUsage count="2">
        <fieldUsage x="-1"/>
        <fieldUsage x="0"/>
      </fieldsUsage>
    </cacheHierarchy>
    <cacheHierarchy uniqueName="[Range].[Fee_Paid_Clean]" caption="Fee_Paid_Clean" attribute="1" defaultMemberUniqueName="[Range].[Fee_Paid_Clean].[All]" allUniqueName="[Range].[Fee_Paid_Clean].[All]" dimensionUniqueName="[Range]" displayFolder="" count="0" memberValueDatatype="5" unbalanced="0"/>
    <cacheHierarchy uniqueName="[Range].[Fee_Paid_Flag]" caption="Fee_Paid_Flag" attribute="1" defaultMemberUniqueName="[Range].[Fee_Paid_Flag].[All]" allUniqueName="[Range].[Fee_Paid_Flag].[All]" dimensionUniqueName="[Range]" displayFolder="" count="0" memberValueDatatype="130" unbalanced="0"/>
    <cacheHierarchy uniqueName="[Range].[Avg_Monthly_Study_Hours]" caption="Avg_Monthly_Study_Hours" attribute="1" defaultMemberUniqueName="[Range].[Avg_Monthly_Study_Hours].[All]" allUniqueName="[Range].[Avg_Monthly_Study_Hours].[All]" dimensionUniqueName="[Range]" displayFolder="" count="0" memberValueDatatype="5" unbalanced="0"/>
    <cacheHierarchy uniqueName="[Range].[Fee_Outstanding]" caption="Fee_Outstanding" attribute="1" defaultMemberUniqueName="[Range].[Fee_Outstanding].[All]" allUniqueName="[Range].[Fee_Outstanding].[All]" dimensionUniqueName="[Range]" displayFolder="" count="0" memberValueDatatype="5" unbalanced="0"/>
    <cacheHierarchy uniqueName="[Range].[Subscription_Status_Clean]" caption="Subscription_Status_Clean" attribute="1" defaultMemberUniqueName="[Range].[Subscription_Status_Clean].[All]" allUniqueName="[Range].[Subscription_Status_Clean].[All]" dimensionUniqueName="[Range]" displayFolder="" count="0" memberValueDatatype="130" unbalanced="0"/>
    <cacheHierarchy uniqueName="[Range].[Performance_Score_Clean]" caption="Performance_Score_Clean" attribute="1" defaultMemberUniqueName="[Range].[Performance_Score_Clean].[All]" allUniqueName="[Range].[Performance_Score_Clean].[All]" dimensionUniqueName="[Range]" displayFolder="" count="0" memberValueDatatype="130" unbalanced="0"/>
    <cacheHierarchy uniqueName="[Range].[Performance_Score_Flag]" caption="Performance_Score_Flag" attribute="1" defaultMemberUniqueName="[Range].[Performance_Score_Flag].[All]" allUniqueName="[Range].[Performance_Score_Flag].[All]" dimensionUniqueName="[Range]" displayFolder="" count="0" memberValueDatatype="130" unbalanced="0"/>
    <cacheHierarchy uniqueName="[Range].[Sessions_Attended]" caption="Sessions_Attended" attribute="1" defaultMemberUniqueName="[Range].[Sessions_Attended].[All]" allUniqueName="[Range].[Sessions_Attended].[All]" dimensionUniqueName="[Range]" displayFolder="" count="0" memberValueDatatype="20" unbalanced="0"/>
    <cacheHierarchy uniqueName="[Range].[App_Usage_Clean]" caption="App_Usage_Clean" attribute="1" defaultMemberUniqueName="[Range].[App_Usage_Clean].[All]" allUniqueName="[Range].[App_Usage_Clean].[All]" dimensionUniqueName="[Range]" displayFolder="" count="0" memberValueDatatype="130" unbalanced="0"/>
    <cacheHierarchy uniqueName="[Range].[Web_Usage_Clean]" caption="Web_Usage_Clean" attribute="1" defaultMemberUniqueName="[Range].[Web_Usage_Clean].[All]" allUniqueName="[Range].[Web_Usage_Clean].[All]" dimensionUniqueName="[Range]" displayFolder="" count="0" memberValueDatatype="130" unbalanced="0"/>
    <cacheHierarchy uniqueName="[Range].[Satisfaction_Score]" caption="Satisfaction_Score" attribute="1" defaultMemberUniqueName="[Range].[Satisfaction_Score].[All]" allUniqueName="[Range].[Satisfaction_Score].[All]" dimensionUniqueName="[Range]" displayFolder="" count="0" memberValueDatatype="20" unbalanced="0"/>
    <cacheHierarchy uniqueName="[Range].[Learning_Tenure_Years]" caption="Learning_Tenure_Years" attribute="1" defaultMemberUniqueName="[Range].[Learning_Tenure_Years].[All]" allUniqueName="[Range].[Learning_Tenure_Years].[All]" dimensionUniqueName="[Range]" displayFolder="" count="0" memberValueDatatype="5" unbalanced="0"/>
    <cacheHierarchy uniqueName="[Range].[Duplicate_Flag]" caption="Duplicate_Flag" attribute="1" defaultMemberUniqueName="[Range].[Duplicate_Flag].[All]" allUniqueName="[Range].[Duplicate_Flag].[All]" dimensionUniqueName="[Range]" displayFolder="" count="0" memberValueDatatype="130" unbalanced="0"/>
    <cacheHierarchy uniqueName="[Range].[Row_Quality_Flag]" caption="Row_Quality_Flag" attribute="1" defaultMemberUniqueName="[Range].[Row_Quality_Flag].[All]" allUniqueName="[Range].[Row_Quality_Fla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ee_Paid_Clean]" caption="Sum of Fee_Paid_Clean" measure="1" displayFolder="" measureGroup="Range" count="0" hidden="1">
      <extLst>
        <ext xmlns:x15="http://schemas.microsoft.com/office/spreadsheetml/2010/11/main" uri="{B97F6D7D-B522-45F9-BDA1-12C45D357490}">
          <x15:cacheHierarchy aggregatedColumn="15"/>
        </ext>
      </extLst>
    </cacheHierarchy>
    <cacheHierarchy uniqueName="[Measures].[Sum of Fee_Outstanding]" caption="Sum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Performance_Score_Clean]" caption="Count of Performance_Score_Clean" measure="1" displayFolder="" measureGroup="Range" count="0" hidden="1">
      <extLst>
        <ext xmlns:x15="http://schemas.microsoft.com/office/spreadsheetml/2010/11/main" uri="{B97F6D7D-B522-45F9-BDA1-12C45D357490}">
          <x15:cacheHierarchy aggregatedColumn="20"/>
        </ext>
      </extLst>
    </cacheHierarchy>
    <cacheHierarchy uniqueName="[Measures].[Average of Fee_Outstanding]" caption="Average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Subscription_Status_Clean]" caption="Count of Subscription_Status_Clean" measure="1" displayFolder="" measureGroup="Range" count="0" hidden="1">
      <extLst>
        <ext xmlns:x15="http://schemas.microsoft.com/office/spreadsheetml/2010/11/main" uri="{B97F6D7D-B522-45F9-BDA1-12C45D357490}">
          <x15:cacheHierarchy aggregatedColumn="19"/>
        </ext>
      </extLst>
    </cacheHierarchy>
    <cacheHierarchy uniqueName="[Measures].[Sum of Avg_Monthly_Study_Hours]" caption="Sum of Avg_Monthly_Study_Hours" measure="1" displayFolder="" measureGroup="Range" count="0" hidden="1">
      <extLst>
        <ext xmlns:x15="http://schemas.microsoft.com/office/spreadsheetml/2010/11/main" uri="{B97F6D7D-B522-45F9-BDA1-12C45D357490}">
          <x15:cacheHierarchy aggregatedColumn="17"/>
        </ext>
      </extLst>
    </cacheHierarchy>
    <cacheHierarchy uniqueName="[Measures].[Count of Learning_Mode_Clean]" caption="Count of Learning_Mode_Clean"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1.43969259259" backgroundQuery="1" createdVersion="8" refreshedVersion="8" minRefreshableVersion="3" recordCount="0" supportSubquery="1" supportAdvancedDrill="1" xr:uid="{DDAA0940-366D-4B58-88CB-AAD2249272CF}">
  <cacheSource type="external" connectionId="1"/>
  <cacheFields count="4">
    <cacheField name="[Range].[Learning_Mode_Clean].[Learning_Mode_Clean]" caption="Learning_Mode_Clean" numFmtId="0" hierarchy="14" level="1">
      <sharedItems count="3">
        <s v="App Only"/>
        <s v="Both App &amp; Web"/>
        <s v="Web Only"/>
      </sharedItems>
    </cacheField>
    <cacheField name="[Measures].[Count of Student_ID]" caption="Count of Student_ID" numFmtId="0" hierarchy="31" level="32767"/>
    <cacheField name="[Range].[Course_Type_Clean].[Course_Type_Clean]" caption="Course_Type_Clean" numFmtId="0" hierarchy="7" level="1">
      <sharedItems count="8">
        <s v="Coding"/>
        <s v="English"/>
        <s v="Jee Prep"/>
        <s v="Mathematics"/>
        <s v="Neet Prep"/>
        <s v="Robotics"/>
        <s v="Science"/>
        <s v="Spoken English"/>
      </sharedItems>
    </cacheField>
    <cacheField name="[Range].[State_Clean].[State_Clean]" caption="State_Clean" numFmtId="0" hierarchy="6" level="1">
      <sharedItems containsSemiMixedTypes="0" containsNonDate="0" containsString="0"/>
    </cacheField>
  </cacheFields>
  <cacheHierarchies count="39">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Age_Clean]" caption="Age_Clean" attribute="1" defaultMemberUniqueName="[Range].[Age_Clean].[All]" allUniqueName="[Range].[Age_Clean].[All]" dimensionUniqueName="[Range]" displayFolder="" count="0" memberValueDatatype="20" unbalanced="0"/>
    <cacheHierarchy uniqueName="[Range].[Age_Flag]" caption="Age_Flag" attribute="1" defaultMemberUniqueName="[Range].[Age_Flag].[All]" allUniqueName="[Range].[Age_Flag].[All]" dimensionUniqueName="[Range]" displayFolder="" count="0" memberValueDatatype="130" unbalanced="0"/>
    <cacheHierarchy uniqueName="[Range].[Gender_Clean]" caption="Gender_Clean" attribute="1" defaultMemberUniqueName="[Range].[Gender_Clean].[All]" allUniqueName="[Range].[Gender_Clean].[All]" dimensionUniqueName="[Range]" displayFolder="" count="0" memberValueDatatype="130" unbalanced="0"/>
    <cacheHierarchy uniqueName="[Range].[City_Clean]" caption="City_Clean" attribute="1" defaultMemberUniqueName="[Range].[City_Clean].[All]" allUniqueName="[Range].[City_Clean].[All]" dimensionUniqueName="[Range]" displayFolder="" count="0" memberValueDatatype="130" unbalanced="0"/>
    <cacheHierarchy uniqueName="[Range].[State_Clean]" caption="State_Clean" attribute="1" defaultMemberUniqueName="[Range].[State_Clean].[All]" allUniqueName="[Range].[State_Clean].[All]" dimensionUniqueName="[Range]" displayFolder="" count="2" memberValueDatatype="130" unbalanced="0">
      <fieldsUsage count="2">
        <fieldUsage x="-1"/>
        <fieldUsage x="3"/>
      </fieldsUsage>
    </cacheHierarchy>
    <cacheHierarchy uniqueName="[Range].[Course_Type_Clean]" caption="Course_Type_Clean" attribute="1" defaultMemberUniqueName="[Range].[Course_Type_Clean].[All]" allUniqueName="[Range].[Course_Type_Clean].[All]" dimensionUniqueName="[Range]" displayFolder="" count="2" memberValueDatatype="130" unbalanced="0">
      <fieldsUsage count="2">
        <fieldUsage x="-1"/>
        <fieldUsage x="2"/>
      </fieldsUsage>
    </cacheHierarchy>
    <cacheHierarchy uniqueName="[Range].[Learning_Center_Clean]" caption="Learning_Center_Clean" attribute="1" defaultMemberUniqueName="[Range].[Learning_Center_Clean].[All]" allUniqueName="[Range].[Learning_Center_Clean].[All]" dimensionUniqueName="[Range]" displayFolder="" count="0" memberValueDatatype="130" unbalanced="0"/>
    <cacheHierarchy uniqueName="[Range].[Enrollment_Year]" caption="Enrollment_Year" attribute="1" defaultMemberUniqueName="[Range].[Enrollment_Year].[All]" allUniqueName="[Range].[Enrollment_Year].[All]" dimensionUniqueName="[Range]" displayFolder="" count="0" memberValueDatatype="20" unbalanced="0"/>
    <cacheHierarchy uniqueName="[Range].[Parent_Occupation_Clean]" caption="Parent_Occupation_Clean" attribute="1" defaultMemberUniqueName="[Range].[Parent_Occupation_Clean].[All]" allUniqueName="[Range].[Parent_Occupation_Clean].[All]" dimensionUniqueName="[Range]" displayFolder="" count="0" memberValueDatatype="130" unbalanced="0"/>
    <cacheHierarchy uniqueName="[Range].[Age_Group_Calc]" caption="Age_Group_Calc" attribute="1" defaultMemberUniqueName="[Range].[Age_Group_Calc].[All]" allUniqueName="[Range].[Age_Group_Calc].[All]" dimensionUniqueName="[Range]" displayFolder="" count="0" memberValueDatatype="130" unbalanced="0"/>
    <cacheHierarchy uniqueName="[Range].[Age_Category_Calc]" caption="Age_Category_Calc" attribute="1" defaultMemberUniqueName="[Range].[Age_Category_Calc].[All]" allUniqueName="[Range].[Age_Category_Calc].[All]" dimensionUniqueName="[Range]" displayFolder="" count="0" memberValueDatatype="130" unbalanced="0"/>
    <cacheHierarchy uniqueName="[Range].[Learner_Category_Clean]" caption="Learner_Category_Clean" attribute="1" defaultMemberUniqueName="[Range].[Learner_Category_Clean].[All]" allUniqueName="[Range].[Learner_Category_Clean].[All]" dimensionUniqueName="[Range]" displayFolder="" count="0" memberValueDatatype="130" unbalanced="0"/>
    <cacheHierarchy uniqueName="[Range].[Learning_Mode_Clean]" caption="Learning_Mode_Clean" attribute="1" defaultMemberUniqueName="[Range].[Learning_Mode_Clean].[All]" allUniqueName="[Range].[Learning_Mode_Clean].[All]" dimensionUniqueName="[Range]" displayFolder="" count="2" memberValueDatatype="130" unbalanced="0">
      <fieldsUsage count="2">
        <fieldUsage x="-1"/>
        <fieldUsage x="0"/>
      </fieldsUsage>
    </cacheHierarchy>
    <cacheHierarchy uniqueName="[Range].[Fee_Paid_Clean]" caption="Fee_Paid_Clean" attribute="1" defaultMemberUniqueName="[Range].[Fee_Paid_Clean].[All]" allUniqueName="[Range].[Fee_Paid_Clean].[All]" dimensionUniqueName="[Range]" displayFolder="" count="0" memberValueDatatype="5" unbalanced="0"/>
    <cacheHierarchy uniqueName="[Range].[Fee_Paid_Flag]" caption="Fee_Paid_Flag" attribute="1" defaultMemberUniqueName="[Range].[Fee_Paid_Flag].[All]" allUniqueName="[Range].[Fee_Paid_Flag].[All]" dimensionUniqueName="[Range]" displayFolder="" count="0" memberValueDatatype="130" unbalanced="0"/>
    <cacheHierarchy uniqueName="[Range].[Avg_Monthly_Study_Hours]" caption="Avg_Monthly_Study_Hours" attribute="1" defaultMemberUniqueName="[Range].[Avg_Monthly_Study_Hours].[All]" allUniqueName="[Range].[Avg_Monthly_Study_Hours].[All]" dimensionUniqueName="[Range]" displayFolder="" count="0" memberValueDatatype="5" unbalanced="0"/>
    <cacheHierarchy uniqueName="[Range].[Fee_Outstanding]" caption="Fee_Outstanding" attribute="1" defaultMemberUniqueName="[Range].[Fee_Outstanding].[All]" allUniqueName="[Range].[Fee_Outstanding].[All]" dimensionUniqueName="[Range]" displayFolder="" count="0" memberValueDatatype="5" unbalanced="0"/>
    <cacheHierarchy uniqueName="[Range].[Subscription_Status_Clean]" caption="Subscription_Status_Clean" attribute="1" defaultMemberUniqueName="[Range].[Subscription_Status_Clean].[All]" allUniqueName="[Range].[Subscription_Status_Clean].[All]" dimensionUniqueName="[Range]" displayFolder="" count="0" memberValueDatatype="130" unbalanced="0"/>
    <cacheHierarchy uniqueName="[Range].[Performance_Score_Clean]" caption="Performance_Score_Clean" attribute="1" defaultMemberUniqueName="[Range].[Performance_Score_Clean].[All]" allUniqueName="[Range].[Performance_Score_Clean].[All]" dimensionUniqueName="[Range]" displayFolder="" count="0" memberValueDatatype="130" unbalanced="0"/>
    <cacheHierarchy uniqueName="[Range].[Performance_Score_Flag]" caption="Performance_Score_Flag" attribute="1" defaultMemberUniqueName="[Range].[Performance_Score_Flag].[All]" allUniqueName="[Range].[Performance_Score_Flag].[All]" dimensionUniqueName="[Range]" displayFolder="" count="0" memberValueDatatype="130" unbalanced="0"/>
    <cacheHierarchy uniqueName="[Range].[Sessions_Attended]" caption="Sessions_Attended" attribute="1" defaultMemberUniqueName="[Range].[Sessions_Attended].[All]" allUniqueName="[Range].[Sessions_Attended].[All]" dimensionUniqueName="[Range]" displayFolder="" count="0" memberValueDatatype="20" unbalanced="0"/>
    <cacheHierarchy uniqueName="[Range].[App_Usage_Clean]" caption="App_Usage_Clean" attribute="1" defaultMemberUniqueName="[Range].[App_Usage_Clean].[All]" allUniqueName="[Range].[App_Usage_Clean].[All]" dimensionUniqueName="[Range]" displayFolder="" count="0" memberValueDatatype="130" unbalanced="0"/>
    <cacheHierarchy uniqueName="[Range].[Web_Usage_Clean]" caption="Web_Usage_Clean" attribute="1" defaultMemberUniqueName="[Range].[Web_Usage_Clean].[All]" allUniqueName="[Range].[Web_Usage_Clean].[All]" dimensionUniqueName="[Range]" displayFolder="" count="0" memberValueDatatype="130" unbalanced="0"/>
    <cacheHierarchy uniqueName="[Range].[Satisfaction_Score]" caption="Satisfaction_Score" attribute="1" defaultMemberUniqueName="[Range].[Satisfaction_Score].[All]" allUniqueName="[Range].[Satisfaction_Score].[All]" dimensionUniqueName="[Range]" displayFolder="" count="0" memberValueDatatype="20" unbalanced="0"/>
    <cacheHierarchy uniqueName="[Range].[Learning_Tenure_Years]" caption="Learning_Tenure_Years" attribute="1" defaultMemberUniqueName="[Range].[Learning_Tenure_Years].[All]" allUniqueName="[Range].[Learning_Tenure_Years].[All]" dimensionUniqueName="[Range]" displayFolder="" count="0" memberValueDatatype="5" unbalanced="0"/>
    <cacheHierarchy uniqueName="[Range].[Duplicate_Flag]" caption="Duplicate_Flag" attribute="1" defaultMemberUniqueName="[Range].[Duplicate_Flag].[All]" allUniqueName="[Range].[Duplicate_Flag].[All]" dimensionUniqueName="[Range]" displayFolder="" count="0" memberValueDatatype="130" unbalanced="0"/>
    <cacheHierarchy uniqueName="[Range].[Row_Quality_Flag]" caption="Row_Quality_Flag" attribute="1" defaultMemberUniqueName="[Range].[Row_Quality_Flag].[All]" allUniqueName="[Range].[Row_Quality_Fla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ee_Paid_Clean]" caption="Sum of Fee_Paid_Clean" measure="1" displayFolder="" measureGroup="Range" count="0" hidden="1">
      <extLst>
        <ext xmlns:x15="http://schemas.microsoft.com/office/spreadsheetml/2010/11/main" uri="{B97F6D7D-B522-45F9-BDA1-12C45D357490}">
          <x15:cacheHierarchy aggregatedColumn="15"/>
        </ext>
      </extLst>
    </cacheHierarchy>
    <cacheHierarchy uniqueName="[Measures].[Sum of Fee_Outstanding]" caption="Sum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Performance_Score_Clean]" caption="Count of Performance_Score_Clean" measure="1" displayFolder="" measureGroup="Range" count="0" hidden="1">
      <extLst>
        <ext xmlns:x15="http://schemas.microsoft.com/office/spreadsheetml/2010/11/main" uri="{B97F6D7D-B522-45F9-BDA1-12C45D357490}">
          <x15:cacheHierarchy aggregatedColumn="20"/>
        </ext>
      </extLst>
    </cacheHierarchy>
    <cacheHierarchy uniqueName="[Measures].[Average of Fee_Outstanding]" caption="Average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Subscription_Status_Clean]" caption="Count of Subscription_Status_Clean" measure="1" displayFolder="" measureGroup="Range" count="0" hidden="1">
      <extLst>
        <ext xmlns:x15="http://schemas.microsoft.com/office/spreadsheetml/2010/11/main" uri="{B97F6D7D-B522-45F9-BDA1-12C45D357490}">
          <x15:cacheHierarchy aggregatedColumn="19"/>
        </ext>
      </extLst>
    </cacheHierarchy>
    <cacheHierarchy uniqueName="[Measures].[Sum of Avg_Monthly_Study_Hours]" caption="Sum of Avg_Monthly_Study_Hours" measure="1" displayFolder="" measureGroup="Range" count="0" hidden="1">
      <extLst>
        <ext xmlns:x15="http://schemas.microsoft.com/office/spreadsheetml/2010/11/main" uri="{B97F6D7D-B522-45F9-BDA1-12C45D357490}">
          <x15:cacheHierarchy aggregatedColumn="17"/>
        </ext>
      </extLst>
    </cacheHierarchy>
    <cacheHierarchy uniqueName="[Measures].[Count of Learning_Mode_Clean]" caption="Count of Learning_Mode_Clean"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1.439692939814" backgroundQuery="1" createdVersion="8" refreshedVersion="8" minRefreshableVersion="3" recordCount="0" supportSubquery="1" supportAdvancedDrill="1" xr:uid="{FE947A61-8F06-4A43-954A-636DF492FA20}">
  <cacheSource type="external" connectionId="1"/>
  <cacheFields count="4">
    <cacheField name="[Range].[Learning_Mode_Clean].[Learning_Mode_Clean]" caption="Learning_Mode_Clean" numFmtId="0" hierarchy="14" level="1">
      <sharedItems count="3">
        <s v="App Only"/>
        <s v="Both App &amp; Web"/>
        <s v="Web Only"/>
      </sharedItems>
    </cacheField>
    <cacheField name="[Range].[Course_Type_Clean].[Course_Type_Clean]" caption="Course_Type_Clean" numFmtId="0" hierarchy="7" level="1">
      <sharedItems count="8">
        <s v="Coding"/>
        <s v="English"/>
        <s v="Jee Prep"/>
        <s v="Mathematics"/>
        <s v="Neet Prep"/>
        <s v="Robotics"/>
        <s v="Science"/>
        <s v="Spoken English"/>
      </sharedItems>
    </cacheField>
    <cacheField name="[Measures].[Sum of Fee_Outstanding]" caption="Sum of Fee_Outstanding" numFmtId="0" hierarchy="33" level="32767"/>
    <cacheField name="[Range].[State_Clean].[State_Clean]" caption="State_Clean" numFmtId="0" hierarchy="6" level="1">
      <sharedItems containsSemiMixedTypes="0" containsNonDate="0" containsString="0"/>
    </cacheField>
  </cacheFields>
  <cacheHierarchies count="39">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Age_Clean]" caption="Age_Clean" attribute="1" defaultMemberUniqueName="[Range].[Age_Clean].[All]" allUniqueName="[Range].[Age_Clean].[All]" dimensionUniqueName="[Range]" displayFolder="" count="0" memberValueDatatype="20" unbalanced="0"/>
    <cacheHierarchy uniqueName="[Range].[Age_Flag]" caption="Age_Flag" attribute="1" defaultMemberUniqueName="[Range].[Age_Flag].[All]" allUniqueName="[Range].[Age_Flag].[All]" dimensionUniqueName="[Range]" displayFolder="" count="0" memberValueDatatype="130" unbalanced="0"/>
    <cacheHierarchy uniqueName="[Range].[Gender_Clean]" caption="Gender_Clean" attribute="1" defaultMemberUniqueName="[Range].[Gender_Clean].[All]" allUniqueName="[Range].[Gender_Clean].[All]" dimensionUniqueName="[Range]" displayFolder="" count="0" memberValueDatatype="130" unbalanced="0"/>
    <cacheHierarchy uniqueName="[Range].[City_Clean]" caption="City_Clean" attribute="1" defaultMemberUniqueName="[Range].[City_Clean].[All]" allUniqueName="[Range].[City_Clean].[All]" dimensionUniqueName="[Range]" displayFolder="" count="0" memberValueDatatype="130" unbalanced="0"/>
    <cacheHierarchy uniqueName="[Range].[State_Clean]" caption="State_Clean" attribute="1" defaultMemberUniqueName="[Range].[State_Clean].[All]" allUniqueName="[Range].[State_Clean].[All]" dimensionUniqueName="[Range]" displayFolder="" count="2" memberValueDatatype="130" unbalanced="0">
      <fieldsUsage count="2">
        <fieldUsage x="-1"/>
        <fieldUsage x="3"/>
      </fieldsUsage>
    </cacheHierarchy>
    <cacheHierarchy uniqueName="[Range].[Course_Type_Clean]" caption="Course_Type_Clean" attribute="1" defaultMemberUniqueName="[Range].[Course_Type_Clean].[All]" allUniqueName="[Range].[Course_Type_Clean].[All]" dimensionUniqueName="[Range]" displayFolder="" count="2" memberValueDatatype="130" unbalanced="0">
      <fieldsUsage count="2">
        <fieldUsage x="-1"/>
        <fieldUsage x="1"/>
      </fieldsUsage>
    </cacheHierarchy>
    <cacheHierarchy uniqueName="[Range].[Learning_Center_Clean]" caption="Learning_Center_Clean" attribute="1" defaultMemberUniqueName="[Range].[Learning_Center_Clean].[All]" allUniqueName="[Range].[Learning_Center_Clean].[All]" dimensionUniqueName="[Range]" displayFolder="" count="0" memberValueDatatype="130" unbalanced="0"/>
    <cacheHierarchy uniqueName="[Range].[Enrollment_Year]" caption="Enrollment_Year" attribute="1" defaultMemberUniqueName="[Range].[Enrollment_Year].[All]" allUniqueName="[Range].[Enrollment_Year].[All]" dimensionUniqueName="[Range]" displayFolder="" count="0" memberValueDatatype="20" unbalanced="0"/>
    <cacheHierarchy uniqueName="[Range].[Parent_Occupation_Clean]" caption="Parent_Occupation_Clean" attribute="1" defaultMemberUniqueName="[Range].[Parent_Occupation_Clean].[All]" allUniqueName="[Range].[Parent_Occupation_Clean].[All]" dimensionUniqueName="[Range]" displayFolder="" count="0" memberValueDatatype="130" unbalanced="0"/>
    <cacheHierarchy uniqueName="[Range].[Age_Group_Calc]" caption="Age_Group_Calc" attribute="1" defaultMemberUniqueName="[Range].[Age_Group_Calc].[All]" allUniqueName="[Range].[Age_Group_Calc].[All]" dimensionUniqueName="[Range]" displayFolder="" count="0" memberValueDatatype="130" unbalanced="0"/>
    <cacheHierarchy uniqueName="[Range].[Age_Category_Calc]" caption="Age_Category_Calc" attribute="1" defaultMemberUniqueName="[Range].[Age_Category_Calc].[All]" allUniqueName="[Range].[Age_Category_Calc].[All]" dimensionUniqueName="[Range]" displayFolder="" count="0" memberValueDatatype="130" unbalanced="0"/>
    <cacheHierarchy uniqueName="[Range].[Learner_Category_Clean]" caption="Learner_Category_Clean" attribute="1" defaultMemberUniqueName="[Range].[Learner_Category_Clean].[All]" allUniqueName="[Range].[Learner_Category_Clean].[All]" dimensionUniqueName="[Range]" displayFolder="" count="0" memberValueDatatype="130" unbalanced="0"/>
    <cacheHierarchy uniqueName="[Range].[Learning_Mode_Clean]" caption="Learning_Mode_Clean" attribute="1" defaultMemberUniqueName="[Range].[Learning_Mode_Clean].[All]" allUniqueName="[Range].[Learning_Mode_Clean].[All]" dimensionUniqueName="[Range]" displayFolder="" count="2" memberValueDatatype="130" unbalanced="0">
      <fieldsUsage count="2">
        <fieldUsage x="-1"/>
        <fieldUsage x="0"/>
      </fieldsUsage>
    </cacheHierarchy>
    <cacheHierarchy uniqueName="[Range].[Fee_Paid_Clean]" caption="Fee_Paid_Clean" attribute="1" defaultMemberUniqueName="[Range].[Fee_Paid_Clean].[All]" allUniqueName="[Range].[Fee_Paid_Clean].[All]" dimensionUniqueName="[Range]" displayFolder="" count="0" memberValueDatatype="5" unbalanced="0"/>
    <cacheHierarchy uniqueName="[Range].[Fee_Paid_Flag]" caption="Fee_Paid_Flag" attribute="1" defaultMemberUniqueName="[Range].[Fee_Paid_Flag].[All]" allUniqueName="[Range].[Fee_Paid_Flag].[All]" dimensionUniqueName="[Range]" displayFolder="" count="0" memberValueDatatype="130" unbalanced="0"/>
    <cacheHierarchy uniqueName="[Range].[Avg_Monthly_Study_Hours]" caption="Avg_Monthly_Study_Hours" attribute="1" defaultMemberUniqueName="[Range].[Avg_Monthly_Study_Hours].[All]" allUniqueName="[Range].[Avg_Monthly_Study_Hours].[All]" dimensionUniqueName="[Range]" displayFolder="" count="0" memberValueDatatype="5" unbalanced="0"/>
    <cacheHierarchy uniqueName="[Range].[Fee_Outstanding]" caption="Fee_Outstanding" attribute="1" defaultMemberUniqueName="[Range].[Fee_Outstanding].[All]" allUniqueName="[Range].[Fee_Outstanding].[All]" dimensionUniqueName="[Range]" displayFolder="" count="0" memberValueDatatype="5" unbalanced="0"/>
    <cacheHierarchy uniqueName="[Range].[Subscription_Status_Clean]" caption="Subscription_Status_Clean" attribute="1" defaultMemberUniqueName="[Range].[Subscription_Status_Clean].[All]" allUniqueName="[Range].[Subscription_Status_Clean].[All]" dimensionUniqueName="[Range]" displayFolder="" count="0" memberValueDatatype="130" unbalanced="0"/>
    <cacheHierarchy uniqueName="[Range].[Performance_Score_Clean]" caption="Performance_Score_Clean" attribute="1" defaultMemberUniqueName="[Range].[Performance_Score_Clean].[All]" allUniqueName="[Range].[Performance_Score_Clean].[All]" dimensionUniqueName="[Range]" displayFolder="" count="0" memberValueDatatype="130" unbalanced="0"/>
    <cacheHierarchy uniqueName="[Range].[Performance_Score_Flag]" caption="Performance_Score_Flag" attribute="1" defaultMemberUniqueName="[Range].[Performance_Score_Flag].[All]" allUniqueName="[Range].[Performance_Score_Flag].[All]" dimensionUniqueName="[Range]" displayFolder="" count="0" memberValueDatatype="130" unbalanced="0"/>
    <cacheHierarchy uniqueName="[Range].[Sessions_Attended]" caption="Sessions_Attended" attribute="1" defaultMemberUniqueName="[Range].[Sessions_Attended].[All]" allUniqueName="[Range].[Sessions_Attended].[All]" dimensionUniqueName="[Range]" displayFolder="" count="0" memberValueDatatype="20" unbalanced="0"/>
    <cacheHierarchy uniqueName="[Range].[App_Usage_Clean]" caption="App_Usage_Clean" attribute="1" defaultMemberUniqueName="[Range].[App_Usage_Clean].[All]" allUniqueName="[Range].[App_Usage_Clean].[All]" dimensionUniqueName="[Range]" displayFolder="" count="0" memberValueDatatype="130" unbalanced="0"/>
    <cacheHierarchy uniqueName="[Range].[Web_Usage_Clean]" caption="Web_Usage_Clean" attribute="1" defaultMemberUniqueName="[Range].[Web_Usage_Clean].[All]" allUniqueName="[Range].[Web_Usage_Clean].[All]" dimensionUniqueName="[Range]" displayFolder="" count="0" memberValueDatatype="130" unbalanced="0"/>
    <cacheHierarchy uniqueName="[Range].[Satisfaction_Score]" caption="Satisfaction_Score" attribute="1" defaultMemberUniqueName="[Range].[Satisfaction_Score].[All]" allUniqueName="[Range].[Satisfaction_Score].[All]" dimensionUniqueName="[Range]" displayFolder="" count="0" memberValueDatatype="20" unbalanced="0"/>
    <cacheHierarchy uniqueName="[Range].[Learning_Tenure_Years]" caption="Learning_Tenure_Years" attribute="1" defaultMemberUniqueName="[Range].[Learning_Tenure_Years].[All]" allUniqueName="[Range].[Learning_Tenure_Years].[All]" dimensionUniqueName="[Range]" displayFolder="" count="0" memberValueDatatype="5" unbalanced="0"/>
    <cacheHierarchy uniqueName="[Range].[Duplicate_Flag]" caption="Duplicate_Flag" attribute="1" defaultMemberUniqueName="[Range].[Duplicate_Flag].[All]" allUniqueName="[Range].[Duplicate_Flag].[All]" dimensionUniqueName="[Range]" displayFolder="" count="0" memberValueDatatype="130" unbalanced="0"/>
    <cacheHierarchy uniqueName="[Range].[Row_Quality_Flag]" caption="Row_Quality_Flag" attribute="1" defaultMemberUniqueName="[Range].[Row_Quality_Flag].[All]" allUniqueName="[Range].[Row_Quality_Fla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Range" count="0" hidden="1">
      <extLst>
        <ext xmlns:x15="http://schemas.microsoft.com/office/spreadsheetml/2010/11/main" uri="{B97F6D7D-B522-45F9-BDA1-12C45D357490}">
          <x15:cacheHierarchy aggregatedColumn="0"/>
        </ext>
      </extLst>
    </cacheHierarchy>
    <cacheHierarchy uniqueName="[Measures].[Sum of Fee_Paid_Clean]" caption="Sum of Fee_Paid_Clean" measure="1" displayFolder="" measureGroup="Range" count="0" hidden="1">
      <extLst>
        <ext xmlns:x15="http://schemas.microsoft.com/office/spreadsheetml/2010/11/main" uri="{B97F6D7D-B522-45F9-BDA1-12C45D357490}">
          <x15:cacheHierarchy aggregatedColumn="15"/>
        </ext>
      </extLst>
    </cacheHierarchy>
    <cacheHierarchy uniqueName="[Measures].[Sum of Fee_Outstanding]" caption="Sum of Fee_Outstanding" measure="1" displayFolder="" measureGroup="Range"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erformance_Score_Clean]" caption="Count of Performance_Score_Clean" measure="1" displayFolder="" measureGroup="Range" count="0" hidden="1">
      <extLst>
        <ext xmlns:x15="http://schemas.microsoft.com/office/spreadsheetml/2010/11/main" uri="{B97F6D7D-B522-45F9-BDA1-12C45D357490}">
          <x15:cacheHierarchy aggregatedColumn="20"/>
        </ext>
      </extLst>
    </cacheHierarchy>
    <cacheHierarchy uniqueName="[Measures].[Average of Fee_Outstanding]" caption="Average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Subscription_Status_Clean]" caption="Count of Subscription_Status_Clean" measure="1" displayFolder="" measureGroup="Range" count="0" hidden="1">
      <extLst>
        <ext xmlns:x15="http://schemas.microsoft.com/office/spreadsheetml/2010/11/main" uri="{B97F6D7D-B522-45F9-BDA1-12C45D357490}">
          <x15:cacheHierarchy aggregatedColumn="19"/>
        </ext>
      </extLst>
    </cacheHierarchy>
    <cacheHierarchy uniqueName="[Measures].[Sum of Avg_Monthly_Study_Hours]" caption="Sum of Avg_Monthly_Study_Hours" measure="1" displayFolder="" measureGroup="Range" count="0" hidden="1">
      <extLst>
        <ext xmlns:x15="http://schemas.microsoft.com/office/spreadsheetml/2010/11/main" uri="{B97F6D7D-B522-45F9-BDA1-12C45D357490}">
          <x15:cacheHierarchy aggregatedColumn="17"/>
        </ext>
      </extLst>
    </cacheHierarchy>
    <cacheHierarchy uniqueName="[Measures].[Count of Learning_Mode_Clean]" caption="Count of Learning_Mode_Clean"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1.439693402775" backgroundQuery="1" createdVersion="8" refreshedVersion="8" minRefreshableVersion="3" recordCount="0" supportSubquery="1" supportAdvancedDrill="1" xr:uid="{CCC2596C-4A60-4D31-A173-63EFF0C0451E}">
  <cacheSource type="external" connectionId="1"/>
  <cacheFields count="5">
    <cacheField name="[Range].[Learning_Mode_Clean].[Learning_Mode_Clean]" caption="Learning_Mode_Clean" numFmtId="0" hierarchy="14" level="1">
      <sharedItems count="3">
        <s v="App Only"/>
        <s v="Both App &amp; Web"/>
        <s v="Web Only"/>
      </sharedItems>
    </cacheField>
    <cacheField name="[Measures].[Count of Student_ID]" caption="Count of Student_ID" numFmtId="0" hierarchy="31" level="32767"/>
    <cacheField name="[Range].[Learner_Category_Clean].[Learner_Category_Clean]" caption="Learner_Category_Clean" numFmtId="0" hierarchy="13" level="1">
      <sharedItems count="2">
        <s v="Non-Premium Learner"/>
        <s v="Premium Learner"/>
      </sharedItems>
    </cacheField>
    <cacheField name="[Range].[Course_Type_Clean].[Course_Type_Clean]" caption="Course_Type_Clean" numFmtId="0" hierarchy="7" level="1">
      <sharedItems containsSemiMixedTypes="0" containsNonDate="0" containsString="0"/>
    </cacheField>
    <cacheField name="[Range].[State_Clean].[State_Clean]" caption="State_Clean" numFmtId="0" hierarchy="6" level="1">
      <sharedItems containsSemiMixedTypes="0" containsNonDate="0" containsString="0"/>
    </cacheField>
  </cacheFields>
  <cacheHierarchies count="39">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Age_Clean]" caption="Age_Clean" attribute="1" defaultMemberUniqueName="[Range].[Age_Clean].[All]" allUniqueName="[Range].[Age_Clean].[All]" dimensionUniqueName="[Range]" displayFolder="" count="0" memberValueDatatype="20" unbalanced="0"/>
    <cacheHierarchy uniqueName="[Range].[Age_Flag]" caption="Age_Flag" attribute="1" defaultMemberUniqueName="[Range].[Age_Flag].[All]" allUniqueName="[Range].[Age_Flag].[All]" dimensionUniqueName="[Range]" displayFolder="" count="0" memberValueDatatype="130" unbalanced="0"/>
    <cacheHierarchy uniqueName="[Range].[Gender_Clean]" caption="Gender_Clean" attribute="1" defaultMemberUniqueName="[Range].[Gender_Clean].[All]" allUniqueName="[Range].[Gender_Clean].[All]" dimensionUniqueName="[Range]" displayFolder="" count="0" memberValueDatatype="130" unbalanced="0"/>
    <cacheHierarchy uniqueName="[Range].[City_Clean]" caption="City_Clean" attribute="1" defaultMemberUniqueName="[Range].[City_Clean].[All]" allUniqueName="[Range].[City_Clean].[All]" dimensionUniqueName="[Range]" displayFolder="" count="0" memberValueDatatype="130" unbalanced="0"/>
    <cacheHierarchy uniqueName="[Range].[State_Clean]" caption="State_Clean" attribute="1" defaultMemberUniqueName="[Range].[State_Clean].[All]" allUniqueName="[Range].[State_Clean].[All]" dimensionUniqueName="[Range]" displayFolder="" count="2" memberValueDatatype="130" unbalanced="0">
      <fieldsUsage count="2">
        <fieldUsage x="-1"/>
        <fieldUsage x="4"/>
      </fieldsUsage>
    </cacheHierarchy>
    <cacheHierarchy uniqueName="[Range].[Course_Type_Clean]" caption="Course_Type_Clean" attribute="1" defaultMemberUniqueName="[Range].[Course_Type_Clean].[All]" allUniqueName="[Range].[Course_Type_Clean].[All]" dimensionUniqueName="[Range]" displayFolder="" count="2" memberValueDatatype="130" unbalanced="0">
      <fieldsUsage count="2">
        <fieldUsage x="-1"/>
        <fieldUsage x="3"/>
      </fieldsUsage>
    </cacheHierarchy>
    <cacheHierarchy uniqueName="[Range].[Learning_Center_Clean]" caption="Learning_Center_Clean" attribute="1" defaultMemberUniqueName="[Range].[Learning_Center_Clean].[All]" allUniqueName="[Range].[Learning_Center_Clean].[All]" dimensionUniqueName="[Range]" displayFolder="" count="0" memberValueDatatype="130" unbalanced="0"/>
    <cacheHierarchy uniqueName="[Range].[Enrollment_Year]" caption="Enrollment_Year" attribute="1" defaultMemberUniqueName="[Range].[Enrollment_Year].[All]" allUniqueName="[Range].[Enrollment_Year].[All]" dimensionUniqueName="[Range]" displayFolder="" count="0" memberValueDatatype="20" unbalanced="0"/>
    <cacheHierarchy uniqueName="[Range].[Parent_Occupation_Clean]" caption="Parent_Occupation_Clean" attribute="1" defaultMemberUniqueName="[Range].[Parent_Occupation_Clean].[All]" allUniqueName="[Range].[Parent_Occupation_Clean].[All]" dimensionUniqueName="[Range]" displayFolder="" count="0" memberValueDatatype="130" unbalanced="0"/>
    <cacheHierarchy uniqueName="[Range].[Age_Group_Calc]" caption="Age_Group_Calc" attribute="1" defaultMemberUniqueName="[Range].[Age_Group_Calc].[All]" allUniqueName="[Range].[Age_Group_Calc].[All]" dimensionUniqueName="[Range]" displayFolder="" count="0" memberValueDatatype="130" unbalanced="0"/>
    <cacheHierarchy uniqueName="[Range].[Age_Category_Calc]" caption="Age_Category_Calc" attribute="1" defaultMemberUniqueName="[Range].[Age_Category_Calc].[All]" allUniqueName="[Range].[Age_Category_Calc].[All]" dimensionUniqueName="[Range]" displayFolder="" count="0" memberValueDatatype="130" unbalanced="0"/>
    <cacheHierarchy uniqueName="[Range].[Learner_Category_Clean]" caption="Learner_Category_Clean" attribute="1" defaultMemberUniqueName="[Range].[Learner_Category_Clean].[All]" allUniqueName="[Range].[Learner_Category_Clean].[All]" dimensionUniqueName="[Range]" displayFolder="" count="2" memberValueDatatype="130" unbalanced="0">
      <fieldsUsage count="2">
        <fieldUsage x="-1"/>
        <fieldUsage x="2"/>
      </fieldsUsage>
    </cacheHierarchy>
    <cacheHierarchy uniqueName="[Range].[Learning_Mode_Clean]" caption="Learning_Mode_Clean" attribute="1" defaultMemberUniqueName="[Range].[Learning_Mode_Clean].[All]" allUniqueName="[Range].[Learning_Mode_Clean].[All]" dimensionUniqueName="[Range]" displayFolder="" count="2" memberValueDatatype="130" unbalanced="0">
      <fieldsUsage count="2">
        <fieldUsage x="-1"/>
        <fieldUsage x="0"/>
      </fieldsUsage>
    </cacheHierarchy>
    <cacheHierarchy uniqueName="[Range].[Fee_Paid_Clean]" caption="Fee_Paid_Clean" attribute="1" defaultMemberUniqueName="[Range].[Fee_Paid_Clean].[All]" allUniqueName="[Range].[Fee_Paid_Clean].[All]" dimensionUniqueName="[Range]" displayFolder="" count="0" memberValueDatatype="5" unbalanced="0"/>
    <cacheHierarchy uniqueName="[Range].[Fee_Paid_Flag]" caption="Fee_Paid_Flag" attribute="1" defaultMemberUniqueName="[Range].[Fee_Paid_Flag].[All]" allUniqueName="[Range].[Fee_Paid_Flag].[All]" dimensionUniqueName="[Range]" displayFolder="" count="0" memberValueDatatype="130" unbalanced="0"/>
    <cacheHierarchy uniqueName="[Range].[Avg_Monthly_Study_Hours]" caption="Avg_Monthly_Study_Hours" attribute="1" defaultMemberUniqueName="[Range].[Avg_Monthly_Study_Hours].[All]" allUniqueName="[Range].[Avg_Monthly_Study_Hours].[All]" dimensionUniqueName="[Range]" displayFolder="" count="0" memberValueDatatype="5" unbalanced="0"/>
    <cacheHierarchy uniqueName="[Range].[Fee_Outstanding]" caption="Fee_Outstanding" attribute="1" defaultMemberUniqueName="[Range].[Fee_Outstanding].[All]" allUniqueName="[Range].[Fee_Outstanding].[All]" dimensionUniqueName="[Range]" displayFolder="" count="0" memberValueDatatype="5" unbalanced="0"/>
    <cacheHierarchy uniqueName="[Range].[Subscription_Status_Clean]" caption="Subscription_Status_Clean" attribute="1" defaultMemberUniqueName="[Range].[Subscription_Status_Clean].[All]" allUniqueName="[Range].[Subscription_Status_Clean].[All]" dimensionUniqueName="[Range]" displayFolder="" count="0" memberValueDatatype="130" unbalanced="0"/>
    <cacheHierarchy uniqueName="[Range].[Performance_Score_Clean]" caption="Performance_Score_Clean" attribute="1" defaultMemberUniqueName="[Range].[Performance_Score_Clean].[All]" allUniqueName="[Range].[Performance_Score_Clean].[All]" dimensionUniqueName="[Range]" displayFolder="" count="0" memberValueDatatype="130" unbalanced="0"/>
    <cacheHierarchy uniqueName="[Range].[Performance_Score_Flag]" caption="Performance_Score_Flag" attribute="1" defaultMemberUniqueName="[Range].[Performance_Score_Flag].[All]" allUniqueName="[Range].[Performance_Score_Flag].[All]" dimensionUniqueName="[Range]" displayFolder="" count="0" memberValueDatatype="130" unbalanced="0"/>
    <cacheHierarchy uniqueName="[Range].[Sessions_Attended]" caption="Sessions_Attended" attribute="1" defaultMemberUniqueName="[Range].[Sessions_Attended].[All]" allUniqueName="[Range].[Sessions_Attended].[All]" dimensionUniqueName="[Range]" displayFolder="" count="0" memberValueDatatype="20" unbalanced="0"/>
    <cacheHierarchy uniqueName="[Range].[App_Usage_Clean]" caption="App_Usage_Clean" attribute="1" defaultMemberUniqueName="[Range].[App_Usage_Clean].[All]" allUniqueName="[Range].[App_Usage_Clean].[All]" dimensionUniqueName="[Range]" displayFolder="" count="0" memberValueDatatype="130" unbalanced="0"/>
    <cacheHierarchy uniqueName="[Range].[Web_Usage_Clean]" caption="Web_Usage_Clean" attribute="1" defaultMemberUniqueName="[Range].[Web_Usage_Clean].[All]" allUniqueName="[Range].[Web_Usage_Clean].[All]" dimensionUniqueName="[Range]" displayFolder="" count="0" memberValueDatatype="130" unbalanced="0"/>
    <cacheHierarchy uniqueName="[Range].[Satisfaction_Score]" caption="Satisfaction_Score" attribute="1" defaultMemberUniqueName="[Range].[Satisfaction_Score].[All]" allUniqueName="[Range].[Satisfaction_Score].[All]" dimensionUniqueName="[Range]" displayFolder="" count="0" memberValueDatatype="20" unbalanced="0"/>
    <cacheHierarchy uniqueName="[Range].[Learning_Tenure_Years]" caption="Learning_Tenure_Years" attribute="1" defaultMemberUniqueName="[Range].[Learning_Tenure_Years].[All]" allUniqueName="[Range].[Learning_Tenure_Years].[All]" dimensionUniqueName="[Range]" displayFolder="" count="0" memberValueDatatype="5" unbalanced="0"/>
    <cacheHierarchy uniqueName="[Range].[Duplicate_Flag]" caption="Duplicate_Flag" attribute="1" defaultMemberUniqueName="[Range].[Duplicate_Flag].[All]" allUniqueName="[Range].[Duplicate_Flag].[All]" dimensionUniqueName="[Range]" displayFolder="" count="0" memberValueDatatype="130" unbalanced="0"/>
    <cacheHierarchy uniqueName="[Range].[Row_Quality_Flag]" caption="Row_Quality_Flag" attribute="1" defaultMemberUniqueName="[Range].[Row_Quality_Flag].[All]" allUniqueName="[Range].[Row_Quality_Fla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ee_Paid_Clean]" caption="Sum of Fee_Paid_Clean" measure="1" displayFolder="" measureGroup="Range" count="0" hidden="1">
      <extLst>
        <ext xmlns:x15="http://schemas.microsoft.com/office/spreadsheetml/2010/11/main" uri="{B97F6D7D-B522-45F9-BDA1-12C45D357490}">
          <x15:cacheHierarchy aggregatedColumn="15"/>
        </ext>
      </extLst>
    </cacheHierarchy>
    <cacheHierarchy uniqueName="[Measures].[Sum of Fee_Outstanding]" caption="Sum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Performance_Score_Clean]" caption="Count of Performance_Score_Clean" measure="1" displayFolder="" measureGroup="Range" count="0" hidden="1">
      <extLst>
        <ext xmlns:x15="http://schemas.microsoft.com/office/spreadsheetml/2010/11/main" uri="{B97F6D7D-B522-45F9-BDA1-12C45D357490}">
          <x15:cacheHierarchy aggregatedColumn="20"/>
        </ext>
      </extLst>
    </cacheHierarchy>
    <cacheHierarchy uniqueName="[Measures].[Average of Fee_Outstanding]" caption="Average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Subscription_Status_Clean]" caption="Count of Subscription_Status_Clean" measure="1" displayFolder="" measureGroup="Range" count="0" hidden="1">
      <extLst>
        <ext xmlns:x15="http://schemas.microsoft.com/office/spreadsheetml/2010/11/main" uri="{B97F6D7D-B522-45F9-BDA1-12C45D357490}">
          <x15:cacheHierarchy aggregatedColumn="19"/>
        </ext>
      </extLst>
    </cacheHierarchy>
    <cacheHierarchy uniqueName="[Measures].[Sum of Avg_Monthly_Study_Hours]" caption="Sum of Avg_Monthly_Study_Hours" measure="1" displayFolder="" measureGroup="Range" count="0" hidden="1">
      <extLst>
        <ext xmlns:x15="http://schemas.microsoft.com/office/spreadsheetml/2010/11/main" uri="{B97F6D7D-B522-45F9-BDA1-12C45D357490}">
          <x15:cacheHierarchy aggregatedColumn="17"/>
        </ext>
      </extLst>
    </cacheHierarchy>
    <cacheHierarchy uniqueName="[Measures].[Count of Learning_Mode_Clean]" caption="Count of Learning_Mode_Clean"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1.439693981483" backgroundQuery="1" createdVersion="8" refreshedVersion="8" minRefreshableVersion="3" recordCount="0" supportSubquery="1" supportAdvancedDrill="1" xr:uid="{1D79E7E5-AB8A-4811-BB7C-4D0A8DCEBB8B}">
  <cacheSource type="external" connectionId="1"/>
  <cacheFields count="4">
    <cacheField name="[Range].[Learning_Mode_Clean].[Learning_Mode_Clean]" caption="Learning_Mode_Clean" numFmtId="0" hierarchy="14" level="1">
      <sharedItems containsSemiMixedTypes="0" containsNonDate="0" containsString="0"/>
    </cacheField>
    <cacheField name="[Range].[Course_Type_Clean].[Course_Type_Clean]" caption="Course_Type_Clean" numFmtId="0" hierarchy="7" level="1">
      <sharedItems count="8">
        <s v="Coding"/>
        <s v="English"/>
        <s v="Jee Prep"/>
        <s v="Mathematics"/>
        <s v="Neet Prep"/>
        <s v="Robotics"/>
        <s v="Science"/>
        <s v="Spoken English"/>
      </sharedItems>
    </cacheField>
    <cacheField name="[Measures].[Count of Performance_Score_Clean]" caption="Count of Performance_Score_Clean" numFmtId="0" hierarchy="34" level="32767"/>
    <cacheField name="[Range].[State_Clean].[State_Clean]" caption="State_Clean" numFmtId="0" hierarchy="6" level="1">
      <sharedItems containsSemiMixedTypes="0" containsNonDate="0" containsString="0"/>
    </cacheField>
  </cacheFields>
  <cacheHierarchies count="39">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Age_Clean]" caption="Age_Clean" attribute="1" defaultMemberUniqueName="[Range].[Age_Clean].[All]" allUniqueName="[Range].[Age_Clean].[All]" dimensionUniqueName="[Range]" displayFolder="" count="0" memberValueDatatype="20" unbalanced="0"/>
    <cacheHierarchy uniqueName="[Range].[Age_Flag]" caption="Age_Flag" attribute="1" defaultMemberUniqueName="[Range].[Age_Flag].[All]" allUniqueName="[Range].[Age_Flag].[All]" dimensionUniqueName="[Range]" displayFolder="" count="0" memberValueDatatype="130" unbalanced="0"/>
    <cacheHierarchy uniqueName="[Range].[Gender_Clean]" caption="Gender_Clean" attribute="1" defaultMemberUniqueName="[Range].[Gender_Clean].[All]" allUniqueName="[Range].[Gender_Clean].[All]" dimensionUniqueName="[Range]" displayFolder="" count="0" memberValueDatatype="130" unbalanced="0"/>
    <cacheHierarchy uniqueName="[Range].[City_Clean]" caption="City_Clean" attribute="1" defaultMemberUniqueName="[Range].[City_Clean].[All]" allUniqueName="[Range].[City_Clean].[All]" dimensionUniqueName="[Range]" displayFolder="" count="0" memberValueDatatype="130" unbalanced="0"/>
    <cacheHierarchy uniqueName="[Range].[State_Clean]" caption="State_Clean" attribute="1" defaultMemberUniqueName="[Range].[State_Clean].[All]" allUniqueName="[Range].[State_Clean].[All]" dimensionUniqueName="[Range]" displayFolder="" count="2" memberValueDatatype="130" unbalanced="0">
      <fieldsUsage count="2">
        <fieldUsage x="-1"/>
        <fieldUsage x="3"/>
      </fieldsUsage>
    </cacheHierarchy>
    <cacheHierarchy uniqueName="[Range].[Course_Type_Clean]" caption="Course_Type_Clean" attribute="1" defaultMemberUniqueName="[Range].[Course_Type_Clean].[All]" allUniqueName="[Range].[Course_Type_Clean].[All]" dimensionUniqueName="[Range]" displayFolder="" count="2" memberValueDatatype="130" unbalanced="0">
      <fieldsUsage count="2">
        <fieldUsage x="-1"/>
        <fieldUsage x="1"/>
      </fieldsUsage>
    </cacheHierarchy>
    <cacheHierarchy uniqueName="[Range].[Learning_Center_Clean]" caption="Learning_Center_Clean" attribute="1" defaultMemberUniqueName="[Range].[Learning_Center_Clean].[All]" allUniqueName="[Range].[Learning_Center_Clean].[All]" dimensionUniqueName="[Range]" displayFolder="" count="0" memberValueDatatype="130" unbalanced="0"/>
    <cacheHierarchy uniqueName="[Range].[Enrollment_Year]" caption="Enrollment_Year" attribute="1" defaultMemberUniqueName="[Range].[Enrollment_Year].[All]" allUniqueName="[Range].[Enrollment_Year].[All]" dimensionUniqueName="[Range]" displayFolder="" count="0" memberValueDatatype="20" unbalanced="0"/>
    <cacheHierarchy uniqueName="[Range].[Parent_Occupation_Clean]" caption="Parent_Occupation_Clean" attribute="1" defaultMemberUniqueName="[Range].[Parent_Occupation_Clean].[All]" allUniqueName="[Range].[Parent_Occupation_Clean].[All]" dimensionUniqueName="[Range]" displayFolder="" count="0" memberValueDatatype="130" unbalanced="0"/>
    <cacheHierarchy uniqueName="[Range].[Age_Group_Calc]" caption="Age_Group_Calc" attribute="1" defaultMemberUniqueName="[Range].[Age_Group_Calc].[All]" allUniqueName="[Range].[Age_Group_Calc].[All]" dimensionUniqueName="[Range]" displayFolder="" count="0" memberValueDatatype="130" unbalanced="0"/>
    <cacheHierarchy uniqueName="[Range].[Age_Category_Calc]" caption="Age_Category_Calc" attribute="1" defaultMemberUniqueName="[Range].[Age_Category_Calc].[All]" allUniqueName="[Range].[Age_Category_Calc].[All]" dimensionUniqueName="[Range]" displayFolder="" count="0" memberValueDatatype="130" unbalanced="0"/>
    <cacheHierarchy uniqueName="[Range].[Learner_Category_Clean]" caption="Learner_Category_Clean" attribute="1" defaultMemberUniqueName="[Range].[Learner_Category_Clean].[All]" allUniqueName="[Range].[Learner_Category_Clean].[All]" dimensionUniqueName="[Range]" displayFolder="" count="0" memberValueDatatype="130" unbalanced="0"/>
    <cacheHierarchy uniqueName="[Range].[Learning_Mode_Clean]" caption="Learning_Mode_Clean" attribute="1" defaultMemberUniqueName="[Range].[Learning_Mode_Clean].[All]" allUniqueName="[Range].[Learning_Mode_Clean].[All]" dimensionUniqueName="[Range]" displayFolder="" count="2" memberValueDatatype="130" unbalanced="0">
      <fieldsUsage count="2">
        <fieldUsage x="-1"/>
        <fieldUsage x="0"/>
      </fieldsUsage>
    </cacheHierarchy>
    <cacheHierarchy uniqueName="[Range].[Fee_Paid_Clean]" caption="Fee_Paid_Clean" attribute="1" defaultMemberUniqueName="[Range].[Fee_Paid_Clean].[All]" allUniqueName="[Range].[Fee_Paid_Clean].[All]" dimensionUniqueName="[Range]" displayFolder="" count="0" memberValueDatatype="5" unbalanced="0"/>
    <cacheHierarchy uniqueName="[Range].[Fee_Paid_Flag]" caption="Fee_Paid_Flag" attribute="1" defaultMemberUniqueName="[Range].[Fee_Paid_Flag].[All]" allUniqueName="[Range].[Fee_Paid_Flag].[All]" dimensionUniqueName="[Range]" displayFolder="" count="0" memberValueDatatype="130" unbalanced="0"/>
    <cacheHierarchy uniqueName="[Range].[Avg_Monthly_Study_Hours]" caption="Avg_Monthly_Study_Hours" attribute="1" defaultMemberUniqueName="[Range].[Avg_Monthly_Study_Hours].[All]" allUniqueName="[Range].[Avg_Monthly_Study_Hours].[All]" dimensionUniqueName="[Range]" displayFolder="" count="0" memberValueDatatype="5" unbalanced="0"/>
    <cacheHierarchy uniqueName="[Range].[Fee_Outstanding]" caption="Fee_Outstanding" attribute="1" defaultMemberUniqueName="[Range].[Fee_Outstanding].[All]" allUniqueName="[Range].[Fee_Outstanding].[All]" dimensionUniqueName="[Range]" displayFolder="" count="0" memberValueDatatype="5" unbalanced="0"/>
    <cacheHierarchy uniqueName="[Range].[Subscription_Status_Clean]" caption="Subscription_Status_Clean" attribute="1" defaultMemberUniqueName="[Range].[Subscription_Status_Clean].[All]" allUniqueName="[Range].[Subscription_Status_Clean].[All]" dimensionUniqueName="[Range]" displayFolder="" count="0" memberValueDatatype="130" unbalanced="0"/>
    <cacheHierarchy uniqueName="[Range].[Performance_Score_Clean]" caption="Performance_Score_Clean" attribute="1" defaultMemberUniqueName="[Range].[Performance_Score_Clean].[All]" allUniqueName="[Range].[Performance_Score_Clean].[All]" dimensionUniqueName="[Range]" displayFolder="" count="0" memberValueDatatype="130" unbalanced="0"/>
    <cacheHierarchy uniqueName="[Range].[Performance_Score_Flag]" caption="Performance_Score_Flag" attribute="1" defaultMemberUniqueName="[Range].[Performance_Score_Flag].[All]" allUniqueName="[Range].[Performance_Score_Flag].[All]" dimensionUniqueName="[Range]" displayFolder="" count="0" memberValueDatatype="130" unbalanced="0"/>
    <cacheHierarchy uniqueName="[Range].[Sessions_Attended]" caption="Sessions_Attended" attribute="1" defaultMemberUniqueName="[Range].[Sessions_Attended].[All]" allUniqueName="[Range].[Sessions_Attended].[All]" dimensionUniqueName="[Range]" displayFolder="" count="0" memberValueDatatype="20" unbalanced="0"/>
    <cacheHierarchy uniqueName="[Range].[App_Usage_Clean]" caption="App_Usage_Clean" attribute="1" defaultMemberUniqueName="[Range].[App_Usage_Clean].[All]" allUniqueName="[Range].[App_Usage_Clean].[All]" dimensionUniqueName="[Range]" displayFolder="" count="0" memberValueDatatype="130" unbalanced="0"/>
    <cacheHierarchy uniqueName="[Range].[Web_Usage_Clean]" caption="Web_Usage_Clean" attribute="1" defaultMemberUniqueName="[Range].[Web_Usage_Clean].[All]" allUniqueName="[Range].[Web_Usage_Clean].[All]" dimensionUniqueName="[Range]" displayFolder="" count="0" memberValueDatatype="130" unbalanced="0"/>
    <cacheHierarchy uniqueName="[Range].[Satisfaction_Score]" caption="Satisfaction_Score" attribute="1" defaultMemberUniqueName="[Range].[Satisfaction_Score].[All]" allUniqueName="[Range].[Satisfaction_Score].[All]" dimensionUniqueName="[Range]" displayFolder="" count="0" memberValueDatatype="20" unbalanced="0"/>
    <cacheHierarchy uniqueName="[Range].[Learning_Tenure_Years]" caption="Learning_Tenure_Years" attribute="1" defaultMemberUniqueName="[Range].[Learning_Tenure_Years].[All]" allUniqueName="[Range].[Learning_Tenure_Years].[All]" dimensionUniqueName="[Range]" displayFolder="" count="0" memberValueDatatype="5" unbalanced="0"/>
    <cacheHierarchy uniqueName="[Range].[Duplicate_Flag]" caption="Duplicate_Flag" attribute="1" defaultMemberUniqueName="[Range].[Duplicate_Flag].[All]" allUniqueName="[Range].[Duplicate_Flag].[All]" dimensionUniqueName="[Range]" displayFolder="" count="0" memberValueDatatype="130" unbalanced="0"/>
    <cacheHierarchy uniqueName="[Range].[Row_Quality_Flag]" caption="Row_Quality_Flag" attribute="1" defaultMemberUniqueName="[Range].[Row_Quality_Flag].[All]" allUniqueName="[Range].[Row_Quality_Fla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Range" count="0" hidden="1">
      <extLst>
        <ext xmlns:x15="http://schemas.microsoft.com/office/spreadsheetml/2010/11/main" uri="{B97F6D7D-B522-45F9-BDA1-12C45D357490}">
          <x15:cacheHierarchy aggregatedColumn="0"/>
        </ext>
      </extLst>
    </cacheHierarchy>
    <cacheHierarchy uniqueName="[Measures].[Sum of Fee_Paid_Clean]" caption="Sum of Fee_Paid_Clean" measure="1" displayFolder="" measureGroup="Range" count="0" hidden="1">
      <extLst>
        <ext xmlns:x15="http://schemas.microsoft.com/office/spreadsheetml/2010/11/main" uri="{B97F6D7D-B522-45F9-BDA1-12C45D357490}">
          <x15:cacheHierarchy aggregatedColumn="15"/>
        </ext>
      </extLst>
    </cacheHierarchy>
    <cacheHierarchy uniqueName="[Measures].[Sum of Fee_Outstanding]" caption="Sum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Performance_Score_Clean]" caption="Count of Performance_Score_Clean" measure="1" displayFolder="" measureGroup="Range" count="0" oneField="1" hidden="1">
      <fieldsUsage count="1">
        <fieldUsage x="2"/>
      </fieldsUsage>
      <extLst>
        <ext xmlns:x15="http://schemas.microsoft.com/office/spreadsheetml/2010/11/main" uri="{B97F6D7D-B522-45F9-BDA1-12C45D357490}">
          <x15:cacheHierarchy aggregatedColumn="20"/>
        </ext>
      </extLst>
    </cacheHierarchy>
    <cacheHierarchy uniqueName="[Measures].[Average of Fee_Outstanding]" caption="Average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Subscription_Status_Clean]" caption="Count of Subscription_Status_Clean" measure="1" displayFolder="" measureGroup="Range" count="0" hidden="1">
      <extLst>
        <ext xmlns:x15="http://schemas.microsoft.com/office/spreadsheetml/2010/11/main" uri="{B97F6D7D-B522-45F9-BDA1-12C45D357490}">
          <x15:cacheHierarchy aggregatedColumn="19"/>
        </ext>
      </extLst>
    </cacheHierarchy>
    <cacheHierarchy uniqueName="[Measures].[Sum of Avg_Monthly_Study_Hours]" caption="Sum of Avg_Monthly_Study_Hours" measure="1" displayFolder="" measureGroup="Range" count="0" hidden="1">
      <extLst>
        <ext xmlns:x15="http://schemas.microsoft.com/office/spreadsheetml/2010/11/main" uri="{B97F6D7D-B522-45F9-BDA1-12C45D357490}">
          <x15:cacheHierarchy aggregatedColumn="17"/>
        </ext>
      </extLst>
    </cacheHierarchy>
    <cacheHierarchy uniqueName="[Measures].[Count of Learning_Mode_Clean]" caption="Count of Learning_Mode_Clean"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1.439694328707" backgroundQuery="1" createdVersion="8" refreshedVersion="8" minRefreshableVersion="3" recordCount="0" supportSubquery="1" supportAdvancedDrill="1" xr:uid="{7D4CC4E1-BB6C-4B23-B01F-D0B0C79174AB}">
  <cacheSource type="external" connectionId="1"/>
  <cacheFields count="4">
    <cacheField name="[Range].[Learning_Mode_Clean].[Learning_Mode_Clean]" caption="Learning_Mode_Clean" numFmtId="0" hierarchy="14" level="1">
      <sharedItems containsSemiMixedTypes="0" containsNonDate="0" containsString="0"/>
    </cacheField>
    <cacheField name="[Measures].[Sum of Fee_Paid_Clean]" caption="Sum of Fee_Paid_Clean" numFmtId="0" hierarchy="32" level="32767"/>
    <cacheField name="[Range].[Course_Type_Clean].[Course_Type_Clean]" caption="Course_Type_Clean" numFmtId="0" hierarchy="7" level="1">
      <sharedItems count="8">
        <s v="Coding"/>
        <s v="English"/>
        <s v="Jee Prep"/>
        <s v="Mathematics"/>
        <s v="Neet Prep"/>
        <s v="Robotics"/>
        <s v="Science"/>
        <s v="Spoken English"/>
      </sharedItems>
    </cacheField>
    <cacheField name="[Range].[State_Clean].[State_Clean]" caption="State_Clean" numFmtId="0" hierarchy="6" level="1">
      <sharedItems containsSemiMixedTypes="0" containsNonDate="0" containsString="0"/>
    </cacheField>
  </cacheFields>
  <cacheHierarchies count="39">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Age_Clean]" caption="Age_Clean" attribute="1" defaultMemberUniqueName="[Range].[Age_Clean].[All]" allUniqueName="[Range].[Age_Clean].[All]" dimensionUniqueName="[Range]" displayFolder="" count="0" memberValueDatatype="20" unbalanced="0"/>
    <cacheHierarchy uniqueName="[Range].[Age_Flag]" caption="Age_Flag" attribute="1" defaultMemberUniqueName="[Range].[Age_Flag].[All]" allUniqueName="[Range].[Age_Flag].[All]" dimensionUniqueName="[Range]" displayFolder="" count="0" memberValueDatatype="130" unbalanced="0"/>
    <cacheHierarchy uniqueName="[Range].[Gender_Clean]" caption="Gender_Clean" attribute="1" defaultMemberUniqueName="[Range].[Gender_Clean].[All]" allUniqueName="[Range].[Gender_Clean].[All]" dimensionUniqueName="[Range]" displayFolder="" count="0" memberValueDatatype="130" unbalanced="0"/>
    <cacheHierarchy uniqueName="[Range].[City_Clean]" caption="City_Clean" attribute="1" defaultMemberUniqueName="[Range].[City_Clean].[All]" allUniqueName="[Range].[City_Clean].[All]" dimensionUniqueName="[Range]" displayFolder="" count="0" memberValueDatatype="130" unbalanced="0"/>
    <cacheHierarchy uniqueName="[Range].[State_Clean]" caption="State_Clean" attribute="1" defaultMemberUniqueName="[Range].[State_Clean].[All]" allUniqueName="[Range].[State_Clean].[All]" dimensionUniqueName="[Range]" displayFolder="" count="2" memberValueDatatype="130" unbalanced="0">
      <fieldsUsage count="2">
        <fieldUsage x="-1"/>
        <fieldUsage x="3"/>
      </fieldsUsage>
    </cacheHierarchy>
    <cacheHierarchy uniqueName="[Range].[Course_Type_Clean]" caption="Course_Type_Clean" attribute="1" defaultMemberUniqueName="[Range].[Course_Type_Clean].[All]" allUniqueName="[Range].[Course_Type_Clean].[All]" dimensionUniqueName="[Range]" displayFolder="" count="2" memberValueDatatype="130" unbalanced="0">
      <fieldsUsage count="2">
        <fieldUsage x="-1"/>
        <fieldUsage x="2"/>
      </fieldsUsage>
    </cacheHierarchy>
    <cacheHierarchy uniqueName="[Range].[Learning_Center_Clean]" caption="Learning_Center_Clean" attribute="1" defaultMemberUniqueName="[Range].[Learning_Center_Clean].[All]" allUniqueName="[Range].[Learning_Center_Clean].[All]" dimensionUniqueName="[Range]" displayFolder="" count="0" memberValueDatatype="130" unbalanced="0"/>
    <cacheHierarchy uniqueName="[Range].[Enrollment_Year]" caption="Enrollment_Year" attribute="1" defaultMemberUniqueName="[Range].[Enrollment_Year].[All]" allUniqueName="[Range].[Enrollment_Year].[All]" dimensionUniqueName="[Range]" displayFolder="" count="0" memberValueDatatype="20" unbalanced="0"/>
    <cacheHierarchy uniqueName="[Range].[Parent_Occupation_Clean]" caption="Parent_Occupation_Clean" attribute="1" defaultMemberUniqueName="[Range].[Parent_Occupation_Clean].[All]" allUniqueName="[Range].[Parent_Occupation_Clean].[All]" dimensionUniqueName="[Range]" displayFolder="" count="0" memberValueDatatype="130" unbalanced="0"/>
    <cacheHierarchy uniqueName="[Range].[Age_Group_Calc]" caption="Age_Group_Calc" attribute="1" defaultMemberUniqueName="[Range].[Age_Group_Calc].[All]" allUniqueName="[Range].[Age_Group_Calc].[All]" dimensionUniqueName="[Range]" displayFolder="" count="0" memberValueDatatype="130" unbalanced="0"/>
    <cacheHierarchy uniqueName="[Range].[Age_Category_Calc]" caption="Age_Category_Calc" attribute="1" defaultMemberUniqueName="[Range].[Age_Category_Calc].[All]" allUniqueName="[Range].[Age_Category_Calc].[All]" dimensionUniqueName="[Range]" displayFolder="" count="0" memberValueDatatype="130" unbalanced="0"/>
    <cacheHierarchy uniqueName="[Range].[Learner_Category_Clean]" caption="Learner_Category_Clean" attribute="1" defaultMemberUniqueName="[Range].[Learner_Category_Clean].[All]" allUniqueName="[Range].[Learner_Category_Clean].[All]" dimensionUniqueName="[Range]" displayFolder="" count="0" memberValueDatatype="130" unbalanced="0"/>
    <cacheHierarchy uniqueName="[Range].[Learning_Mode_Clean]" caption="Learning_Mode_Clean" attribute="1" defaultMemberUniqueName="[Range].[Learning_Mode_Clean].[All]" allUniqueName="[Range].[Learning_Mode_Clean].[All]" dimensionUniqueName="[Range]" displayFolder="" count="2" memberValueDatatype="130" unbalanced="0">
      <fieldsUsage count="2">
        <fieldUsage x="-1"/>
        <fieldUsage x="0"/>
      </fieldsUsage>
    </cacheHierarchy>
    <cacheHierarchy uniqueName="[Range].[Fee_Paid_Clean]" caption="Fee_Paid_Clean" attribute="1" defaultMemberUniqueName="[Range].[Fee_Paid_Clean].[All]" allUniqueName="[Range].[Fee_Paid_Clean].[All]" dimensionUniqueName="[Range]" displayFolder="" count="2" memberValueDatatype="5" unbalanced="0"/>
    <cacheHierarchy uniqueName="[Range].[Fee_Paid_Flag]" caption="Fee_Paid_Flag" attribute="1" defaultMemberUniqueName="[Range].[Fee_Paid_Flag].[All]" allUniqueName="[Range].[Fee_Paid_Flag].[All]" dimensionUniqueName="[Range]" displayFolder="" count="0" memberValueDatatype="130" unbalanced="0"/>
    <cacheHierarchy uniqueName="[Range].[Avg_Monthly_Study_Hours]" caption="Avg_Monthly_Study_Hours" attribute="1" defaultMemberUniqueName="[Range].[Avg_Monthly_Study_Hours].[All]" allUniqueName="[Range].[Avg_Monthly_Study_Hours].[All]" dimensionUniqueName="[Range]" displayFolder="" count="0" memberValueDatatype="5" unbalanced="0"/>
    <cacheHierarchy uniqueName="[Range].[Fee_Outstanding]" caption="Fee_Outstanding" attribute="1" defaultMemberUniqueName="[Range].[Fee_Outstanding].[All]" allUniqueName="[Range].[Fee_Outstanding].[All]" dimensionUniqueName="[Range]" displayFolder="" count="0" memberValueDatatype="5" unbalanced="0"/>
    <cacheHierarchy uniqueName="[Range].[Subscription_Status_Clean]" caption="Subscription_Status_Clean" attribute="1" defaultMemberUniqueName="[Range].[Subscription_Status_Clean].[All]" allUniqueName="[Range].[Subscription_Status_Clean].[All]" dimensionUniqueName="[Range]" displayFolder="" count="0" memberValueDatatype="130" unbalanced="0"/>
    <cacheHierarchy uniqueName="[Range].[Performance_Score_Clean]" caption="Performance_Score_Clean" attribute="1" defaultMemberUniqueName="[Range].[Performance_Score_Clean].[All]" allUniqueName="[Range].[Performance_Score_Clean].[All]" dimensionUniqueName="[Range]" displayFolder="" count="0" memberValueDatatype="130" unbalanced="0"/>
    <cacheHierarchy uniqueName="[Range].[Performance_Score_Flag]" caption="Performance_Score_Flag" attribute="1" defaultMemberUniqueName="[Range].[Performance_Score_Flag].[All]" allUniqueName="[Range].[Performance_Score_Flag].[All]" dimensionUniqueName="[Range]" displayFolder="" count="0" memberValueDatatype="130" unbalanced="0"/>
    <cacheHierarchy uniqueName="[Range].[Sessions_Attended]" caption="Sessions_Attended" attribute="1" defaultMemberUniqueName="[Range].[Sessions_Attended].[All]" allUniqueName="[Range].[Sessions_Attended].[All]" dimensionUniqueName="[Range]" displayFolder="" count="0" memberValueDatatype="20" unbalanced="0"/>
    <cacheHierarchy uniqueName="[Range].[App_Usage_Clean]" caption="App_Usage_Clean" attribute="1" defaultMemberUniqueName="[Range].[App_Usage_Clean].[All]" allUniqueName="[Range].[App_Usage_Clean].[All]" dimensionUniqueName="[Range]" displayFolder="" count="0" memberValueDatatype="130" unbalanced="0"/>
    <cacheHierarchy uniqueName="[Range].[Web_Usage_Clean]" caption="Web_Usage_Clean" attribute="1" defaultMemberUniqueName="[Range].[Web_Usage_Clean].[All]" allUniqueName="[Range].[Web_Usage_Clean].[All]" dimensionUniqueName="[Range]" displayFolder="" count="0" memberValueDatatype="130" unbalanced="0"/>
    <cacheHierarchy uniqueName="[Range].[Satisfaction_Score]" caption="Satisfaction_Score" attribute="1" defaultMemberUniqueName="[Range].[Satisfaction_Score].[All]" allUniqueName="[Range].[Satisfaction_Score].[All]" dimensionUniqueName="[Range]" displayFolder="" count="0" memberValueDatatype="20" unbalanced="0"/>
    <cacheHierarchy uniqueName="[Range].[Learning_Tenure_Years]" caption="Learning_Tenure_Years" attribute="1" defaultMemberUniqueName="[Range].[Learning_Tenure_Years].[All]" allUniqueName="[Range].[Learning_Tenure_Years].[All]" dimensionUniqueName="[Range]" displayFolder="" count="0" memberValueDatatype="5" unbalanced="0"/>
    <cacheHierarchy uniqueName="[Range].[Duplicate_Flag]" caption="Duplicate_Flag" attribute="1" defaultMemberUniqueName="[Range].[Duplicate_Flag].[All]" allUniqueName="[Range].[Duplicate_Flag].[All]" dimensionUniqueName="[Range]" displayFolder="" count="0" memberValueDatatype="130" unbalanced="0"/>
    <cacheHierarchy uniqueName="[Range].[Row_Quality_Flag]" caption="Row_Quality_Flag" attribute="1" defaultMemberUniqueName="[Range].[Row_Quality_Flag].[All]" allUniqueName="[Range].[Row_Quality_Fla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Range" count="0" hidden="1">
      <extLst>
        <ext xmlns:x15="http://schemas.microsoft.com/office/spreadsheetml/2010/11/main" uri="{B97F6D7D-B522-45F9-BDA1-12C45D357490}">
          <x15:cacheHierarchy aggregatedColumn="0"/>
        </ext>
      </extLst>
    </cacheHierarchy>
    <cacheHierarchy uniqueName="[Measures].[Sum of Fee_Paid_Clean]" caption="Sum of Fee_Paid_Clean"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Fee_Outstanding]" caption="Sum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Performance_Score_Clean]" caption="Count of Performance_Score_Clean" measure="1" displayFolder="" measureGroup="Range" count="0" hidden="1">
      <extLst>
        <ext xmlns:x15="http://schemas.microsoft.com/office/spreadsheetml/2010/11/main" uri="{B97F6D7D-B522-45F9-BDA1-12C45D357490}">
          <x15:cacheHierarchy aggregatedColumn="20"/>
        </ext>
      </extLst>
    </cacheHierarchy>
    <cacheHierarchy uniqueName="[Measures].[Average of Fee_Outstanding]" caption="Average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Subscription_Status_Clean]" caption="Count of Subscription_Status_Clean" measure="1" displayFolder="" measureGroup="Range" count="0" hidden="1">
      <extLst>
        <ext xmlns:x15="http://schemas.microsoft.com/office/spreadsheetml/2010/11/main" uri="{B97F6D7D-B522-45F9-BDA1-12C45D357490}">
          <x15:cacheHierarchy aggregatedColumn="19"/>
        </ext>
      </extLst>
    </cacheHierarchy>
    <cacheHierarchy uniqueName="[Measures].[Sum of Avg_Monthly_Study_Hours]" caption="Sum of Avg_Monthly_Study_Hours" measure="1" displayFolder="" measureGroup="Range" count="0" hidden="1">
      <extLst>
        <ext xmlns:x15="http://schemas.microsoft.com/office/spreadsheetml/2010/11/main" uri="{B97F6D7D-B522-45F9-BDA1-12C45D357490}">
          <x15:cacheHierarchy aggregatedColumn="17"/>
        </ext>
      </extLst>
    </cacheHierarchy>
    <cacheHierarchy uniqueName="[Measures].[Count of Learning_Mode_Clean]" caption="Count of Learning_Mode_Clean"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1.439694907407" backgroundQuery="1" createdVersion="8" refreshedVersion="8" minRefreshableVersion="3" recordCount="0" supportSubquery="1" supportAdvancedDrill="1" xr:uid="{28BD1B48-F14A-4D2C-BA7F-D9460F7DD392}">
  <cacheSource type="external" connectionId="1"/>
  <cacheFields count="4">
    <cacheField name="[Range].[Learning_Mode_Clean].[Learning_Mode_Clean]" caption="Learning_Mode_Clean" numFmtId="0" hierarchy="14" level="1">
      <sharedItems count="3">
        <s v="App Only"/>
        <s v="Both App &amp; Web"/>
        <s v="Web Only"/>
      </sharedItems>
    </cacheField>
    <cacheField name="[Measures].[Count of Student_ID]" caption="Count of Student_ID" numFmtId="0" hierarchy="31" level="32767"/>
    <cacheField name="[Range].[State_Clean].[State_Clean]" caption="State_Clean" numFmtId="0" hierarchy="6" level="1">
      <sharedItems count="10">
        <s v="Delhi"/>
        <s v="Gujarat"/>
        <s v="Karnataka"/>
        <s v="Kerala"/>
        <s v="Maharashtra"/>
        <s v="Rajasthan"/>
        <s v="Tamil Nadu"/>
        <s v="Telangana"/>
        <s v="Uttar Pradesh"/>
        <s v="West Bengal"/>
      </sharedItems>
    </cacheField>
    <cacheField name="[Range].[Course_Type_Clean].[Course_Type_Clean]" caption="Course_Type_Clean" numFmtId="0" hierarchy="7" level="1">
      <sharedItems containsSemiMixedTypes="0" containsNonDate="0" containsString="0"/>
    </cacheField>
  </cacheFields>
  <cacheHierarchies count="39">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Age_Clean]" caption="Age_Clean" attribute="1" defaultMemberUniqueName="[Range].[Age_Clean].[All]" allUniqueName="[Range].[Age_Clean].[All]" dimensionUniqueName="[Range]" displayFolder="" count="0" memberValueDatatype="20" unbalanced="0"/>
    <cacheHierarchy uniqueName="[Range].[Age_Flag]" caption="Age_Flag" attribute="1" defaultMemberUniqueName="[Range].[Age_Flag].[All]" allUniqueName="[Range].[Age_Flag].[All]" dimensionUniqueName="[Range]" displayFolder="" count="0" memberValueDatatype="130" unbalanced="0"/>
    <cacheHierarchy uniqueName="[Range].[Gender_Clean]" caption="Gender_Clean" attribute="1" defaultMemberUniqueName="[Range].[Gender_Clean].[All]" allUniqueName="[Range].[Gender_Clean].[All]" dimensionUniqueName="[Range]" displayFolder="" count="0" memberValueDatatype="130" unbalanced="0"/>
    <cacheHierarchy uniqueName="[Range].[City_Clean]" caption="City_Clean" attribute="1" defaultMemberUniqueName="[Range].[City_Clean].[All]" allUniqueName="[Range].[City_Clean].[All]" dimensionUniqueName="[Range]" displayFolder="" count="0" memberValueDatatype="130" unbalanced="0"/>
    <cacheHierarchy uniqueName="[Range].[State_Clean]" caption="State_Clean" attribute="1" defaultMemberUniqueName="[Range].[State_Clean].[All]" allUniqueName="[Range].[State_Clean].[All]" dimensionUniqueName="[Range]" displayFolder="" count="2" memberValueDatatype="130" unbalanced="0">
      <fieldsUsage count="2">
        <fieldUsage x="-1"/>
        <fieldUsage x="2"/>
      </fieldsUsage>
    </cacheHierarchy>
    <cacheHierarchy uniqueName="[Range].[Course_Type_Clean]" caption="Course_Type_Clean" attribute="1" defaultMemberUniqueName="[Range].[Course_Type_Clean].[All]" allUniqueName="[Range].[Course_Type_Clean].[All]" dimensionUniqueName="[Range]" displayFolder="" count="2" memberValueDatatype="130" unbalanced="0">
      <fieldsUsage count="2">
        <fieldUsage x="-1"/>
        <fieldUsage x="3"/>
      </fieldsUsage>
    </cacheHierarchy>
    <cacheHierarchy uniqueName="[Range].[Learning_Center_Clean]" caption="Learning_Center_Clean" attribute="1" defaultMemberUniqueName="[Range].[Learning_Center_Clean].[All]" allUniqueName="[Range].[Learning_Center_Clean].[All]" dimensionUniqueName="[Range]" displayFolder="" count="0" memberValueDatatype="130" unbalanced="0"/>
    <cacheHierarchy uniqueName="[Range].[Enrollment_Year]" caption="Enrollment_Year" attribute="1" defaultMemberUniqueName="[Range].[Enrollment_Year].[All]" allUniqueName="[Range].[Enrollment_Year].[All]" dimensionUniqueName="[Range]" displayFolder="" count="0" memberValueDatatype="20" unbalanced="0"/>
    <cacheHierarchy uniqueName="[Range].[Parent_Occupation_Clean]" caption="Parent_Occupation_Clean" attribute="1" defaultMemberUniqueName="[Range].[Parent_Occupation_Clean].[All]" allUniqueName="[Range].[Parent_Occupation_Clean].[All]" dimensionUniqueName="[Range]" displayFolder="" count="0" memberValueDatatype="130" unbalanced="0"/>
    <cacheHierarchy uniqueName="[Range].[Age_Group_Calc]" caption="Age_Group_Calc" attribute="1" defaultMemberUniqueName="[Range].[Age_Group_Calc].[All]" allUniqueName="[Range].[Age_Group_Calc].[All]" dimensionUniqueName="[Range]" displayFolder="" count="0" memberValueDatatype="130" unbalanced="0"/>
    <cacheHierarchy uniqueName="[Range].[Age_Category_Calc]" caption="Age_Category_Calc" attribute="1" defaultMemberUniqueName="[Range].[Age_Category_Calc].[All]" allUniqueName="[Range].[Age_Category_Calc].[All]" dimensionUniqueName="[Range]" displayFolder="" count="0" memberValueDatatype="130" unbalanced="0"/>
    <cacheHierarchy uniqueName="[Range].[Learner_Category_Clean]" caption="Learner_Category_Clean" attribute="1" defaultMemberUniqueName="[Range].[Learner_Category_Clean].[All]" allUniqueName="[Range].[Learner_Category_Clean].[All]" dimensionUniqueName="[Range]" displayFolder="" count="0" memberValueDatatype="130" unbalanced="0"/>
    <cacheHierarchy uniqueName="[Range].[Learning_Mode_Clean]" caption="Learning_Mode_Clean" attribute="1" defaultMemberUniqueName="[Range].[Learning_Mode_Clean].[All]" allUniqueName="[Range].[Learning_Mode_Clean].[All]" dimensionUniqueName="[Range]" displayFolder="" count="2" memberValueDatatype="130" unbalanced="0">
      <fieldsUsage count="2">
        <fieldUsage x="-1"/>
        <fieldUsage x="0"/>
      </fieldsUsage>
    </cacheHierarchy>
    <cacheHierarchy uniqueName="[Range].[Fee_Paid_Clean]" caption="Fee_Paid_Clean" attribute="1" defaultMemberUniqueName="[Range].[Fee_Paid_Clean].[All]" allUniqueName="[Range].[Fee_Paid_Clean].[All]" dimensionUniqueName="[Range]" displayFolder="" count="0" memberValueDatatype="5" unbalanced="0"/>
    <cacheHierarchy uniqueName="[Range].[Fee_Paid_Flag]" caption="Fee_Paid_Flag" attribute="1" defaultMemberUniqueName="[Range].[Fee_Paid_Flag].[All]" allUniqueName="[Range].[Fee_Paid_Flag].[All]" dimensionUniqueName="[Range]" displayFolder="" count="0" memberValueDatatype="130" unbalanced="0"/>
    <cacheHierarchy uniqueName="[Range].[Avg_Monthly_Study_Hours]" caption="Avg_Monthly_Study_Hours" attribute="1" defaultMemberUniqueName="[Range].[Avg_Monthly_Study_Hours].[All]" allUniqueName="[Range].[Avg_Monthly_Study_Hours].[All]" dimensionUniqueName="[Range]" displayFolder="" count="0" memberValueDatatype="5" unbalanced="0"/>
    <cacheHierarchy uniqueName="[Range].[Fee_Outstanding]" caption="Fee_Outstanding" attribute="1" defaultMemberUniqueName="[Range].[Fee_Outstanding].[All]" allUniqueName="[Range].[Fee_Outstanding].[All]" dimensionUniqueName="[Range]" displayFolder="" count="0" memberValueDatatype="5" unbalanced="0"/>
    <cacheHierarchy uniqueName="[Range].[Subscription_Status_Clean]" caption="Subscription_Status_Clean" attribute="1" defaultMemberUniqueName="[Range].[Subscription_Status_Clean].[All]" allUniqueName="[Range].[Subscription_Status_Clean].[All]" dimensionUniqueName="[Range]" displayFolder="" count="0" memberValueDatatype="130" unbalanced="0"/>
    <cacheHierarchy uniqueName="[Range].[Performance_Score_Clean]" caption="Performance_Score_Clean" attribute="1" defaultMemberUniqueName="[Range].[Performance_Score_Clean].[All]" allUniqueName="[Range].[Performance_Score_Clean].[All]" dimensionUniqueName="[Range]" displayFolder="" count="0" memberValueDatatype="130" unbalanced="0"/>
    <cacheHierarchy uniqueName="[Range].[Performance_Score_Flag]" caption="Performance_Score_Flag" attribute="1" defaultMemberUniqueName="[Range].[Performance_Score_Flag].[All]" allUniqueName="[Range].[Performance_Score_Flag].[All]" dimensionUniqueName="[Range]" displayFolder="" count="0" memberValueDatatype="130" unbalanced="0"/>
    <cacheHierarchy uniqueName="[Range].[Sessions_Attended]" caption="Sessions_Attended" attribute="1" defaultMemberUniqueName="[Range].[Sessions_Attended].[All]" allUniqueName="[Range].[Sessions_Attended].[All]" dimensionUniqueName="[Range]" displayFolder="" count="0" memberValueDatatype="20" unbalanced="0"/>
    <cacheHierarchy uniqueName="[Range].[App_Usage_Clean]" caption="App_Usage_Clean" attribute="1" defaultMemberUniqueName="[Range].[App_Usage_Clean].[All]" allUniqueName="[Range].[App_Usage_Clean].[All]" dimensionUniqueName="[Range]" displayFolder="" count="0" memberValueDatatype="130" unbalanced="0"/>
    <cacheHierarchy uniqueName="[Range].[Web_Usage_Clean]" caption="Web_Usage_Clean" attribute="1" defaultMemberUniqueName="[Range].[Web_Usage_Clean].[All]" allUniqueName="[Range].[Web_Usage_Clean].[All]" dimensionUniqueName="[Range]" displayFolder="" count="0" memberValueDatatype="130" unbalanced="0"/>
    <cacheHierarchy uniqueName="[Range].[Satisfaction_Score]" caption="Satisfaction_Score" attribute="1" defaultMemberUniqueName="[Range].[Satisfaction_Score].[All]" allUniqueName="[Range].[Satisfaction_Score].[All]" dimensionUniqueName="[Range]" displayFolder="" count="0" memberValueDatatype="20" unbalanced="0"/>
    <cacheHierarchy uniqueName="[Range].[Learning_Tenure_Years]" caption="Learning_Tenure_Years" attribute="1" defaultMemberUniqueName="[Range].[Learning_Tenure_Years].[All]" allUniqueName="[Range].[Learning_Tenure_Years].[All]" dimensionUniqueName="[Range]" displayFolder="" count="0" memberValueDatatype="5" unbalanced="0"/>
    <cacheHierarchy uniqueName="[Range].[Duplicate_Flag]" caption="Duplicate_Flag" attribute="1" defaultMemberUniqueName="[Range].[Duplicate_Flag].[All]" allUniqueName="[Range].[Duplicate_Flag].[All]" dimensionUniqueName="[Range]" displayFolder="" count="0" memberValueDatatype="130" unbalanced="0"/>
    <cacheHierarchy uniqueName="[Range].[Row_Quality_Flag]" caption="Row_Quality_Flag" attribute="1" defaultMemberUniqueName="[Range].[Row_Quality_Flag].[All]" allUniqueName="[Range].[Row_Quality_Fla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Fee_Paid_Clean]" caption="Sum of Fee_Paid_Clean" measure="1" displayFolder="" measureGroup="Range" count="0" hidden="1">
      <extLst>
        <ext xmlns:x15="http://schemas.microsoft.com/office/spreadsheetml/2010/11/main" uri="{B97F6D7D-B522-45F9-BDA1-12C45D357490}">
          <x15:cacheHierarchy aggregatedColumn="15"/>
        </ext>
      </extLst>
    </cacheHierarchy>
    <cacheHierarchy uniqueName="[Measures].[Sum of Fee_Outstanding]" caption="Sum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Performance_Score_Clean]" caption="Count of Performance_Score_Clean" measure="1" displayFolder="" measureGroup="Range" count="0" hidden="1">
      <extLst>
        <ext xmlns:x15="http://schemas.microsoft.com/office/spreadsheetml/2010/11/main" uri="{B97F6D7D-B522-45F9-BDA1-12C45D357490}">
          <x15:cacheHierarchy aggregatedColumn="20"/>
        </ext>
      </extLst>
    </cacheHierarchy>
    <cacheHierarchy uniqueName="[Measures].[Average of Fee_Outstanding]" caption="Average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Subscription_Status_Clean]" caption="Count of Subscription_Status_Clean" measure="1" displayFolder="" measureGroup="Range" count="0" hidden="1">
      <extLst>
        <ext xmlns:x15="http://schemas.microsoft.com/office/spreadsheetml/2010/11/main" uri="{B97F6D7D-B522-45F9-BDA1-12C45D357490}">
          <x15:cacheHierarchy aggregatedColumn="19"/>
        </ext>
      </extLst>
    </cacheHierarchy>
    <cacheHierarchy uniqueName="[Measures].[Sum of Avg_Monthly_Study_Hours]" caption="Sum of Avg_Monthly_Study_Hours" measure="1" displayFolder="" measureGroup="Range" count="0" hidden="1">
      <extLst>
        <ext xmlns:x15="http://schemas.microsoft.com/office/spreadsheetml/2010/11/main" uri="{B97F6D7D-B522-45F9-BDA1-12C45D357490}">
          <x15:cacheHierarchy aggregatedColumn="17"/>
        </ext>
      </extLst>
    </cacheHierarchy>
    <cacheHierarchy uniqueName="[Measures].[Count of Learning_Mode_Clean]" caption="Count of Learning_Mode_Clean" measure="1" displayFolder="" measureGroup="Range"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88.566724999997" backgroundQuery="1" createdVersion="3" refreshedVersion="8" minRefreshableVersion="3" recordCount="0" supportSubquery="1" supportAdvancedDrill="1" xr:uid="{0EC4EC8E-77C3-4A63-8A17-5AFB22C32F53}">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Range].[Student_ID]" caption="Student_ID" attribute="1" defaultMemberUniqueName="[Range].[Student_ID].[All]" allUniqueName="[Range].[Student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Age_Clean]" caption="Age_Clean" attribute="1" defaultMemberUniqueName="[Range].[Age_Clean].[All]" allUniqueName="[Range].[Age_Clean].[All]" dimensionUniqueName="[Range]" displayFolder="" count="0" memberValueDatatype="20" unbalanced="0"/>
    <cacheHierarchy uniqueName="[Range].[Age_Flag]" caption="Age_Flag" attribute="1" defaultMemberUniqueName="[Range].[Age_Flag].[All]" allUniqueName="[Range].[Age_Flag].[All]" dimensionUniqueName="[Range]" displayFolder="" count="0" memberValueDatatype="130" unbalanced="0"/>
    <cacheHierarchy uniqueName="[Range].[Gender_Clean]" caption="Gender_Clean" attribute="1" defaultMemberUniqueName="[Range].[Gender_Clean].[All]" allUniqueName="[Range].[Gender_Clean].[All]" dimensionUniqueName="[Range]" displayFolder="" count="0" memberValueDatatype="130" unbalanced="0"/>
    <cacheHierarchy uniqueName="[Range].[City_Clean]" caption="City_Clean" attribute="1" defaultMemberUniqueName="[Range].[City_Clean].[All]" allUniqueName="[Range].[City_Clean].[All]" dimensionUniqueName="[Range]" displayFolder="" count="0" memberValueDatatype="130" unbalanced="0"/>
    <cacheHierarchy uniqueName="[Range].[State_Clean]" caption="State_Clean" attribute="1" defaultMemberUniqueName="[Range].[State_Clean].[All]" allUniqueName="[Range].[State_Clean].[All]" dimensionUniqueName="[Range]" displayFolder="" count="2" memberValueDatatype="130" unbalanced="0"/>
    <cacheHierarchy uniqueName="[Range].[Course_Type_Clean]" caption="Course_Type_Clean" attribute="1" defaultMemberUniqueName="[Range].[Course_Type_Clean].[All]" allUniqueName="[Range].[Course_Type_Clean].[All]" dimensionUniqueName="[Range]" displayFolder="" count="2" memberValueDatatype="130" unbalanced="0"/>
    <cacheHierarchy uniqueName="[Range].[Learning_Center_Clean]" caption="Learning_Center_Clean" attribute="1" defaultMemberUniqueName="[Range].[Learning_Center_Clean].[All]" allUniqueName="[Range].[Learning_Center_Clean].[All]" dimensionUniqueName="[Range]" displayFolder="" count="0" memberValueDatatype="130" unbalanced="0"/>
    <cacheHierarchy uniqueName="[Range].[Enrollment_Year]" caption="Enrollment_Year" attribute="1" defaultMemberUniqueName="[Range].[Enrollment_Year].[All]" allUniqueName="[Range].[Enrollment_Year].[All]" dimensionUniqueName="[Range]" displayFolder="" count="0" memberValueDatatype="20" unbalanced="0"/>
    <cacheHierarchy uniqueName="[Range].[Parent_Occupation_Clean]" caption="Parent_Occupation_Clean" attribute="1" defaultMemberUniqueName="[Range].[Parent_Occupation_Clean].[All]" allUniqueName="[Range].[Parent_Occupation_Clean].[All]" dimensionUniqueName="[Range]" displayFolder="" count="0" memberValueDatatype="130" unbalanced="0"/>
    <cacheHierarchy uniqueName="[Range].[Age_Group_Calc]" caption="Age_Group_Calc" attribute="1" defaultMemberUniqueName="[Range].[Age_Group_Calc].[All]" allUniqueName="[Range].[Age_Group_Calc].[All]" dimensionUniqueName="[Range]" displayFolder="" count="0" memberValueDatatype="130" unbalanced="0"/>
    <cacheHierarchy uniqueName="[Range].[Age_Category_Calc]" caption="Age_Category_Calc" attribute="1" defaultMemberUniqueName="[Range].[Age_Category_Calc].[All]" allUniqueName="[Range].[Age_Category_Calc].[All]" dimensionUniqueName="[Range]" displayFolder="" count="0" memberValueDatatype="130" unbalanced="0"/>
    <cacheHierarchy uniqueName="[Range].[Learner_Category_Clean]" caption="Learner_Category_Clean" attribute="1" defaultMemberUniqueName="[Range].[Learner_Category_Clean].[All]" allUniqueName="[Range].[Learner_Category_Clean].[All]" dimensionUniqueName="[Range]" displayFolder="" count="0" memberValueDatatype="130" unbalanced="0"/>
    <cacheHierarchy uniqueName="[Range].[Learning_Mode_Clean]" caption="Learning_Mode_Clean" attribute="1" defaultMemberUniqueName="[Range].[Learning_Mode_Clean].[All]" allUniqueName="[Range].[Learning_Mode_Clean].[All]" dimensionUniqueName="[Range]" displayFolder="" count="2" memberValueDatatype="130" unbalanced="0"/>
    <cacheHierarchy uniqueName="[Range].[Fee_Paid_Clean]" caption="Fee_Paid_Clean" attribute="1" defaultMemberUniqueName="[Range].[Fee_Paid_Clean].[All]" allUniqueName="[Range].[Fee_Paid_Clean].[All]" dimensionUniqueName="[Range]" displayFolder="" count="0" memberValueDatatype="5" unbalanced="0"/>
    <cacheHierarchy uniqueName="[Range].[Fee_Paid_Flag]" caption="Fee_Paid_Flag" attribute="1" defaultMemberUniqueName="[Range].[Fee_Paid_Flag].[All]" allUniqueName="[Range].[Fee_Paid_Flag].[All]" dimensionUniqueName="[Range]" displayFolder="" count="0" memberValueDatatype="130" unbalanced="0"/>
    <cacheHierarchy uniqueName="[Range].[Avg_Monthly_Study_Hours]" caption="Avg_Monthly_Study_Hours" attribute="1" defaultMemberUniqueName="[Range].[Avg_Monthly_Study_Hours].[All]" allUniqueName="[Range].[Avg_Monthly_Study_Hours].[All]" dimensionUniqueName="[Range]" displayFolder="" count="0" memberValueDatatype="5" unbalanced="0"/>
    <cacheHierarchy uniqueName="[Range].[Fee_Outstanding]" caption="Fee_Outstanding" attribute="1" defaultMemberUniqueName="[Range].[Fee_Outstanding].[All]" allUniqueName="[Range].[Fee_Outstanding].[All]" dimensionUniqueName="[Range]" displayFolder="" count="0" memberValueDatatype="5" unbalanced="0"/>
    <cacheHierarchy uniqueName="[Range].[Subscription_Status_Clean]" caption="Subscription_Status_Clean" attribute="1" defaultMemberUniqueName="[Range].[Subscription_Status_Clean].[All]" allUniqueName="[Range].[Subscription_Status_Clean].[All]" dimensionUniqueName="[Range]" displayFolder="" count="0" memberValueDatatype="130" unbalanced="0"/>
    <cacheHierarchy uniqueName="[Range].[Performance_Score_Clean]" caption="Performance_Score_Clean" attribute="1" defaultMemberUniqueName="[Range].[Performance_Score_Clean].[All]" allUniqueName="[Range].[Performance_Score_Clean].[All]" dimensionUniqueName="[Range]" displayFolder="" count="0" memberValueDatatype="130" unbalanced="0"/>
    <cacheHierarchy uniqueName="[Range].[Performance_Score_Flag]" caption="Performance_Score_Flag" attribute="1" defaultMemberUniqueName="[Range].[Performance_Score_Flag].[All]" allUniqueName="[Range].[Performance_Score_Flag].[All]" dimensionUniqueName="[Range]" displayFolder="" count="0" memberValueDatatype="130" unbalanced="0"/>
    <cacheHierarchy uniqueName="[Range].[Sessions_Attended]" caption="Sessions_Attended" attribute="1" defaultMemberUniqueName="[Range].[Sessions_Attended].[All]" allUniqueName="[Range].[Sessions_Attended].[All]" dimensionUniqueName="[Range]" displayFolder="" count="0" memberValueDatatype="20" unbalanced="0"/>
    <cacheHierarchy uniqueName="[Range].[App_Usage_Clean]" caption="App_Usage_Clean" attribute="1" defaultMemberUniqueName="[Range].[App_Usage_Clean].[All]" allUniqueName="[Range].[App_Usage_Clean].[All]" dimensionUniqueName="[Range]" displayFolder="" count="0" memberValueDatatype="130" unbalanced="0"/>
    <cacheHierarchy uniqueName="[Range].[Web_Usage_Clean]" caption="Web_Usage_Clean" attribute="1" defaultMemberUniqueName="[Range].[Web_Usage_Clean].[All]" allUniqueName="[Range].[Web_Usage_Clean].[All]" dimensionUniqueName="[Range]" displayFolder="" count="0" memberValueDatatype="130" unbalanced="0"/>
    <cacheHierarchy uniqueName="[Range].[Satisfaction_Score]" caption="Satisfaction_Score" attribute="1" defaultMemberUniqueName="[Range].[Satisfaction_Score].[All]" allUniqueName="[Range].[Satisfaction_Score].[All]" dimensionUniqueName="[Range]" displayFolder="" count="0" memberValueDatatype="20" unbalanced="0"/>
    <cacheHierarchy uniqueName="[Range].[Learning_Tenure_Years]" caption="Learning_Tenure_Years" attribute="1" defaultMemberUniqueName="[Range].[Learning_Tenure_Years].[All]" allUniqueName="[Range].[Learning_Tenure_Years].[All]" dimensionUniqueName="[Range]" displayFolder="" count="0" memberValueDatatype="5" unbalanced="0"/>
    <cacheHierarchy uniqueName="[Range].[Duplicate_Flag]" caption="Duplicate_Flag" attribute="1" defaultMemberUniqueName="[Range].[Duplicate_Flag].[All]" allUniqueName="[Range].[Duplicate_Flag].[All]" dimensionUniqueName="[Range]" displayFolder="" count="0" memberValueDatatype="130" unbalanced="0"/>
    <cacheHierarchy uniqueName="[Range].[Row_Quality_Flag]" caption="Row_Quality_Flag" attribute="1" defaultMemberUniqueName="[Range].[Row_Quality_Flag].[All]" allUniqueName="[Range].[Row_Quality_Flag].[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Student_ID]" caption="Count of Student_ID" measure="1" displayFolder="" measureGroup="Range" count="0" hidden="1">
      <extLst>
        <ext xmlns:x15="http://schemas.microsoft.com/office/spreadsheetml/2010/11/main" uri="{B97F6D7D-B522-45F9-BDA1-12C45D357490}">
          <x15:cacheHierarchy aggregatedColumn="0"/>
        </ext>
      </extLst>
    </cacheHierarchy>
    <cacheHierarchy uniqueName="[Measures].[Sum of Fee_Paid_Clean]" caption="Sum of Fee_Paid_Clean" measure="1" displayFolder="" measureGroup="Range" count="0" hidden="1">
      <extLst>
        <ext xmlns:x15="http://schemas.microsoft.com/office/spreadsheetml/2010/11/main" uri="{B97F6D7D-B522-45F9-BDA1-12C45D357490}">
          <x15:cacheHierarchy aggregatedColumn="15"/>
        </ext>
      </extLst>
    </cacheHierarchy>
    <cacheHierarchy uniqueName="[Measures].[Sum of Fee_Outstanding]" caption="Sum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Performance_Score_Clean]" caption="Count of Performance_Score_Clean" measure="1" displayFolder="" measureGroup="Range" count="0" hidden="1">
      <extLst>
        <ext xmlns:x15="http://schemas.microsoft.com/office/spreadsheetml/2010/11/main" uri="{B97F6D7D-B522-45F9-BDA1-12C45D357490}">
          <x15:cacheHierarchy aggregatedColumn="20"/>
        </ext>
      </extLst>
    </cacheHierarchy>
    <cacheHierarchy uniqueName="[Measures].[Average of Fee_Outstanding]" caption="Average of Fee_Outstanding" measure="1" displayFolder="" measureGroup="Range" count="0" hidden="1">
      <extLst>
        <ext xmlns:x15="http://schemas.microsoft.com/office/spreadsheetml/2010/11/main" uri="{B97F6D7D-B522-45F9-BDA1-12C45D357490}">
          <x15:cacheHierarchy aggregatedColumn="18"/>
        </ext>
      </extLst>
    </cacheHierarchy>
    <cacheHierarchy uniqueName="[Measures].[Count of Subscription_Status_Clean]" caption="Count of Subscription_Status_Clean" measure="1" displayFolder="" measureGroup="Range" count="0" hidden="1">
      <extLst>
        <ext xmlns:x15="http://schemas.microsoft.com/office/spreadsheetml/2010/11/main" uri="{B97F6D7D-B522-45F9-BDA1-12C45D357490}">
          <x15:cacheHierarchy aggregatedColumn="19"/>
        </ext>
      </extLst>
    </cacheHierarchy>
    <cacheHierarchy uniqueName="[Measures].[Sum of Avg_Monthly_Study_Hours]" caption="Sum of Avg_Monthly_Study_Hours" measure="1" displayFolder="" measureGroup="Range" count="0" hidden="1">
      <extLst>
        <ext xmlns:x15="http://schemas.microsoft.com/office/spreadsheetml/2010/11/main" uri="{B97F6D7D-B522-45F9-BDA1-12C45D357490}">
          <x15:cacheHierarchy aggregatedColumn="17"/>
        </ext>
      </extLst>
    </cacheHierarchy>
    <cacheHierarchy uniqueName="[Measures].[Count of Learning_Mode_Clean]" caption="Count of Learning_Mode_Clean" measure="1" displayFolder="" measureGroup="Rang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934641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AA6518-65DF-46B5-97E8-BCA8D6BB2D63}"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26:B35" firstHeaderRow="1" firstDataRow="1" firstDataCol="1" rowPageCount="1" colPageCount="1"/>
  <pivotFields count="4">
    <pivotField allDrilled="1" subtotalTop="0" showAll="0" sortType="descending" defaultSubtotal="0" defaultAttributeDrillState="1">
      <items count="3">
        <item x="2"/>
        <item x="1"/>
        <item x="0"/>
      </items>
    </pivotField>
    <pivotField axis="axisRow" allDrilled="1" subtotalTop="0" showAll="0" defaultSubtotal="0" defaultAttributeDrillState="1">
      <items count="8">
        <item x="4"/>
        <item x="0"/>
        <item x="1"/>
        <item x="3"/>
        <item x="5"/>
        <item x="6"/>
        <item x="7"/>
        <item x="2"/>
      </items>
    </pivotField>
    <pivotField dataField="1" subtotalTop="0" showAll="0" defaultSubtotal="0"/>
    <pivotField axis="axisPage" allDrilled="1" subtotalTop="0" showAll="0" dataSourceSort="1" defaultSubtotal="0" defaultAttributeDrillState="1"/>
  </pivotFields>
  <rowFields count="1">
    <field x="1"/>
  </rowFields>
  <rowItems count="9">
    <i>
      <x/>
    </i>
    <i>
      <x v="1"/>
    </i>
    <i>
      <x v="2"/>
    </i>
    <i>
      <x v="3"/>
    </i>
    <i>
      <x v="4"/>
    </i>
    <i>
      <x v="5"/>
    </i>
    <i>
      <x v="6"/>
    </i>
    <i>
      <x v="7"/>
    </i>
    <i t="grand">
      <x/>
    </i>
  </rowItems>
  <colItems count="1">
    <i/>
  </colItems>
  <pageFields count="1">
    <pageField fld="3" hier="6" name="[Range].[State_Clean].[All]" cap="All"/>
  </pageFields>
  <dataFields count="1">
    <dataField name="Sum of Fee_Outstanding" fld="2" baseField="1" baseItem="0" numFmtId="164"/>
  </dataFields>
  <chartFormats count="5">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0:$AC$6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E3496E-891D-4AA0-A246-9A316E5B69DA}"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4">
  <location ref="A56:B59" firstHeaderRow="1" firstDataRow="1" firstDataCol="1" rowPageCount="1" colPageCount="1"/>
  <pivotFields count="5">
    <pivotField allDrilled="1" subtotalTop="0" showAll="0" sortType="descending" defaultSubtotal="0" defaultAttributeDrillState="1">
      <items count="3">
        <item x="2"/>
        <item x="1"/>
        <item x="0"/>
      </items>
    </pivotField>
    <pivotField dataField="1" subtotalTop="0" showAll="0" defaultSubtotal="0"/>
    <pivotField axis="axisRow" allDrilled="1" subtotalTop="0" showAll="0" dataSourceSort="1" defaultSubtotal="0" defaultAttributeDrillState="1">
      <items count="2">
        <item x="0"/>
        <item x="1"/>
      </items>
    </pivotField>
    <pivotField axis="axisPage"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pageFields count="1">
    <pageField fld="3" hier="7" name="[Range].[Course_Type_Clean].[All]" cap="All"/>
  </pageFields>
  <dataFields count="1">
    <dataField name="Count of Student_ID" fld="1" subtotal="count" baseField="0" baseItem="0"/>
  </dataFields>
  <chartFormats count="11">
    <chartFormat chart="0"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50" format="9"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7" format="4" series="1">
      <pivotArea type="data" outline="0" fieldPosition="0">
        <references count="1">
          <reference field="4294967294" count="1" selected="0">
            <x v="0"/>
          </reference>
        </references>
      </pivotArea>
    </chartFormat>
    <chartFormat chart="87" format="5">
      <pivotArea type="data" outline="0" fieldPosition="0">
        <references count="2">
          <reference field="4294967294" count="1" selected="0">
            <x v="0"/>
          </reference>
          <reference field="2" count="1" selected="0">
            <x v="0"/>
          </reference>
        </references>
      </pivotArea>
    </chartFormat>
    <chartFormat chart="87" format="6">
      <pivotArea type="data" outline="0" fieldPosition="0">
        <references count="2">
          <reference field="4294967294" count="1" selected="0">
            <x v="0"/>
          </reference>
          <reference field="2" count="1" selected="0">
            <x v="1"/>
          </reference>
        </references>
      </pivotArea>
    </chartFormat>
    <chartFormat chart="83" format="1">
      <pivotArea type="data" outline="0" fieldPosition="0">
        <references count="2">
          <reference field="4294967294" count="1" selected="0">
            <x v="0"/>
          </reference>
          <reference field="2" count="1" selected="0">
            <x v="0"/>
          </reference>
        </references>
      </pivotArea>
    </chartFormat>
    <chartFormat chart="83" format="2">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0:$AC$6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FB3BBC-E928-4D45-9F94-085E13211B0D}" name="PivotTable5"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1">
  <location ref="A67:B76" firstHeaderRow="1" firstDataRow="1" firstDataCol="1" rowPageCount="1" colPageCount="1"/>
  <pivotFields count="4">
    <pivotField axis="axisPage" allDrilled="1" subtotalTop="0" showAll="0" sortType="descending"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pageFields count="1">
    <pageField fld="0" hier="14" name="[Range].[Learning_Mode_Clean].[All]" cap="All"/>
  </pageFields>
  <dataFields count="1">
    <dataField name="Count of Performance_Score_Clean" fld="2" subtotal="count" baseField="0" baseItem="0"/>
  </dataFields>
  <chartFormats count="2">
    <chartFormat chart="83" format="0" series="1">
      <pivotArea type="data" outline="0" fieldPosition="0">
        <references count="1">
          <reference field="4294967294" count="1" selected="0">
            <x v="0"/>
          </reference>
        </references>
      </pivotArea>
    </chartFormat>
    <chartFormat chart="88"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0:$AC$6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EFB762-0476-4637-BEBB-592C4146815E}" name="PivotTable7"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6">
  <location ref="A85:B96" firstHeaderRow="1" firstDataRow="1" firstDataCol="1" rowPageCount="1" colPageCount="1"/>
  <pivotFields count="4">
    <pivotField allDrilled="1" subtotalTop="0" showAll="0" sortType="descending" defaultSubtotal="0" defaultAttributeDrillState="1">
      <items count="3">
        <item x="2"/>
        <item x="1"/>
        <item x="0"/>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xis="axisPage"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pageFields count="1">
    <pageField fld="3" hier="7" name="[Range].[Course_Type_Clean].[All]" cap="All"/>
  </pageFields>
  <dataFields count="1">
    <dataField name="Count of Student_ID" fld="1" subtotal="count" baseField="0" baseItem="0"/>
  </dataFields>
  <chartFormats count="7">
    <chartFormat chart="0"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50" format="9"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0:$AC$6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D27A12-B4B5-4F7C-B891-015CB1F0422F}"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3">
  <location ref="A3:B7" firstHeaderRow="1" firstDataRow="1" firstDataCol="1"/>
  <pivotFields count="3">
    <pivotField axis="axisRow" allDrilled="1" subtotalTop="0" showAll="0" sortType="descending" defaultSubtotal="0" defaultAttributeDrillState="1">
      <items count="3">
        <item x="2"/>
        <item x="1"/>
        <item x="0"/>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tudent_ID" fld="1" subtotal="count" baseField="0" baseItem="0"/>
  </dataFields>
  <chartFormats count="17">
    <chartFormat chart="0"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0"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0" count="1" selected="0">
            <x v="0"/>
          </reference>
        </references>
      </pivotArea>
    </chartFormat>
    <chartFormat chart="11" format="15">
      <pivotArea type="data" outline="0" fieldPosition="0">
        <references count="2">
          <reference field="4294967294" count="1" selected="0">
            <x v="0"/>
          </reference>
          <reference field="0" count="1" selected="0">
            <x v="1"/>
          </reference>
        </references>
      </pivotArea>
    </chartFormat>
    <chartFormat chart="11" format="16">
      <pivotArea type="data" outline="0" fieldPosition="0">
        <references count="2">
          <reference field="4294967294" count="1" selected="0">
            <x v="0"/>
          </reference>
          <reference field="0" count="1" selected="0">
            <x v="2"/>
          </reference>
        </references>
      </pivotArea>
    </chartFormat>
    <chartFormat chart="50" format="9" series="1">
      <pivotArea type="data" outline="0" fieldPosition="0">
        <references count="1">
          <reference field="4294967294" count="1" selected="0">
            <x v="0"/>
          </reference>
        </references>
      </pivotArea>
    </chartFormat>
    <chartFormat chart="50" format="10">
      <pivotArea type="data" outline="0" fieldPosition="0">
        <references count="2">
          <reference field="4294967294" count="1" selected="0">
            <x v="0"/>
          </reference>
          <reference field="0" count="1" selected="0">
            <x v="0"/>
          </reference>
        </references>
      </pivotArea>
    </chartFormat>
    <chartFormat chart="50" format="11">
      <pivotArea type="data" outline="0" fieldPosition="0">
        <references count="2">
          <reference field="4294967294" count="1" selected="0">
            <x v="0"/>
          </reference>
          <reference field="0" count="1" selected="0">
            <x v="1"/>
          </reference>
        </references>
      </pivotArea>
    </chartFormat>
    <chartFormat chart="50" format="12">
      <pivotArea type="data" outline="0" fieldPosition="0">
        <references count="2">
          <reference field="4294967294" count="1" selected="0">
            <x v="0"/>
          </reference>
          <reference field="0"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0:$AC$6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F78A1B-D035-455E-9C1F-01FC3F25F4E0}"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11:B20" firstHeaderRow="1" firstDataRow="1" firstDataCol="1"/>
  <pivotFields count="4">
    <pivotField allDrilled="1" subtotalTop="0" showAll="0" sortType="descending" defaultSubtotal="0" defaultAttributeDrillState="1">
      <items count="3">
        <item x="2"/>
        <item x="1"/>
        <item x="0"/>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Student_ID" fld="1" subtotal="count" baseField="0" baseItem="0"/>
  </dataFields>
  <chartFormats count="6">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0:$AC$6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0C509D-36DD-46F5-AE41-DB13382B3979}" name="PivotTable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40:B49" firstHeaderRow="1" firstDataRow="1" firstDataCol="1" rowPageCount="1" colPageCount="1"/>
  <pivotFields count="4">
    <pivotField axis="axisPage" allDrilled="1" subtotalTop="0" showAll="0" sortType="descending"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pageFields count="1">
    <pageField fld="0" hier="14" name="[Range].[Learning_Mode_Clean].[All]" cap="All"/>
  </pageFields>
  <dataFields count="1">
    <dataField name="Sum of Fee_Paid_Clean" fld="1" baseField="0" baseItem="0"/>
  </dataFields>
  <chartFormats count="10">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2" count="1" selected="0">
            <x v="0"/>
          </reference>
        </references>
      </pivotArea>
    </chartFormat>
    <chartFormat chart="14" format="4">
      <pivotArea type="data" outline="0" fieldPosition="0">
        <references count="2">
          <reference field="4294967294" count="1" selected="0">
            <x v="0"/>
          </reference>
          <reference field="2" count="1" selected="0">
            <x v="1"/>
          </reference>
        </references>
      </pivotArea>
    </chartFormat>
    <chartFormat chart="14" format="5">
      <pivotArea type="data" outline="0" fieldPosition="0">
        <references count="2">
          <reference field="4294967294" count="1" selected="0">
            <x v="0"/>
          </reference>
          <reference field="2" count="1" selected="0">
            <x v="2"/>
          </reference>
        </references>
      </pivotArea>
    </chartFormat>
    <chartFormat chart="14" format="6">
      <pivotArea type="data" outline="0" fieldPosition="0">
        <references count="2">
          <reference field="4294967294" count="1" selected="0">
            <x v="0"/>
          </reference>
          <reference field="2" count="1" selected="0">
            <x v="3"/>
          </reference>
        </references>
      </pivotArea>
    </chartFormat>
    <chartFormat chart="14" format="7">
      <pivotArea type="data" outline="0" fieldPosition="0">
        <references count="2">
          <reference field="4294967294" count="1" selected="0">
            <x v="0"/>
          </reference>
          <reference field="2" count="1" selected="0">
            <x v="4"/>
          </reference>
        </references>
      </pivotArea>
    </chartFormat>
    <chartFormat chart="14" format="8">
      <pivotArea type="data" outline="0" fieldPosition="0">
        <references count="2">
          <reference field="4294967294" count="1" selected="0">
            <x v="0"/>
          </reference>
          <reference field="2" count="1" selected="0">
            <x v="5"/>
          </reference>
        </references>
      </pivotArea>
    </chartFormat>
    <chartFormat chart="14" format="9">
      <pivotArea type="data" outline="0" fieldPosition="0">
        <references count="2">
          <reference field="4294967294" count="1" selected="0">
            <x v="0"/>
          </reference>
          <reference field="2" count="1" selected="0">
            <x v="6"/>
          </reference>
        </references>
      </pivotArea>
    </chartFormat>
    <chartFormat chart="14" format="10">
      <pivotArea type="data" outline="0" fieldPosition="0">
        <references count="2">
          <reference field="4294967294" count="1" selected="0">
            <x v="0"/>
          </reference>
          <reference field="2" count="1" selected="0">
            <x v="7"/>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0:$AC$6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609A6F-9314-4210-9C3B-1E36F26F48E3}" name="PivotTable8"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3">
  <location ref="H3:K4" firstHeaderRow="0" firstDataRow="1" firstDataCol="0"/>
  <pivotFields count="6">
    <pivotField allDrilled="1" subtotalTop="0" showAll="0" sortType="descending" defaultSubtotal="0" defaultAttributeDrillState="1">
      <items count="3">
        <item x="2"/>
        <item x="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Count of Student_ID" fld="1" subtotal="count" baseField="0" baseItem="0"/>
    <dataField name="Sum of Fee_Paid_Clean" fld="2" baseField="0" baseItem="0"/>
    <dataField name="Sum of Fee_Outstanding" fld="3" baseField="0" baseItem="0"/>
    <dataField name="Sum of Avg_Monthly_Study_Hours" fld="4" baseField="0" baseItem="0"/>
  </dataFields>
  <chartFormats count="5">
    <chartFormat chart="0"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50" format="9"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A$10:$AC$6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Type_Clean" xr10:uid="{85D52418-E8C2-4386-893A-DA7A9B182A77}" sourceName="[Range].[Course_Type_Clean]">
  <pivotTables>
    <pivotTable tabId="11" name="PivotTable8"/>
    <pivotTable tabId="11" name="PivotTable1"/>
    <pivotTable tabId="11" name="PivotTable2"/>
    <pivotTable tabId="11" name="PivotTable3"/>
    <pivotTable tabId="11" name="PivotTable4"/>
    <pivotTable tabId="11" name="PivotTable5"/>
    <pivotTable tabId="11" name="PivotTable6"/>
    <pivotTable tabId="11" name="PivotTable7"/>
  </pivotTables>
  <data>
    <olap pivotCacheId="93464183">
      <levels count="2">
        <level uniqueName="[Range].[Course_Type_Clean].[(All)]" sourceCaption="(All)" count="0"/>
        <level uniqueName="[Range].[Course_Type_Clean].[Course_Type_Clean]" sourceCaption="Course_Type_Clean" count="8">
          <ranges>
            <range startItem="0">
              <i n="[Range].[Course_Type_Clean].&amp;[Coding]" c="Coding"/>
              <i n="[Range].[Course_Type_Clean].&amp;[English]" c="English"/>
              <i n="[Range].[Course_Type_Clean].&amp;[Jee Prep]" c="Jee Prep"/>
              <i n="[Range].[Course_Type_Clean].&amp;[Mathematics]" c="Mathematics"/>
              <i n="[Range].[Course_Type_Clean].&amp;[Neet Prep]" c="Neet Prep"/>
              <i n="[Range].[Course_Type_Clean].&amp;[Robotics]" c="Robotics"/>
              <i n="[Range].[Course_Type_Clean].&amp;[Science]" c="Science"/>
              <i n="[Range].[Course_Type_Clean].&amp;[Spoken English]" c="Spoken English"/>
            </range>
          </ranges>
        </level>
      </levels>
      <selections count="1">
        <selection n="[Range].[Course_Type_Clea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rning_Mode_Clean" xr10:uid="{A575BE83-4BE3-4868-86B8-BD44562BAF68}" sourceName="[Range].[Learning_Mode_Clean]">
  <pivotTables>
    <pivotTable tabId="11" name="PivotTable8"/>
    <pivotTable tabId="11" name="PivotTable1"/>
    <pivotTable tabId="11" name="PivotTable2"/>
    <pivotTable tabId="11" name="PivotTable3"/>
    <pivotTable tabId="11" name="PivotTable4"/>
    <pivotTable tabId="11" name="PivotTable5"/>
    <pivotTable tabId="11" name="PivotTable6"/>
    <pivotTable tabId="11" name="PivotTable7"/>
  </pivotTables>
  <data>
    <olap pivotCacheId="93464183">
      <levels count="2">
        <level uniqueName="[Range].[Learning_Mode_Clean].[(All)]" sourceCaption="(All)" count="0"/>
        <level uniqueName="[Range].[Learning_Mode_Clean].[Learning_Mode_Clean]" sourceCaption="Learning_Mode_Clean" count="3">
          <ranges>
            <range startItem="0">
              <i n="[Range].[Learning_Mode_Clean].&amp;[App Only]" c="App Only"/>
              <i n="[Range].[Learning_Mode_Clean].&amp;[Both App &amp; Web]" c="Both App &amp; Web"/>
              <i n="[Range].[Learning_Mode_Clean].&amp;[Web Only]" c="Web Only"/>
            </range>
          </ranges>
        </level>
      </levels>
      <selections count="1">
        <selection n="[Range].[Learning_Mode_Clea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Clean" xr10:uid="{55B41DA5-E8C4-498D-B91A-3BEF1FEBEE35}" sourceName="[Range].[State_Clean]">
  <pivotTables>
    <pivotTable tabId="11" name="PivotTable8"/>
    <pivotTable tabId="11" name="PivotTable1"/>
    <pivotTable tabId="11" name="PivotTable2"/>
    <pivotTable tabId="11" name="PivotTable3"/>
    <pivotTable tabId="11" name="PivotTable4"/>
    <pivotTable tabId="11" name="PivotTable5"/>
    <pivotTable tabId="11" name="PivotTable6"/>
    <pivotTable tabId="11" name="PivotTable7"/>
  </pivotTables>
  <data>
    <olap pivotCacheId="93464183">
      <levels count="2">
        <level uniqueName="[Range].[State_Clean].[(All)]" sourceCaption="(All)" count="0"/>
        <level uniqueName="[Range].[State_Clean].[State_Clean]" sourceCaption="State_Clean" count="10">
          <ranges>
            <range startItem="0">
              <i n="[Range].[State_Clean].&amp;[Delhi]" c="Delhi"/>
              <i n="[Range].[State_Clean].&amp;[Gujarat]" c="Gujarat"/>
              <i n="[Range].[State_Clean].&amp;[Karnataka]" c="Karnataka"/>
              <i n="[Range].[State_Clean].&amp;[Kerala]" c="Kerala"/>
              <i n="[Range].[State_Clean].&amp;[Maharashtra]" c="Maharashtra"/>
              <i n="[Range].[State_Clean].&amp;[Rajasthan]" c="Rajasthan"/>
              <i n="[Range].[State_Clean].&amp;[Tamil Nadu]" c="Tamil Nadu"/>
              <i n="[Range].[State_Clean].&amp;[Telangana]" c="Telangana"/>
              <i n="[Range].[State_Clean].&amp;[Uttar Pradesh]" c="Uttar Pradesh"/>
              <i n="[Range].[State_Clean].&amp;[West Bengal]" c="West Bengal"/>
            </range>
          </ranges>
        </level>
      </levels>
      <selections count="1">
        <selection n="[Range].[State_Clea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_Type_Clean" xr10:uid="{81974655-1049-4E05-AEC0-DDEFA2B56B90}" cache="Slicer_Course_Type_Clean" caption="Course_Type_Clean" level="1" rowHeight="241300"/>
  <slicer name="Learning_Mode_Clean" xr10:uid="{FD3083C0-82A0-4111-947E-A654EC0F2D51}" cache="Slicer_Learning_Mode_Clean" caption="Learning_Mode_Clean" level="1" rowHeight="241300"/>
  <slicer name="State_Clean" xr10:uid="{F4EFC704-3249-4816-AE0B-047FF5F8FF92}" cache="Slicer_State_Clean" caption="State_Clea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type" xr10:uid="{02140509-8A1E-4485-A9FF-ABE11C50AE86}" cache="Slicer_Course_Type_Clean" caption="Course_Typ" startItem="2" level="1" style="Byju's analysis 3" rowHeight="241300"/>
  <slicer name="Learning_Mode_Clean 1" xr10:uid="{1BAFE7B1-F562-42E0-AFE6-CEE29BDB03B5}" cache="Slicer_Learning_Mode_Clean" caption="Learning_Mode_Clean" level="1" style="Byju's analysis 3" rowHeight="241300"/>
  <slicer name="State_Clean 1" xr10:uid="{3F015384-1215-40D7-BC25-AD479BA6DEF9}" cache="Slicer_State_Clean" caption="State_Clean" startItem="3" level="1" style="Byju's analysis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D76378-B2A1-48EC-B352-455043FE38A9}" name="Table7" displayName="Table7" ref="A2:C16" totalsRowShown="0" dataDxfId="18">
  <autoFilter ref="A2:C16" xr:uid="{04D76378-B2A1-48EC-B352-455043FE38A9}"/>
  <tableColumns count="3">
    <tableColumn id="1" xr3:uid="{55D0C046-3D77-4B40-9715-F527C3E05C17}" name="Cleaning area" dataDxfId="17"/>
    <tableColumn id="2" xr3:uid="{EDA5D664-DDAF-45BD-9161-3EC698A99D92}" name="Formula used" dataDxfId="16"/>
    <tableColumn id="3" xr3:uid="{796161AC-1936-489D-9279-C293321DCFED}" name="Purpose" dataDxfId="15"/>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49FF92-B33A-407A-8148-BFFDCA419646}" name="Table8" displayName="Table8" ref="A19:C23" totalsRowShown="0">
  <autoFilter ref="A19:C23" xr:uid="{EB49FF92-B33A-407A-8148-BFFDCA419646}"/>
  <tableColumns count="3">
    <tableColumn id="1" xr3:uid="{C701E773-7855-453F-964E-BEAAD9CE464D}" name="KPI Metric"/>
    <tableColumn id="2" xr3:uid="{508447DD-9EFE-424F-8C4E-FD7353E08221}" name="Formula" dataDxfId="14">
      <calculatedColumnFormula>COUNTA(Student_ID_Range)</calculatedColumnFormula>
    </tableColumn>
    <tableColumn id="3" xr3:uid="{A914B4EC-FE87-4BF0-B8EE-0C1551364CEF}" name="Purpose"/>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2760830-41FC-4E77-8564-2B3E6AC918DA}" name="Table10" displayName="Table10" ref="A27:C39" totalsRowShown="0">
  <autoFilter ref="A27:C39" xr:uid="{82760830-41FC-4E77-8564-2B3E6AC918DA}"/>
  <tableColumns count="3">
    <tableColumn id="1" xr3:uid="{8505C2EB-7142-4041-8ECE-F741D9A38589}" name="Additional Metric"/>
    <tableColumn id="2" xr3:uid="{2CF7F74E-B3BE-49EC-A755-FCCA808D9067}" name="Formula / Method"/>
    <tableColumn id="3" xr3:uid="{D4E533A8-E108-4965-ABB1-67FDB9FF3EC2}" name="Purpose"/>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302DF0E-01F2-43C0-9293-B325BEAB7670}" name="Table5" displayName="Table5" ref="A3:C13" totalsRowShown="0" headerRowDxfId="13" dataDxfId="12">
  <autoFilter ref="A3:C13" xr:uid="{2302DF0E-01F2-43C0-9293-B325BEAB7670}"/>
  <tableColumns count="3">
    <tableColumn id="1" xr3:uid="{5B48A770-18C4-4A7B-96F0-0BA54F6B52DF}" name="Area" dataDxfId="11"/>
    <tableColumn id="2" xr3:uid="{75452CEE-BD04-4DE8-A076-37EF9C6CF4F2}" name="Key Insight" dataDxfId="10"/>
    <tableColumn id="3" xr3:uid="{47AB880E-A428-4159-8A92-A39FDBCA2884}" name="Business Interpretation" dataDxfId="9"/>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X620"/>
  <sheetViews>
    <sheetView zoomScale="91" zoomScaleNormal="55" workbookViewId="0">
      <pane ySplit="1" topLeftCell="A2" activePane="bottomLeft" state="frozen"/>
      <selection pane="bottomLeft"/>
    </sheetView>
  </sheetViews>
  <sheetFormatPr defaultColWidth="8.7109375" defaultRowHeight="15"/>
  <cols>
    <col min="1" max="7" width="14" customWidth="1"/>
    <col min="8" max="8" width="17" customWidth="1"/>
    <col min="9" max="9" width="16" customWidth="1"/>
    <col min="10" max="10" width="19" customWidth="1"/>
    <col min="11" max="12" width="14" customWidth="1"/>
    <col min="13" max="13" width="18" customWidth="1"/>
    <col min="14" max="14" width="20" customWidth="1"/>
    <col min="15" max="15" width="14" customWidth="1"/>
    <col min="16" max="16" width="25" customWidth="1"/>
    <col min="17" max="17" width="17" customWidth="1"/>
    <col min="18" max="18" width="21" customWidth="1"/>
    <col min="19" max="20" width="19" customWidth="1"/>
    <col min="21" max="22" width="14" customWidth="1"/>
    <col min="23" max="23" width="20" customWidth="1"/>
    <col min="24" max="24" width="23" customWidth="1"/>
  </cols>
  <sheetData>
    <row r="1" spans="1:24" ht="15" customHeight="1">
      <c r="A1" s="1" t="s">
        <v>2</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row>
    <row r="2" spans="1:24" ht="15" customHeight="1">
      <c r="A2" s="2" t="s">
        <v>26</v>
      </c>
      <c r="B2" s="2" t="s">
        <v>27</v>
      </c>
      <c r="C2" s="2"/>
      <c r="D2" s="2" t="s">
        <v>28</v>
      </c>
      <c r="E2" s="2" t="s">
        <v>29</v>
      </c>
      <c r="F2" s="2" t="s">
        <v>30</v>
      </c>
      <c r="G2" s="2" t="s">
        <v>31</v>
      </c>
      <c r="H2" s="2" t="s">
        <v>32</v>
      </c>
      <c r="I2" s="2" t="s">
        <v>33</v>
      </c>
      <c r="J2" s="2" t="s">
        <v>34</v>
      </c>
      <c r="K2" s="2"/>
      <c r="L2" s="2"/>
      <c r="M2" s="2" t="s">
        <v>35</v>
      </c>
      <c r="N2" s="2" t="s">
        <v>36</v>
      </c>
      <c r="O2" s="2">
        <v>33831.46</v>
      </c>
      <c r="P2" s="2">
        <v>45.9</v>
      </c>
      <c r="Q2" s="2">
        <v>13226.44</v>
      </c>
      <c r="R2" s="2" t="s">
        <v>37</v>
      </c>
      <c r="S2" s="2">
        <v>306</v>
      </c>
      <c r="T2" s="2">
        <v>40</v>
      </c>
      <c r="U2" s="2" t="s">
        <v>38</v>
      </c>
      <c r="V2" s="2" t="s">
        <v>39</v>
      </c>
      <c r="W2" s="2">
        <v>2</v>
      </c>
      <c r="X2" s="2">
        <v>8.6</v>
      </c>
    </row>
    <row r="3" spans="1:24" ht="15" customHeight="1">
      <c r="A3" s="2" t="s">
        <v>40</v>
      </c>
      <c r="B3" s="2" t="s">
        <v>41</v>
      </c>
      <c r="C3" s="2">
        <v>12</v>
      </c>
      <c r="D3" s="2" t="s">
        <v>42</v>
      </c>
      <c r="E3" s="2" t="s">
        <v>43</v>
      </c>
      <c r="F3" s="2" t="s">
        <v>44</v>
      </c>
      <c r="G3" s="2" t="s">
        <v>45</v>
      </c>
      <c r="H3" s="2" t="s">
        <v>46</v>
      </c>
      <c r="I3" s="2" t="s">
        <v>47</v>
      </c>
      <c r="J3" s="2" t="s">
        <v>48</v>
      </c>
      <c r="K3" s="2" t="s">
        <v>49</v>
      </c>
      <c r="L3" s="2" t="s">
        <v>50</v>
      </c>
      <c r="M3" s="2" t="s">
        <v>51</v>
      </c>
      <c r="N3" s="2" t="s">
        <v>36</v>
      </c>
      <c r="O3" s="2">
        <v>32881.85</v>
      </c>
      <c r="P3" s="2">
        <v>54.6</v>
      </c>
      <c r="Q3" s="2">
        <v>46384.1</v>
      </c>
      <c r="R3" s="2" t="s">
        <v>52</v>
      </c>
      <c r="S3" s="2">
        <v>403</v>
      </c>
      <c r="T3" s="2">
        <v>116</v>
      </c>
      <c r="U3" s="2" t="s">
        <v>39</v>
      </c>
      <c r="V3" s="2" t="s">
        <v>38</v>
      </c>
      <c r="W3" s="2">
        <v>2</v>
      </c>
      <c r="X3" s="2">
        <v>6.2</v>
      </c>
    </row>
    <row r="4" spans="1:24" ht="15" customHeight="1">
      <c r="A4" s="2" t="s">
        <v>53</v>
      </c>
      <c r="B4" s="2" t="s">
        <v>54</v>
      </c>
      <c r="C4" s="2">
        <v>10</v>
      </c>
      <c r="D4" s="2" t="s">
        <v>55</v>
      </c>
      <c r="E4" s="2" t="s">
        <v>56</v>
      </c>
      <c r="F4" s="2" t="s">
        <v>57</v>
      </c>
      <c r="G4" s="2" t="s">
        <v>45</v>
      </c>
      <c r="H4" s="2" t="s">
        <v>58</v>
      </c>
      <c r="I4" s="2" t="s">
        <v>59</v>
      </c>
      <c r="J4" s="2" t="s">
        <v>48</v>
      </c>
      <c r="K4" s="2" t="s">
        <v>49</v>
      </c>
      <c r="L4" s="2" t="s">
        <v>50</v>
      </c>
      <c r="M4" s="2" t="s">
        <v>51</v>
      </c>
      <c r="N4" s="2" t="s">
        <v>60</v>
      </c>
      <c r="O4" s="2">
        <v>38211.97</v>
      </c>
      <c r="P4" s="2">
        <v>28.7</v>
      </c>
      <c r="Q4" s="2">
        <v>16064.45</v>
      </c>
      <c r="R4" s="2" t="s">
        <v>61</v>
      </c>
      <c r="S4" s="2">
        <v>517</v>
      </c>
      <c r="T4" s="2">
        <v>101</v>
      </c>
      <c r="U4" s="2" t="s">
        <v>39</v>
      </c>
      <c r="V4" s="2" t="s">
        <v>39</v>
      </c>
      <c r="W4" s="2">
        <v>2</v>
      </c>
      <c r="X4" s="2">
        <v>6.8</v>
      </c>
    </row>
    <row r="5" spans="1:24" ht="15" customHeight="1">
      <c r="A5" s="2" t="s">
        <v>62</v>
      </c>
      <c r="B5" s="2" t="s">
        <v>63</v>
      </c>
      <c r="C5" s="2">
        <v>33</v>
      </c>
      <c r="D5" s="2" t="s">
        <v>42</v>
      </c>
      <c r="E5" s="2" t="s">
        <v>64</v>
      </c>
      <c r="F5" s="2" t="s">
        <v>57</v>
      </c>
      <c r="G5" s="2" t="s">
        <v>45</v>
      </c>
      <c r="H5" s="2" t="s">
        <v>65</v>
      </c>
      <c r="I5" s="2" t="s">
        <v>66</v>
      </c>
      <c r="J5" s="2" t="s">
        <v>48</v>
      </c>
      <c r="K5" s="2" t="s">
        <v>67</v>
      </c>
      <c r="L5" s="2" t="s">
        <v>68</v>
      </c>
      <c r="M5" s="2" t="s">
        <v>69</v>
      </c>
      <c r="N5" s="2" t="s">
        <v>70</v>
      </c>
      <c r="O5" s="2">
        <v>91403.82</v>
      </c>
      <c r="P5" s="2">
        <v>23.9</v>
      </c>
      <c r="Q5" s="2">
        <v>33193.550000000003</v>
      </c>
      <c r="R5" s="2" t="s">
        <v>71</v>
      </c>
      <c r="S5" s="2">
        <v>849</v>
      </c>
      <c r="T5" s="2">
        <v>196</v>
      </c>
      <c r="U5" s="2" t="s">
        <v>72</v>
      </c>
      <c r="V5" s="2" t="s">
        <v>73</v>
      </c>
      <c r="W5" s="2">
        <v>2</v>
      </c>
      <c r="X5" s="2">
        <v>4.4000000000000004</v>
      </c>
    </row>
    <row r="6" spans="1:24" ht="15" customHeight="1">
      <c r="A6" s="2" t="s">
        <v>74</v>
      </c>
      <c r="B6" s="2" t="s">
        <v>75</v>
      </c>
      <c r="C6" s="2">
        <v>22</v>
      </c>
      <c r="D6" s="2" t="s">
        <v>55</v>
      </c>
      <c r="E6" s="2" t="s">
        <v>76</v>
      </c>
      <c r="F6" s="2" t="s">
        <v>77</v>
      </c>
      <c r="G6" s="2" t="s">
        <v>78</v>
      </c>
      <c r="H6" s="2" t="s">
        <v>79</v>
      </c>
      <c r="I6" s="2" t="s">
        <v>80</v>
      </c>
      <c r="J6" s="2" t="s">
        <v>81</v>
      </c>
      <c r="K6" s="2" t="s">
        <v>67</v>
      </c>
      <c r="L6" s="2" t="s">
        <v>68</v>
      </c>
      <c r="M6" s="2" t="s">
        <v>69</v>
      </c>
      <c r="N6" s="2" t="s">
        <v>70</v>
      </c>
      <c r="O6" s="2">
        <v>132414.67000000001</v>
      </c>
      <c r="P6" s="2">
        <v>28.1</v>
      </c>
      <c r="Q6" s="2">
        <v>3475.51</v>
      </c>
      <c r="R6" s="2" t="s">
        <v>82</v>
      </c>
      <c r="S6" s="2">
        <v>387</v>
      </c>
      <c r="T6" s="2">
        <v>17</v>
      </c>
      <c r="U6" s="2" t="s">
        <v>83</v>
      </c>
      <c r="V6" s="2" t="s">
        <v>39</v>
      </c>
      <c r="W6" s="2">
        <v>3</v>
      </c>
      <c r="X6" s="2">
        <v>5</v>
      </c>
    </row>
    <row r="7" spans="1:24" ht="15" customHeight="1">
      <c r="A7" s="2" t="s">
        <v>84</v>
      </c>
      <c r="B7" s="2" t="s">
        <v>85</v>
      </c>
      <c r="C7" s="2">
        <v>40</v>
      </c>
      <c r="D7" s="2" t="s">
        <v>86</v>
      </c>
      <c r="E7" s="2" t="s">
        <v>87</v>
      </c>
      <c r="F7" s="2" t="s">
        <v>88</v>
      </c>
      <c r="G7" s="2" t="s">
        <v>45</v>
      </c>
      <c r="H7" s="2" t="s">
        <v>46</v>
      </c>
      <c r="I7" s="2" t="s">
        <v>89</v>
      </c>
      <c r="J7" s="2" t="s">
        <v>90</v>
      </c>
      <c r="K7" s="2" t="s">
        <v>67</v>
      </c>
      <c r="L7" s="2" t="s">
        <v>68</v>
      </c>
      <c r="M7" s="2" t="s">
        <v>51</v>
      </c>
      <c r="N7" s="2" t="s">
        <v>60</v>
      </c>
      <c r="O7" s="2"/>
      <c r="P7" s="2">
        <v>58.1</v>
      </c>
      <c r="Q7" s="2">
        <v>3532.43</v>
      </c>
      <c r="R7" s="2" t="s">
        <v>71</v>
      </c>
      <c r="S7" s="2">
        <v>638</v>
      </c>
      <c r="T7" s="2">
        <v>60</v>
      </c>
      <c r="U7" s="2" t="s">
        <v>73</v>
      </c>
      <c r="V7" s="2" t="s">
        <v>83</v>
      </c>
      <c r="W7" s="2">
        <v>5</v>
      </c>
      <c r="X7" s="2">
        <v>5.4</v>
      </c>
    </row>
    <row r="8" spans="1:24" ht="15" customHeight="1">
      <c r="A8" s="2" t="s">
        <v>91</v>
      </c>
      <c r="B8" s="2" t="s">
        <v>92</v>
      </c>
      <c r="C8" s="2">
        <v>32</v>
      </c>
      <c r="D8" s="2" t="s">
        <v>93</v>
      </c>
      <c r="E8" s="2" t="s">
        <v>94</v>
      </c>
      <c r="F8" s="2" t="s">
        <v>95</v>
      </c>
      <c r="G8" s="2" t="s">
        <v>96</v>
      </c>
      <c r="H8" s="2" t="s">
        <v>58</v>
      </c>
      <c r="I8" s="2" t="s">
        <v>33</v>
      </c>
      <c r="J8" s="2" t="s">
        <v>48</v>
      </c>
      <c r="K8" s="2" t="s">
        <v>67</v>
      </c>
      <c r="L8" s="2" t="s">
        <v>68</v>
      </c>
      <c r="M8" s="2" t="s">
        <v>51</v>
      </c>
      <c r="N8" s="2" t="s">
        <v>60</v>
      </c>
      <c r="O8" s="2">
        <v>63380.09</v>
      </c>
      <c r="P8" s="2">
        <v>69.599999999999994</v>
      </c>
      <c r="Q8" s="2">
        <v>14919.38</v>
      </c>
      <c r="R8" s="2" t="s">
        <v>97</v>
      </c>
      <c r="S8" s="2">
        <v>443</v>
      </c>
      <c r="T8" s="2">
        <v>71</v>
      </c>
      <c r="U8" s="2" t="s">
        <v>39</v>
      </c>
      <c r="V8" s="2" t="s">
        <v>98</v>
      </c>
      <c r="W8" s="2">
        <v>5</v>
      </c>
      <c r="X8" s="2">
        <v>1.3</v>
      </c>
    </row>
    <row r="9" spans="1:24" ht="15" customHeight="1">
      <c r="A9" s="2" t="s">
        <v>99</v>
      </c>
      <c r="B9" s="2" t="s">
        <v>100</v>
      </c>
      <c r="C9" s="2">
        <v>6</v>
      </c>
      <c r="D9" s="2" t="s">
        <v>101</v>
      </c>
      <c r="E9" s="2" t="s">
        <v>102</v>
      </c>
      <c r="F9" s="2" t="s">
        <v>103</v>
      </c>
      <c r="G9" s="2" t="s">
        <v>45</v>
      </c>
      <c r="H9" s="2" t="s">
        <v>104</v>
      </c>
      <c r="I9" s="2" t="s">
        <v>105</v>
      </c>
      <c r="J9" s="2" t="s">
        <v>90</v>
      </c>
      <c r="K9" s="2" t="s">
        <v>106</v>
      </c>
      <c r="L9" s="2" t="s">
        <v>50</v>
      </c>
      <c r="M9" s="2" t="s">
        <v>51</v>
      </c>
      <c r="N9" s="2" t="s">
        <v>70</v>
      </c>
      <c r="O9" s="2">
        <v>46361.14</v>
      </c>
      <c r="P9" s="2">
        <v>59.8</v>
      </c>
      <c r="Q9" s="2">
        <v>47001.69</v>
      </c>
      <c r="R9" s="2" t="s">
        <v>107</v>
      </c>
      <c r="S9" s="2">
        <v>458</v>
      </c>
      <c r="T9" s="2">
        <v>55</v>
      </c>
      <c r="U9" s="2" t="s">
        <v>108</v>
      </c>
      <c r="V9" s="2" t="s">
        <v>72</v>
      </c>
      <c r="W9" s="2">
        <v>1</v>
      </c>
      <c r="X9" s="2">
        <v>5.5</v>
      </c>
    </row>
    <row r="10" spans="1:24" ht="15" customHeight="1">
      <c r="A10" s="2" t="s">
        <v>109</v>
      </c>
      <c r="B10" s="2" t="s">
        <v>110</v>
      </c>
      <c r="C10" s="2">
        <v>16</v>
      </c>
      <c r="D10" s="2" t="s">
        <v>55</v>
      </c>
      <c r="E10" s="2" t="s">
        <v>111</v>
      </c>
      <c r="F10" s="2" t="s">
        <v>57</v>
      </c>
      <c r="G10" s="2" t="s">
        <v>31</v>
      </c>
      <c r="H10" s="2" t="s">
        <v>32</v>
      </c>
      <c r="I10" s="2" t="s">
        <v>112</v>
      </c>
      <c r="J10" s="2" t="s">
        <v>113</v>
      </c>
      <c r="K10" s="2" t="s">
        <v>114</v>
      </c>
      <c r="L10" s="2" t="s">
        <v>115</v>
      </c>
      <c r="M10" s="2" t="s">
        <v>35</v>
      </c>
      <c r="N10" s="2" t="s">
        <v>60</v>
      </c>
      <c r="O10" s="2">
        <v>88943.26</v>
      </c>
      <c r="P10" s="2">
        <v>11.1</v>
      </c>
      <c r="Q10" s="2">
        <v>39442.39</v>
      </c>
      <c r="R10" s="2"/>
      <c r="S10" s="2">
        <v>623</v>
      </c>
      <c r="T10" s="2">
        <v>52</v>
      </c>
      <c r="U10" s="2" t="s">
        <v>39</v>
      </c>
      <c r="V10" s="2" t="s">
        <v>73</v>
      </c>
      <c r="W10" s="2">
        <v>2</v>
      </c>
      <c r="X10" s="2">
        <v>6.2</v>
      </c>
    </row>
    <row r="11" spans="1:24" ht="15" customHeight="1">
      <c r="A11" s="2" t="s">
        <v>116</v>
      </c>
      <c r="B11" s="2" t="s">
        <v>117</v>
      </c>
      <c r="C11" s="2">
        <v>10</v>
      </c>
      <c r="D11" s="2" t="s">
        <v>118</v>
      </c>
      <c r="E11" s="2" t="s">
        <v>119</v>
      </c>
      <c r="F11" s="2" t="s">
        <v>120</v>
      </c>
      <c r="G11" s="2" t="s">
        <v>31</v>
      </c>
      <c r="H11" s="2" t="s">
        <v>65</v>
      </c>
      <c r="I11" s="2" t="s">
        <v>121</v>
      </c>
      <c r="J11" s="2" t="s">
        <v>34</v>
      </c>
      <c r="K11" s="2" t="s">
        <v>49</v>
      </c>
      <c r="L11" s="2" t="s">
        <v>50</v>
      </c>
      <c r="M11" s="2" t="s">
        <v>51</v>
      </c>
      <c r="N11" s="2" t="s">
        <v>60</v>
      </c>
      <c r="O11" s="2">
        <v>58581.43</v>
      </c>
      <c r="P11" s="2">
        <v>67.5</v>
      </c>
      <c r="Q11" s="2">
        <v>42212.4</v>
      </c>
      <c r="R11" s="2"/>
      <c r="S11" s="2">
        <v>308</v>
      </c>
      <c r="T11" s="2">
        <v>141</v>
      </c>
      <c r="U11" s="2" t="s">
        <v>72</v>
      </c>
      <c r="V11" s="2" t="s">
        <v>122</v>
      </c>
      <c r="W11" s="2">
        <v>1</v>
      </c>
      <c r="X11" s="2">
        <v>8.1</v>
      </c>
    </row>
    <row r="12" spans="1:24" ht="15" customHeight="1">
      <c r="A12" s="2" t="s">
        <v>123</v>
      </c>
      <c r="B12" s="2" t="s">
        <v>124</v>
      </c>
      <c r="C12" s="2">
        <v>24</v>
      </c>
      <c r="D12" s="2" t="s">
        <v>86</v>
      </c>
      <c r="E12" s="2" t="s">
        <v>125</v>
      </c>
      <c r="F12" s="2" t="s">
        <v>77</v>
      </c>
      <c r="G12" s="2" t="s">
        <v>45</v>
      </c>
      <c r="H12" s="2" t="s">
        <v>126</v>
      </c>
      <c r="I12" s="2" t="s">
        <v>127</v>
      </c>
      <c r="J12" s="2" t="s">
        <v>128</v>
      </c>
      <c r="K12" s="2" t="s">
        <v>67</v>
      </c>
      <c r="L12" s="2" t="s">
        <v>68</v>
      </c>
      <c r="M12" s="2" t="s">
        <v>35</v>
      </c>
      <c r="N12" s="2" t="s">
        <v>60</v>
      </c>
      <c r="O12" s="2">
        <v>97381.440000000002</v>
      </c>
      <c r="P12" s="2">
        <v>60.6</v>
      </c>
      <c r="Q12" s="2">
        <v>33100.83</v>
      </c>
      <c r="R12" s="2" t="s">
        <v>129</v>
      </c>
      <c r="S12" s="2">
        <v>309</v>
      </c>
      <c r="T12" s="2">
        <v>176</v>
      </c>
      <c r="U12" s="2" t="s">
        <v>108</v>
      </c>
      <c r="V12" s="2" t="s">
        <v>39</v>
      </c>
      <c r="W12" s="2">
        <v>4</v>
      </c>
      <c r="X12" s="2">
        <v>1.6</v>
      </c>
    </row>
    <row r="13" spans="1:24" ht="15" customHeight="1">
      <c r="A13" s="2" t="s">
        <v>130</v>
      </c>
      <c r="B13" s="2" t="s">
        <v>131</v>
      </c>
      <c r="C13" s="2">
        <v>8</v>
      </c>
      <c r="D13" s="2" t="s">
        <v>28</v>
      </c>
      <c r="E13" s="2" t="s">
        <v>132</v>
      </c>
      <c r="F13" s="2" t="s">
        <v>30</v>
      </c>
      <c r="G13" s="2" t="s">
        <v>96</v>
      </c>
      <c r="H13" s="2" t="s">
        <v>46</v>
      </c>
      <c r="I13" s="2" t="s">
        <v>133</v>
      </c>
      <c r="J13" s="2" t="s">
        <v>34</v>
      </c>
      <c r="K13" s="2" t="s">
        <v>106</v>
      </c>
      <c r="L13" s="2" t="s">
        <v>50</v>
      </c>
      <c r="M13" s="2" t="s">
        <v>51</v>
      </c>
      <c r="N13" s="2" t="s">
        <v>60</v>
      </c>
      <c r="O13" s="2">
        <v>132805.35</v>
      </c>
      <c r="P13" s="2">
        <v>60.2</v>
      </c>
      <c r="Q13" s="2">
        <v>19931.13</v>
      </c>
      <c r="R13" s="2" t="s">
        <v>129</v>
      </c>
      <c r="S13" s="2">
        <v>554</v>
      </c>
      <c r="T13" s="2">
        <v>179</v>
      </c>
      <c r="U13" s="2" t="s">
        <v>98</v>
      </c>
      <c r="V13" s="2" t="s">
        <v>98</v>
      </c>
      <c r="W13" s="2">
        <v>2</v>
      </c>
      <c r="X13" s="2">
        <v>2.2000000000000002</v>
      </c>
    </row>
    <row r="14" spans="1:24" ht="15" customHeight="1">
      <c r="A14" s="2" t="s">
        <v>134</v>
      </c>
      <c r="B14" s="2" t="s">
        <v>135</v>
      </c>
      <c r="C14" s="2">
        <v>20</v>
      </c>
      <c r="D14" s="2" t="s">
        <v>93</v>
      </c>
      <c r="E14" s="2" t="s">
        <v>136</v>
      </c>
      <c r="F14" s="2" t="s">
        <v>95</v>
      </c>
      <c r="G14" s="2" t="s">
        <v>96</v>
      </c>
      <c r="H14" s="2" t="s">
        <v>126</v>
      </c>
      <c r="I14" s="2" t="s">
        <v>137</v>
      </c>
      <c r="J14" s="2" t="s">
        <v>48</v>
      </c>
      <c r="K14" s="2" t="s">
        <v>67</v>
      </c>
      <c r="L14" s="2" t="s">
        <v>68</v>
      </c>
      <c r="M14" s="2" t="s">
        <v>51</v>
      </c>
      <c r="N14" s="2" t="s">
        <v>60</v>
      </c>
      <c r="O14" s="2">
        <v>21724.55</v>
      </c>
      <c r="P14" s="2">
        <v>18.399999999999999</v>
      </c>
      <c r="Q14" s="2">
        <v>57752.06</v>
      </c>
      <c r="R14" s="2" t="s">
        <v>138</v>
      </c>
      <c r="S14" s="2">
        <v>411</v>
      </c>
      <c r="T14" s="2">
        <v>88</v>
      </c>
      <c r="U14" s="2" t="s">
        <v>73</v>
      </c>
      <c r="V14" s="2" t="s">
        <v>98</v>
      </c>
      <c r="W14" s="2">
        <v>5</v>
      </c>
      <c r="X14" s="2">
        <v>2.1</v>
      </c>
    </row>
    <row r="15" spans="1:24" ht="15" customHeight="1">
      <c r="A15" s="2" t="s">
        <v>139</v>
      </c>
      <c r="B15" s="2" t="s">
        <v>140</v>
      </c>
      <c r="C15" s="2">
        <v>39</v>
      </c>
      <c r="D15" s="2" t="s">
        <v>86</v>
      </c>
      <c r="E15" s="2" t="s">
        <v>141</v>
      </c>
      <c r="F15" s="2" t="s">
        <v>88</v>
      </c>
      <c r="G15" s="2" t="s">
        <v>96</v>
      </c>
      <c r="H15" s="2" t="s">
        <v>65</v>
      </c>
      <c r="I15" s="2" t="s">
        <v>142</v>
      </c>
      <c r="J15" s="2" t="s">
        <v>128</v>
      </c>
      <c r="K15" s="2" t="s">
        <v>67</v>
      </c>
      <c r="L15" s="2" t="s">
        <v>68</v>
      </c>
      <c r="M15" s="2" t="s">
        <v>51</v>
      </c>
      <c r="N15" s="2" t="s">
        <v>60</v>
      </c>
      <c r="O15" s="2">
        <v>32816.81</v>
      </c>
      <c r="P15" s="2">
        <v>33.4</v>
      </c>
      <c r="Q15" s="2">
        <v>44888.07</v>
      </c>
      <c r="R15" s="2" t="s">
        <v>61</v>
      </c>
      <c r="S15" s="2">
        <v>715</v>
      </c>
      <c r="T15" s="2">
        <v>0</v>
      </c>
      <c r="U15" s="2" t="s">
        <v>38</v>
      </c>
      <c r="V15" s="2" t="s">
        <v>98</v>
      </c>
      <c r="W15" s="2">
        <v>5</v>
      </c>
      <c r="X15" s="2">
        <v>5.7</v>
      </c>
    </row>
    <row r="16" spans="1:24" ht="15" customHeight="1">
      <c r="A16" s="2" t="s">
        <v>143</v>
      </c>
      <c r="B16" s="2" t="s">
        <v>144</v>
      </c>
      <c r="C16" s="2">
        <v>19</v>
      </c>
      <c r="D16" s="2" t="s">
        <v>28</v>
      </c>
      <c r="E16" s="2" t="s">
        <v>145</v>
      </c>
      <c r="F16" s="2" t="s">
        <v>77</v>
      </c>
      <c r="G16" s="2" t="s">
        <v>96</v>
      </c>
      <c r="H16" s="2" t="s">
        <v>65</v>
      </c>
      <c r="I16" s="2" t="s">
        <v>146</v>
      </c>
      <c r="J16" s="2" t="s">
        <v>34</v>
      </c>
      <c r="K16" s="2" t="s">
        <v>147</v>
      </c>
      <c r="L16" s="2" t="s">
        <v>115</v>
      </c>
      <c r="M16" s="2" t="s">
        <v>0</v>
      </c>
      <c r="N16" s="2" t="s">
        <v>70</v>
      </c>
      <c r="O16" s="2">
        <v>93634.73</v>
      </c>
      <c r="P16" s="2">
        <v>39.200000000000003</v>
      </c>
      <c r="Q16" s="2">
        <v>53168.21</v>
      </c>
      <c r="R16" s="2" t="s">
        <v>148</v>
      </c>
      <c r="S16" s="2">
        <v>693</v>
      </c>
      <c r="T16" s="2">
        <v>62</v>
      </c>
      <c r="U16" s="2" t="s">
        <v>108</v>
      </c>
      <c r="V16" s="2" t="s">
        <v>98</v>
      </c>
      <c r="W16" s="2">
        <v>2</v>
      </c>
      <c r="X16" s="2">
        <v>2</v>
      </c>
    </row>
    <row r="17" spans="1:24" ht="15" customHeight="1">
      <c r="A17" s="2" t="s">
        <v>149</v>
      </c>
      <c r="B17" s="2" t="s">
        <v>150</v>
      </c>
      <c r="C17" s="2">
        <v>9</v>
      </c>
      <c r="D17" s="2" t="s">
        <v>93</v>
      </c>
      <c r="E17" s="2" t="s">
        <v>151</v>
      </c>
      <c r="F17" s="2" t="s">
        <v>103</v>
      </c>
      <c r="G17" s="2" t="s">
        <v>96</v>
      </c>
      <c r="H17" s="2" t="s">
        <v>152</v>
      </c>
      <c r="I17" s="2" t="s">
        <v>153</v>
      </c>
      <c r="J17" s="2" t="s">
        <v>81</v>
      </c>
      <c r="K17" s="2" t="s">
        <v>106</v>
      </c>
      <c r="L17" s="2" t="s">
        <v>50</v>
      </c>
      <c r="M17" s="2" t="s">
        <v>51</v>
      </c>
      <c r="N17" s="2" t="s">
        <v>70</v>
      </c>
      <c r="O17" s="2">
        <v>70260.11</v>
      </c>
      <c r="P17" s="2">
        <v>68</v>
      </c>
      <c r="Q17" s="2">
        <v>16638.68</v>
      </c>
      <c r="R17" s="2" t="s">
        <v>107</v>
      </c>
      <c r="S17" s="2">
        <v>544</v>
      </c>
      <c r="T17" s="2">
        <v>19</v>
      </c>
      <c r="U17" s="2" t="s">
        <v>39</v>
      </c>
      <c r="V17" s="2" t="s">
        <v>38</v>
      </c>
      <c r="W17" s="2">
        <v>3</v>
      </c>
      <c r="X17" s="2">
        <v>8.1</v>
      </c>
    </row>
    <row r="18" spans="1:24" ht="15" customHeight="1">
      <c r="A18" s="2" t="s">
        <v>154</v>
      </c>
      <c r="B18" s="2" t="s">
        <v>155</v>
      </c>
      <c r="C18" s="2">
        <v>30</v>
      </c>
      <c r="D18" s="2" t="s">
        <v>101</v>
      </c>
      <c r="E18" s="2" t="s">
        <v>156</v>
      </c>
      <c r="F18" s="2" t="s">
        <v>95</v>
      </c>
      <c r="G18" s="2" t="s">
        <v>96</v>
      </c>
      <c r="H18" s="2" t="s">
        <v>46</v>
      </c>
      <c r="I18" s="2" t="s">
        <v>157</v>
      </c>
      <c r="J18" s="2" t="s">
        <v>113</v>
      </c>
      <c r="K18" s="2" t="s">
        <v>67</v>
      </c>
      <c r="L18" s="2" t="s">
        <v>68</v>
      </c>
      <c r="M18" s="2" t="s">
        <v>51</v>
      </c>
      <c r="N18" s="2" t="s">
        <v>36</v>
      </c>
      <c r="O18" s="2">
        <v>7832.13</v>
      </c>
      <c r="P18" s="2">
        <v>48.2</v>
      </c>
      <c r="Q18" s="2">
        <v>28618.78</v>
      </c>
      <c r="R18" s="2" t="s">
        <v>158</v>
      </c>
      <c r="S18" s="2">
        <v>699</v>
      </c>
      <c r="T18" s="2">
        <v>107</v>
      </c>
      <c r="U18" s="2" t="s">
        <v>98</v>
      </c>
      <c r="V18" s="2" t="s">
        <v>122</v>
      </c>
      <c r="W18" s="2">
        <v>4</v>
      </c>
      <c r="X18" s="2">
        <v>4.5999999999999996</v>
      </c>
    </row>
    <row r="19" spans="1:24" ht="15" customHeight="1">
      <c r="A19" s="2" t="s">
        <v>159</v>
      </c>
      <c r="B19" s="2" t="s">
        <v>160</v>
      </c>
      <c r="C19" s="2">
        <v>31</v>
      </c>
      <c r="D19" s="2" t="s">
        <v>118</v>
      </c>
      <c r="E19" s="2" t="s">
        <v>161</v>
      </c>
      <c r="F19" s="2" t="s">
        <v>120</v>
      </c>
      <c r="G19" s="2" t="s">
        <v>162</v>
      </c>
      <c r="H19" s="2" t="s">
        <v>58</v>
      </c>
      <c r="I19" s="2" t="s">
        <v>163</v>
      </c>
      <c r="J19" s="2" t="s">
        <v>90</v>
      </c>
      <c r="K19" s="2" t="s">
        <v>67</v>
      </c>
      <c r="L19" s="2" t="s">
        <v>68</v>
      </c>
      <c r="M19" s="2" t="s">
        <v>51</v>
      </c>
      <c r="N19" s="2" t="s">
        <v>70</v>
      </c>
      <c r="O19" s="2">
        <v>31350.71</v>
      </c>
      <c r="P19" s="2">
        <v>29.6</v>
      </c>
      <c r="Q19" s="2">
        <v>27281.96</v>
      </c>
      <c r="R19" s="2" t="s">
        <v>158</v>
      </c>
      <c r="S19" s="2">
        <v>584</v>
      </c>
      <c r="T19" s="2">
        <v>107</v>
      </c>
      <c r="U19" s="2" t="s">
        <v>72</v>
      </c>
      <c r="V19" s="2" t="s">
        <v>72</v>
      </c>
      <c r="W19" s="2">
        <v>5</v>
      </c>
      <c r="X19" s="2">
        <v>0.9</v>
      </c>
    </row>
    <row r="20" spans="1:24" ht="15" customHeight="1">
      <c r="A20" s="2" t="s">
        <v>164</v>
      </c>
      <c r="B20" s="2" t="s">
        <v>165</v>
      </c>
      <c r="C20" s="2">
        <v>10</v>
      </c>
      <c r="D20" s="2" t="s">
        <v>93</v>
      </c>
      <c r="E20" s="2" t="s">
        <v>166</v>
      </c>
      <c r="F20" s="2" t="s">
        <v>167</v>
      </c>
      <c r="G20" s="2" t="s">
        <v>162</v>
      </c>
      <c r="H20" s="2" t="s">
        <v>32</v>
      </c>
      <c r="I20" s="2" t="s">
        <v>168</v>
      </c>
      <c r="J20" s="2" t="s">
        <v>48</v>
      </c>
      <c r="K20" s="2" t="s">
        <v>49</v>
      </c>
      <c r="L20" s="2" t="s">
        <v>50</v>
      </c>
      <c r="M20" s="2" t="s">
        <v>35</v>
      </c>
      <c r="N20" s="2" t="s">
        <v>70</v>
      </c>
      <c r="O20" s="2">
        <v>106422.42</v>
      </c>
      <c r="P20" s="2">
        <v>17.600000000000001</v>
      </c>
      <c r="Q20" s="2">
        <v>36434.85</v>
      </c>
      <c r="R20" s="2" t="s">
        <v>82</v>
      </c>
      <c r="S20" s="2">
        <v>467</v>
      </c>
      <c r="T20" s="2">
        <v>27</v>
      </c>
      <c r="U20" s="2" t="s">
        <v>122</v>
      </c>
      <c r="V20" s="2" t="s">
        <v>73</v>
      </c>
      <c r="W20" s="2">
        <v>2</v>
      </c>
      <c r="X20" s="2">
        <v>1.1000000000000001</v>
      </c>
    </row>
    <row r="21" spans="1:24" ht="15" customHeight="1">
      <c r="A21" s="2" t="s">
        <v>169</v>
      </c>
      <c r="B21" s="2" t="s">
        <v>170</v>
      </c>
      <c r="C21" s="2">
        <v>12</v>
      </c>
      <c r="D21" s="2" t="s">
        <v>171</v>
      </c>
      <c r="E21" s="2" t="s">
        <v>172</v>
      </c>
      <c r="F21" s="2" t="s">
        <v>120</v>
      </c>
      <c r="G21" s="2" t="s">
        <v>162</v>
      </c>
      <c r="H21" s="2" t="s">
        <v>173</v>
      </c>
      <c r="I21" s="2" t="s">
        <v>174</v>
      </c>
      <c r="J21" s="2" t="s">
        <v>90</v>
      </c>
      <c r="K21" s="2" t="s">
        <v>49</v>
      </c>
      <c r="L21" s="2" t="s">
        <v>50</v>
      </c>
      <c r="M21" s="2" t="s">
        <v>51</v>
      </c>
      <c r="N21" s="2" t="s">
        <v>70</v>
      </c>
      <c r="O21" s="2">
        <v>124237.98</v>
      </c>
      <c r="P21" s="2">
        <v>77.099999999999994</v>
      </c>
      <c r="Q21" s="2">
        <v>38135.11</v>
      </c>
      <c r="R21" s="2" t="s">
        <v>129</v>
      </c>
      <c r="S21" s="2">
        <v>456</v>
      </c>
      <c r="T21" s="2">
        <v>187</v>
      </c>
      <c r="U21" s="2" t="s">
        <v>73</v>
      </c>
      <c r="V21" s="2" t="s">
        <v>73</v>
      </c>
      <c r="W21" s="2">
        <v>5</v>
      </c>
      <c r="X21" s="2">
        <v>2.8</v>
      </c>
    </row>
    <row r="22" spans="1:24" ht="15" customHeight="1">
      <c r="A22" s="2" t="s">
        <v>175</v>
      </c>
      <c r="B22" s="2" t="s">
        <v>176</v>
      </c>
      <c r="C22" s="2">
        <v>11</v>
      </c>
      <c r="D22" s="2" t="s">
        <v>177</v>
      </c>
      <c r="E22" s="2" t="s">
        <v>178</v>
      </c>
      <c r="F22" s="2" t="s">
        <v>103</v>
      </c>
      <c r="G22" s="2" t="s">
        <v>179</v>
      </c>
      <c r="H22" s="2" t="s">
        <v>173</v>
      </c>
      <c r="I22" s="2" t="s">
        <v>180</v>
      </c>
      <c r="J22" s="2" t="s">
        <v>34</v>
      </c>
      <c r="K22" s="2" t="s">
        <v>49</v>
      </c>
      <c r="L22" s="2" t="s">
        <v>50</v>
      </c>
      <c r="M22" s="2" t="s">
        <v>51</v>
      </c>
      <c r="N22" s="2" t="s">
        <v>70</v>
      </c>
      <c r="O22" s="2">
        <v>54349.13</v>
      </c>
      <c r="P22" s="2">
        <v>57.6</v>
      </c>
      <c r="Q22" s="2">
        <v>16576.11</v>
      </c>
      <c r="R22" s="2" t="s">
        <v>52</v>
      </c>
      <c r="S22" s="2">
        <v>387</v>
      </c>
      <c r="T22" s="2">
        <v>104</v>
      </c>
      <c r="U22" s="2" t="s">
        <v>39</v>
      </c>
      <c r="V22" s="2" t="s">
        <v>73</v>
      </c>
      <c r="W22" s="2">
        <v>4</v>
      </c>
      <c r="X22" s="2">
        <v>7.2</v>
      </c>
    </row>
    <row r="23" spans="1:24" ht="15" customHeight="1">
      <c r="A23" s="2" t="s">
        <v>181</v>
      </c>
      <c r="B23" s="2" t="s">
        <v>182</v>
      </c>
      <c r="C23" s="2">
        <v>21</v>
      </c>
      <c r="D23" s="2" t="s">
        <v>171</v>
      </c>
      <c r="E23" s="2" t="s">
        <v>183</v>
      </c>
      <c r="F23" s="2" t="s">
        <v>184</v>
      </c>
      <c r="G23" s="2" t="s">
        <v>96</v>
      </c>
      <c r="H23" s="2" t="s">
        <v>58</v>
      </c>
      <c r="I23" s="2" t="s">
        <v>185</v>
      </c>
      <c r="J23" s="2" t="s">
        <v>128</v>
      </c>
      <c r="K23" s="2" t="s">
        <v>67</v>
      </c>
      <c r="L23" s="2" t="s">
        <v>68</v>
      </c>
      <c r="M23" s="2" t="s">
        <v>51</v>
      </c>
      <c r="N23" s="2" t="s">
        <v>36</v>
      </c>
      <c r="O23" s="2">
        <v>32924.720000000001</v>
      </c>
      <c r="P23" s="2">
        <v>45.2</v>
      </c>
      <c r="Q23" s="2">
        <v>45731.38</v>
      </c>
      <c r="R23" s="2" t="s">
        <v>52</v>
      </c>
      <c r="S23" s="2">
        <v>521</v>
      </c>
      <c r="T23" s="2">
        <v>70</v>
      </c>
      <c r="U23" s="2" t="s">
        <v>72</v>
      </c>
      <c r="V23" s="2" t="s">
        <v>122</v>
      </c>
      <c r="W23" s="2">
        <v>2</v>
      </c>
      <c r="X23" s="2">
        <v>3.6</v>
      </c>
    </row>
    <row r="24" spans="1:24" ht="15" customHeight="1">
      <c r="A24" s="2" t="s">
        <v>186</v>
      </c>
      <c r="B24" s="2" t="s">
        <v>187</v>
      </c>
      <c r="C24" s="2">
        <v>14</v>
      </c>
      <c r="D24" s="2" t="s">
        <v>188</v>
      </c>
      <c r="E24" s="2" t="s">
        <v>189</v>
      </c>
      <c r="F24" s="2" t="s">
        <v>184</v>
      </c>
      <c r="G24" s="2" t="s">
        <v>190</v>
      </c>
      <c r="H24" s="2" t="s">
        <v>79</v>
      </c>
      <c r="I24" s="2" t="s">
        <v>191</v>
      </c>
      <c r="J24" s="2" t="s">
        <v>81</v>
      </c>
      <c r="K24" s="2" t="s">
        <v>114</v>
      </c>
      <c r="L24" s="2" t="s">
        <v>115</v>
      </c>
      <c r="M24" s="2" t="s">
        <v>35</v>
      </c>
      <c r="N24" s="2" t="s">
        <v>70</v>
      </c>
      <c r="O24" s="2">
        <v>31732.73</v>
      </c>
      <c r="P24" s="2">
        <v>75.599999999999994</v>
      </c>
      <c r="Q24" s="2">
        <v>28663.75</v>
      </c>
      <c r="R24" s="2" t="s">
        <v>97</v>
      </c>
      <c r="S24" s="2">
        <v>803</v>
      </c>
      <c r="T24" s="2">
        <v>161</v>
      </c>
      <c r="U24" s="2" t="s">
        <v>83</v>
      </c>
      <c r="V24" s="2" t="s">
        <v>122</v>
      </c>
      <c r="W24" s="2">
        <v>1</v>
      </c>
      <c r="X24" s="2">
        <v>8.9</v>
      </c>
    </row>
    <row r="25" spans="1:24" ht="15" customHeight="1">
      <c r="A25" s="2" t="s">
        <v>192</v>
      </c>
      <c r="B25" s="2" t="s">
        <v>193</v>
      </c>
      <c r="C25" s="2">
        <v>44</v>
      </c>
      <c r="D25" s="2" t="s">
        <v>55</v>
      </c>
      <c r="E25" s="2" t="s">
        <v>194</v>
      </c>
      <c r="F25" s="2" t="s">
        <v>103</v>
      </c>
      <c r="G25" s="2" t="s">
        <v>190</v>
      </c>
      <c r="H25" s="2" t="s">
        <v>32</v>
      </c>
      <c r="I25" s="2" t="s">
        <v>33</v>
      </c>
      <c r="J25" s="2" t="s">
        <v>81</v>
      </c>
      <c r="K25" s="2" t="s">
        <v>67</v>
      </c>
      <c r="L25" s="2" t="s">
        <v>68</v>
      </c>
      <c r="M25" s="2" t="s">
        <v>69</v>
      </c>
      <c r="N25" s="2" t="s">
        <v>60</v>
      </c>
      <c r="O25" s="2">
        <v>95699.68</v>
      </c>
      <c r="P25" s="2">
        <v>11.1</v>
      </c>
      <c r="Q25" s="2">
        <v>14391.91</v>
      </c>
      <c r="R25" s="2" t="s">
        <v>82</v>
      </c>
      <c r="S25" s="2" t="s">
        <v>195</v>
      </c>
      <c r="T25" s="2">
        <v>115</v>
      </c>
      <c r="U25" s="2" t="s">
        <v>38</v>
      </c>
      <c r="V25" s="2" t="s">
        <v>83</v>
      </c>
      <c r="W25" s="2">
        <v>3</v>
      </c>
      <c r="X25" s="2">
        <v>6.5</v>
      </c>
    </row>
    <row r="26" spans="1:24" ht="15" customHeight="1">
      <c r="A26" s="2" t="s">
        <v>196</v>
      </c>
      <c r="B26" s="2" t="s">
        <v>197</v>
      </c>
      <c r="C26" s="2">
        <v>20</v>
      </c>
      <c r="D26" s="2" t="s">
        <v>171</v>
      </c>
      <c r="E26" s="2" t="s">
        <v>198</v>
      </c>
      <c r="F26" s="2" t="s">
        <v>167</v>
      </c>
      <c r="G26" s="2" t="s">
        <v>179</v>
      </c>
      <c r="H26" s="2" t="s">
        <v>65</v>
      </c>
      <c r="I26" s="2" t="s">
        <v>199</v>
      </c>
      <c r="J26" s="2" t="s">
        <v>128</v>
      </c>
      <c r="K26" s="2" t="s">
        <v>67</v>
      </c>
      <c r="L26" s="2" t="s">
        <v>68</v>
      </c>
      <c r="M26" s="2" t="s">
        <v>69</v>
      </c>
      <c r="N26" s="2" t="s">
        <v>60</v>
      </c>
      <c r="O26" s="2">
        <v>119931.14</v>
      </c>
      <c r="P26" s="2">
        <v>66.8</v>
      </c>
      <c r="Q26" s="2">
        <v>55271.55</v>
      </c>
      <c r="R26" s="2" t="s">
        <v>138</v>
      </c>
      <c r="S26" s="2">
        <v>779</v>
      </c>
      <c r="T26" s="2">
        <v>179</v>
      </c>
      <c r="U26" s="2" t="s">
        <v>38</v>
      </c>
      <c r="V26" s="2" t="s">
        <v>73</v>
      </c>
      <c r="W26" s="2">
        <v>1</v>
      </c>
      <c r="X26" s="2">
        <v>5.6</v>
      </c>
    </row>
    <row r="27" spans="1:24" ht="15" customHeight="1">
      <c r="A27" s="2" t="s">
        <v>200</v>
      </c>
      <c r="B27" s="2" t="s">
        <v>201</v>
      </c>
      <c r="C27" s="2">
        <v>44</v>
      </c>
      <c r="D27" s="2" t="s">
        <v>188</v>
      </c>
      <c r="E27" s="2" t="s">
        <v>202</v>
      </c>
      <c r="F27" s="2" t="s">
        <v>120</v>
      </c>
      <c r="G27" s="2" t="s">
        <v>162</v>
      </c>
      <c r="H27" s="2" t="s">
        <v>126</v>
      </c>
      <c r="I27" s="2" t="s">
        <v>203</v>
      </c>
      <c r="J27" s="2" t="s">
        <v>113</v>
      </c>
      <c r="K27" s="2" t="s">
        <v>67</v>
      </c>
      <c r="L27" s="2" t="s">
        <v>68</v>
      </c>
      <c r="M27" s="2" t="s">
        <v>51</v>
      </c>
      <c r="N27" s="2" t="s">
        <v>70</v>
      </c>
      <c r="O27" s="2">
        <v>31315.93</v>
      </c>
      <c r="P27" s="2">
        <v>52.6</v>
      </c>
      <c r="Q27" s="2">
        <v>29503.55</v>
      </c>
      <c r="R27" s="2" t="s">
        <v>97</v>
      </c>
      <c r="S27" s="2">
        <v>656</v>
      </c>
      <c r="T27" s="2">
        <v>82</v>
      </c>
      <c r="U27" s="2" t="s">
        <v>83</v>
      </c>
      <c r="V27" s="2" t="s">
        <v>73</v>
      </c>
      <c r="W27" s="2">
        <v>4</v>
      </c>
      <c r="X27" s="2">
        <v>2.9</v>
      </c>
    </row>
    <row r="28" spans="1:24" ht="15" customHeight="1">
      <c r="A28" s="2" t="s">
        <v>204</v>
      </c>
      <c r="B28" s="2" t="s">
        <v>205</v>
      </c>
      <c r="C28" s="2">
        <v>41</v>
      </c>
      <c r="D28" s="2" t="s">
        <v>118</v>
      </c>
      <c r="E28" s="2" t="s">
        <v>206</v>
      </c>
      <c r="F28" s="2" t="s">
        <v>77</v>
      </c>
      <c r="G28" s="2" t="s">
        <v>96</v>
      </c>
      <c r="H28" s="2" t="s">
        <v>65</v>
      </c>
      <c r="I28" s="2" t="s">
        <v>33</v>
      </c>
      <c r="J28" s="2" t="s">
        <v>48</v>
      </c>
      <c r="K28" s="2" t="s">
        <v>67</v>
      </c>
      <c r="L28" s="2" t="s">
        <v>68</v>
      </c>
      <c r="M28" s="2" t="s">
        <v>51</v>
      </c>
      <c r="N28" s="2" t="s">
        <v>60</v>
      </c>
      <c r="O28" s="2">
        <v>32199.47</v>
      </c>
      <c r="P28" s="2">
        <v>61.7</v>
      </c>
      <c r="Q28" s="2">
        <v>37524.519999999997</v>
      </c>
      <c r="R28" s="2" t="s">
        <v>52</v>
      </c>
      <c r="S28" s="2">
        <v>573</v>
      </c>
      <c r="T28" s="2">
        <v>73</v>
      </c>
      <c r="U28" s="2" t="s">
        <v>73</v>
      </c>
      <c r="V28" s="2" t="s">
        <v>108</v>
      </c>
      <c r="W28" s="2">
        <v>5</v>
      </c>
      <c r="X28" s="2">
        <v>7.3</v>
      </c>
    </row>
    <row r="29" spans="1:24" ht="15" customHeight="1">
      <c r="A29" s="2" t="s">
        <v>207</v>
      </c>
      <c r="B29" s="2" t="s">
        <v>208</v>
      </c>
      <c r="C29" s="2">
        <v>6</v>
      </c>
      <c r="D29" s="2" t="s">
        <v>188</v>
      </c>
      <c r="E29" s="2" t="s">
        <v>209</v>
      </c>
      <c r="F29" s="2" t="s">
        <v>30</v>
      </c>
      <c r="G29" s="2" t="s">
        <v>45</v>
      </c>
      <c r="H29" s="2" t="s">
        <v>65</v>
      </c>
      <c r="I29" s="2" t="s">
        <v>210</v>
      </c>
      <c r="J29" s="2" t="s">
        <v>81</v>
      </c>
      <c r="K29" s="2" t="s">
        <v>106</v>
      </c>
      <c r="L29" s="2" t="s">
        <v>50</v>
      </c>
      <c r="M29" s="2" t="s">
        <v>51</v>
      </c>
      <c r="N29" s="2" t="s">
        <v>70</v>
      </c>
      <c r="O29" s="2">
        <v>147135.47</v>
      </c>
      <c r="P29" s="2">
        <v>46.3</v>
      </c>
      <c r="Q29" s="2">
        <v>23015.16</v>
      </c>
      <c r="R29" s="2"/>
      <c r="S29" s="2">
        <v>439</v>
      </c>
      <c r="T29" s="2">
        <v>70</v>
      </c>
      <c r="U29" s="2" t="s">
        <v>38</v>
      </c>
      <c r="V29" s="2" t="s">
        <v>72</v>
      </c>
      <c r="W29" s="2">
        <v>3</v>
      </c>
      <c r="X29" s="2">
        <v>6.7</v>
      </c>
    </row>
    <row r="30" spans="1:24" ht="15" customHeight="1">
      <c r="A30" s="2" t="s">
        <v>211</v>
      </c>
      <c r="B30" s="2" t="s">
        <v>212</v>
      </c>
      <c r="C30" s="2">
        <v>37</v>
      </c>
      <c r="D30" s="2" t="s">
        <v>118</v>
      </c>
      <c r="E30" s="2" t="s">
        <v>213</v>
      </c>
      <c r="F30" s="2" t="s">
        <v>88</v>
      </c>
      <c r="G30" s="2" t="s">
        <v>96</v>
      </c>
      <c r="H30" s="2" t="s">
        <v>46</v>
      </c>
      <c r="I30" s="2" t="s">
        <v>214</v>
      </c>
      <c r="J30" s="2" t="s">
        <v>34</v>
      </c>
      <c r="K30" s="2" t="s">
        <v>67</v>
      </c>
      <c r="L30" s="2" t="s">
        <v>68</v>
      </c>
      <c r="M30" s="2" t="s">
        <v>51</v>
      </c>
      <c r="N30" s="2" t="s">
        <v>70</v>
      </c>
      <c r="O30" s="2">
        <v>38866.550000000003</v>
      </c>
      <c r="P30" s="2">
        <v>8.3000000000000007</v>
      </c>
      <c r="Q30" s="2">
        <v>44682.31</v>
      </c>
      <c r="R30" s="2" t="s">
        <v>107</v>
      </c>
      <c r="S30" s="2">
        <v>695</v>
      </c>
      <c r="T30" s="2">
        <v>166</v>
      </c>
      <c r="U30" s="2" t="s">
        <v>98</v>
      </c>
      <c r="V30" s="2" t="s">
        <v>83</v>
      </c>
      <c r="W30" s="2">
        <v>5</v>
      </c>
      <c r="X30" s="2">
        <v>8.6999999999999993</v>
      </c>
    </row>
    <row r="31" spans="1:24" ht="15" customHeight="1">
      <c r="A31" s="2" t="s">
        <v>215</v>
      </c>
      <c r="B31" s="2" t="s">
        <v>216</v>
      </c>
      <c r="C31" s="2">
        <v>34</v>
      </c>
      <c r="D31" s="2" t="s">
        <v>55</v>
      </c>
      <c r="E31" s="2" t="s">
        <v>156</v>
      </c>
      <c r="F31" s="2" t="s">
        <v>44</v>
      </c>
      <c r="G31" s="2" t="s">
        <v>217</v>
      </c>
      <c r="H31" s="2" t="s">
        <v>58</v>
      </c>
      <c r="I31" s="2" t="s">
        <v>218</v>
      </c>
      <c r="J31" s="2" t="s">
        <v>128</v>
      </c>
      <c r="K31" s="2" t="s">
        <v>67</v>
      </c>
      <c r="L31" s="2" t="s">
        <v>68</v>
      </c>
      <c r="M31" s="2" t="s">
        <v>51</v>
      </c>
      <c r="N31" s="2" t="s">
        <v>60</v>
      </c>
      <c r="O31" s="2">
        <v>128505.97</v>
      </c>
      <c r="P31" s="2">
        <v>69.5</v>
      </c>
      <c r="Q31" s="2">
        <v>22800.560000000001</v>
      </c>
      <c r="R31" s="2" t="s">
        <v>129</v>
      </c>
      <c r="S31" s="2">
        <v>799</v>
      </c>
      <c r="T31" s="2">
        <v>9</v>
      </c>
      <c r="U31" s="2" t="s">
        <v>83</v>
      </c>
      <c r="V31" s="2" t="s">
        <v>39</v>
      </c>
      <c r="W31" s="2">
        <v>1</v>
      </c>
      <c r="X31" s="2">
        <v>4.2</v>
      </c>
    </row>
    <row r="32" spans="1:24" ht="15" customHeight="1">
      <c r="A32" s="2" t="s">
        <v>219</v>
      </c>
      <c r="B32" s="2" t="s">
        <v>220</v>
      </c>
      <c r="C32" s="2">
        <v>12</v>
      </c>
      <c r="D32" s="2" t="s">
        <v>28</v>
      </c>
      <c r="E32" s="2" t="s">
        <v>221</v>
      </c>
      <c r="F32" s="2" t="s">
        <v>44</v>
      </c>
      <c r="G32" s="2" t="s">
        <v>162</v>
      </c>
      <c r="H32" s="2" t="s">
        <v>173</v>
      </c>
      <c r="I32" s="2" t="s">
        <v>222</v>
      </c>
      <c r="J32" s="2" t="s">
        <v>113</v>
      </c>
      <c r="K32" s="2" t="s">
        <v>49</v>
      </c>
      <c r="L32" s="2" t="s">
        <v>50</v>
      </c>
      <c r="M32" s="2" t="s">
        <v>35</v>
      </c>
      <c r="N32" s="2" t="s">
        <v>36</v>
      </c>
      <c r="O32" s="2">
        <v>103861.05</v>
      </c>
      <c r="P32" s="2">
        <v>18.100000000000001</v>
      </c>
      <c r="Q32" s="2">
        <v>36569.51</v>
      </c>
      <c r="R32" s="2" t="s">
        <v>129</v>
      </c>
      <c r="S32" s="2">
        <v>546</v>
      </c>
      <c r="T32" s="2">
        <v>149</v>
      </c>
      <c r="U32" s="2" t="s">
        <v>83</v>
      </c>
      <c r="V32" s="2" t="s">
        <v>38</v>
      </c>
      <c r="W32" s="2">
        <v>4</v>
      </c>
      <c r="X32" s="2">
        <v>2.7</v>
      </c>
    </row>
    <row r="33" spans="1:24" ht="15" customHeight="1">
      <c r="A33" s="2" t="s">
        <v>223</v>
      </c>
      <c r="B33" s="2" t="s">
        <v>224</v>
      </c>
      <c r="C33" s="2">
        <v>24</v>
      </c>
      <c r="D33" s="2" t="s">
        <v>93</v>
      </c>
      <c r="E33" s="2" t="s">
        <v>225</v>
      </c>
      <c r="F33" s="2" t="s">
        <v>88</v>
      </c>
      <c r="G33" s="2" t="s">
        <v>190</v>
      </c>
      <c r="H33" s="2" t="s">
        <v>58</v>
      </c>
      <c r="I33" s="2" t="s">
        <v>226</v>
      </c>
      <c r="J33" s="2" t="s">
        <v>34</v>
      </c>
      <c r="K33" s="2" t="s">
        <v>67</v>
      </c>
      <c r="L33" s="2" t="s">
        <v>68</v>
      </c>
      <c r="M33" s="2" t="s">
        <v>51</v>
      </c>
      <c r="N33" s="2" t="s">
        <v>60</v>
      </c>
      <c r="O33" s="2">
        <v>39394.83</v>
      </c>
      <c r="P33" s="2">
        <v>48.1</v>
      </c>
      <c r="Q33" s="2">
        <v>59561.52</v>
      </c>
      <c r="R33" s="2" t="s">
        <v>138</v>
      </c>
      <c r="S33" s="2">
        <v>705</v>
      </c>
      <c r="T33" s="2">
        <v>144</v>
      </c>
      <c r="U33" s="2" t="s">
        <v>98</v>
      </c>
      <c r="V33" s="2" t="s">
        <v>39</v>
      </c>
      <c r="W33" s="2">
        <v>5</v>
      </c>
      <c r="X33" s="2">
        <v>7.3</v>
      </c>
    </row>
    <row r="34" spans="1:24" ht="15" customHeight="1">
      <c r="A34" s="2" t="s">
        <v>227</v>
      </c>
      <c r="B34" s="2" t="s">
        <v>228</v>
      </c>
      <c r="C34" s="2">
        <v>22</v>
      </c>
      <c r="D34" s="2" t="s">
        <v>93</v>
      </c>
      <c r="E34" s="2" t="s">
        <v>229</v>
      </c>
      <c r="F34" s="2" t="s">
        <v>44</v>
      </c>
      <c r="G34" s="2" t="s">
        <v>190</v>
      </c>
      <c r="H34" s="2" t="s">
        <v>152</v>
      </c>
      <c r="I34" s="2" t="s">
        <v>230</v>
      </c>
      <c r="J34" s="2" t="s">
        <v>90</v>
      </c>
      <c r="K34" s="2" t="s">
        <v>67</v>
      </c>
      <c r="L34" s="2" t="s">
        <v>68</v>
      </c>
      <c r="M34" s="2" t="s">
        <v>51</v>
      </c>
      <c r="N34" s="2" t="s">
        <v>70</v>
      </c>
      <c r="O34" s="2">
        <v>30467.81</v>
      </c>
      <c r="P34" s="2">
        <v>45.5</v>
      </c>
      <c r="Q34" s="2">
        <v>58289.37</v>
      </c>
      <c r="R34" s="2"/>
      <c r="S34" s="2">
        <v>579</v>
      </c>
      <c r="T34" s="2">
        <v>65</v>
      </c>
      <c r="U34" s="2" t="s">
        <v>38</v>
      </c>
      <c r="V34" s="2" t="s">
        <v>72</v>
      </c>
      <c r="W34" s="2">
        <v>4</v>
      </c>
      <c r="X34" s="2">
        <v>8.6999999999999993</v>
      </c>
    </row>
    <row r="35" spans="1:24" ht="15" customHeight="1">
      <c r="A35" s="2" t="s">
        <v>231</v>
      </c>
      <c r="B35" s="2" t="s">
        <v>232</v>
      </c>
      <c r="C35" s="2">
        <v>31</v>
      </c>
      <c r="D35" s="2" t="s">
        <v>188</v>
      </c>
      <c r="E35" s="2" t="s">
        <v>233</v>
      </c>
      <c r="F35" s="2" t="s">
        <v>44</v>
      </c>
      <c r="G35" s="2" t="s">
        <v>190</v>
      </c>
      <c r="H35" s="2" t="s">
        <v>46</v>
      </c>
      <c r="I35" s="2" t="s">
        <v>234</v>
      </c>
      <c r="J35" s="2" t="s">
        <v>81</v>
      </c>
      <c r="K35" s="2" t="s">
        <v>67</v>
      </c>
      <c r="L35" s="2" t="s">
        <v>68</v>
      </c>
      <c r="M35" s="2" t="s">
        <v>51</v>
      </c>
      <c r="N35" s="2" t="s">
        <v>70</v>
      </c>
      <c r="O35" s="2">
        <v>20710.18</v>
      </c>
      <c r="P35" s="2">
        <v>6.9</v>
      </c>
      <c r="Q35" s="2">
        <v>53054.09</v>
      </c>
      <c r="R35" s="2" t="s">
        <v>37</v>
      </c>
      <c r="S35" s="2">
        <v>526</v>
      </c>
      <c r="T35" s="2">
        <v>162</v>
      </c>
      <c r="U35" s="2" t="s">
        <v>38</v>
      </c>
      <c r="V35" s="2" t="s">
        <v>72</v>
      </c>
      <c r="W35" s="2">
        <v>2</v>
      </c>
      <c r="X35" s="2">
        <v>0.9</v>
      </c>
    </row>
    <row r="36" spans="1:24" ht="15" customHeight="1">
      <c r="A36" s="2" t="s">
        <v>235</v>
      </c>
      <c r="B36" s="2" t="s">
        <v>236</v>
      </c>
      <c r="C36" s="2">
        <v>13</v>
      </c>
      <c r="D36" s="2" t="s">
        <v>101</v>
      </c>
      <c r="E36" s="2" t="s">
        <v>237</v>
      </c>
      <c r="F36" s="2" t="s">
        <v>57</v>
      </c>
      <c r="G36" s="2" t="s">
        <v>179</v>
      </c>
      <c r="H36" s="2" t="s">
        <v>152</v>
      </c>
      <c r="I36" s="2" t="s">
        <v>238</v>
      </c>
      <c r="J36" s="2" t="s">
        <v>81</v>
      </c>
      <c r="K36" s="2" t="s">
        <v>49</v>
      </c>
      <c r="L36" s="2" t="s">
        <v>50</v>
      </c>
      <c r="M36" s="2" t="s">
        <v>51</v>
      </c>
      <c r="N36" s="2" t="s">
        <v>70</v>
      </c>
      <c r="O36" s="2">
        <v>99963.68</v>
      </c>
      <c r="P36" s="2">
        <v>51.2</v>
      </c>
      <c r="Q36" s="2">
        <v>56343.18</v>
      </c>
      <c r="R36" s="2" t="s">
        <v>138</v>
      </c>
      <c r="S36" s="2">
        <v>679</v>
      </c>
      <c r="T36" s="2">
        <v>113</v>
      </c>
      <c r="U36" s="2" t="s">
        <v>122</v>
      </c>
      <c r="V36" s="2" t="s">
        <v>122</v>
      </c>
      <c r="W36" s="2">
        <v>5</v>
      </c>
      <c r="X36" s="2">
        <v>8.1999999999999993</v>
      </c>
    </row>
    <row r="37" spans="1:24" ht="15" customHeight="1">
      <c r="A37" s="2" t="s">
        <v>239</v>
      </c>
      <c r="B37" s="2" t="s">
        <v>240</v>
      </c>
      <c r="C37" s="2">
        <v>23</v>
      </c>
      <c r="D37" s="2" t="s">
        <v>93</v>
      </c>
      <c r="E37" s="2" t="s">
        <v>202</v>
      </c>
      <c r="F37" s="2" t="s">
        <v>103</v>
      </c>
      <c r="G37" s="2" t="s">
        <v>31</v>
      </c>
      <c r="H37" s="2" t="s">
        <v>104</v>
      </c>
      <c r="I37" s="2" t="s">
        <v>241</v>
      </c>
      <c r="J37" s="2" t="s">
        <v>34</v>
      </c>
      <c r="K37" s="2" t="s">
        <v>67</v>
      </c>
      <c r="L37" s="2" t="s">
        <v>68</v>
      </c>
      <c r="M37" s="2" t="s">
        <v>51</v>
      </c>
      <c r="N37" s="2" t="s">
        <v>60</v>
      </c>
      <c r="O37" s="2">
        <v>14948.47</v>
      </c>
      <c r="P37" s="2">
        <v>20.5</v>
      </c>
      <c r="Q37" s="2">
        <v>12957.08</v>
      </c>
      <c r="R37" s="2" t="s">
        <v>61</v>
      </c>
      <c r="S37" s="2">
        <v>451</v>
      </c>
      <c r="T37" s="2">
        <v>152</v>
      </c>
      <c r="U37" s="2" t="s">
        <v>122</v>
      </c>
      <c r="V37" s="2" t="s">
        <v>83</v>
      </c>
      <c r="W37" s="2">
        <v>5</v>
      </c>
      <c r="X37" s="2">
        <v>2.6</v>
      </c>
    </row>
    <row r="38" spans="1:24" ht="15" customHeight="1">
      <c r="A38" s="2" t="s">
        <v>242</v>
      </c>
      <c r="B38" s="2" t="s">
        <v>243</v>
      </c>
      <c r="C38" s="2">
        <v>7</v>
      </c>
      <c r="D38" s="2" t="s">
        <v>93</v>
      </c>
      <c r="E38" s="2" t="s">
        <v>244</v>
      </c>
      <c r="F38" s="2" t="s">
        <v>167</v>
      </c>
      <c r="G38" s="2" t="s">
        <v>96</v>
      </c>
      <c r="H38" s="2" t="s">
        <v>245</v>
      </c>
      <c r="I38" s="2" t="s">
        <v>246</v>
      </c>
      <c r="J38" s="2" t="s">
        <v>48</v>
      </c>
      <c r="K38" s="2" t="s">
        <v>106</v>
      </c>
      <c r="L38" s="2" t="s">
        <v>50</v>
      </c>
      <c r="M38" s="2" t="s">
        <v>51</v>
      </c>
      <c r="N38" s="2" t="s">
        <v>60</v>
      </c>
      <c r="O38" s="2">
        <v>74055.66</v>
      </c>
      <c r="P38" s="2">
        <v>43.5</v>
      </c>
      <c r="Q38" s="2">
        <v>6543.24</v>
      </c>
      <c r="R38" s="2" t="s">
        <v>148</v>
      </c>
      <c r="S38" s="2">
        <v>344</v>
      </c>
      <c r="T38" s="2">
        <v>168</v>
      </c>
      <c r="U38" s="2" t="s">
        <v>73</v>
      </c>
      <c r="V38" s="2" t="s">
        <v>108</v>
      </c>
      <c r="W38" s="2">
        <v>4</v>
      </c>
      <c r="X38" s="2">
        <v>7.7</v>
      </c>
    </row>
    <row r="39" spans="1:24" ht="15" customHeight="1">
      <c r="A39" s="2" t="s">
        <v>247</v>
      </c>
      <c r="B39" s="2" t="s">
        <v>248</v>
      </c>
      <c r="C39" s="2">
        <v>34</v>
      </c>
      <c r="D39" s="2" t="s">
        <v>93</v>
      </c>
      <c r="E39" s="2" t="s">
        <v>249</v>
      </c>
      <c r="F39" s="2" t="s">
        <v>57</v>
      </c>
      <c r="G39" s="2" t="s">
        <v>31</v>
      </c>
      <c r="H39" s="2" t="s">
        <v>79</v>
      </c>
      <c r="I39" s="2" t="s">
        <v>250</v>
      </c>
      <c r="J39" s="2" t="s">
        <v>113</v>
      </c>
      <c r="K39" s="2" t="s">
        <v>67</v>
      </c>
      <c r="L39" s="2" t="s">
        <v>68</v>
      </c>
      <c r="M39" s="2" t="s">
        <v>51</v>
      </c>
      <c r="N39" s="2" t="s">
        <v>70</v>
      </c>
      <c r="O39" s="2">
        <v>78304.91</v>
      </c>
      <c r="P39" s="2">
        <v>64.5</v>
      </c>
      <c r="Q39" s="2">
        <v>6864.84</v>
      </c>
      <c r="R39" s="2"/>
      <c r="S39" s="2">
        <v>520</v>
      </c>
      <c r="T39" s="2">
        <v>58</v>
      </c>
      <c r="U39" s="2" t="s">
        <v>38</v>
      </c>
      <c r="V39" s="2" t="s">
        <v>73</v>
      </c>
      <c r="W39" s="2">
        <v>4</v>
      </c>
      <c r="X39" s="2">
        <v>6.7</v>
      </c>
    </row>
    <row r="40" spans="1:24" ht="15" customHeight="1">
      <c r="A40" s="2" t="s">
        <v>251</v>
      </c>
      <c r="B40" s="2" t="s">
        <v>252</v>
      </c>
      <c r="C40" s="2">
        <v>22</v>
      </c>
      <c r="D40" s="2" t="s">
        <v>28</v>
      </c>
      <c r="E40" s="2" t="s">
        <v>253</v>
      </c>
      <c r="F40" s="2" t="s">
        <v>103</v>
      </c>
      <c r="G40" s="2" t="s">
        <v>31</v>
      </c>
      <c r="H40" s="2" t="s">
        <v>65</v>
      </c>
      <c r="I40" s="2" t="s">
        <v>254</v>
      </c>
      <c r="J40" s="2" t="s">
        <v>48</v>
      </c>
      <c r="K40" s="2" t="s">
        <v>67</v>
      </c>
      <c r="L40" s="2" t="s">
        <v>68</v>
      </c>
      <c r="M40" s="2" t="s">
        <v>51</v>
      </c>
      <c r="N40" s="2" t="s">
        <v>36</v>
      </c>
      <c r="O40" s="2">
        <v>13697.24</v>
      </c>
      <c r="P40" s="2">
        <v>47.1</v>
      </c>
      <c r="Q40" s="2">
        <v>40200.800000000003</v>
      </c>
      <c r="R40" s="2" t="s">
        <v>158</v>
      </c>
      <c r="S40" s="2">
        <v>733</v>
      </c>
      <c r="T40" s="2">
        <v>184</v>
      </c>
      <c r="U40" s="2" t="s">
        <v>122</v>
      </c>
      <c r="V40" s="2" t="s">
        <v>38</v>
      </c>
      <c r="W40" s="2">
        <v>1</v>
      </c>
      <c r="X40" s="2">
        <v>5.4</v>
      </c>
    </row>
    <row r="41" spans="1:24" ht="15" customHeight="1">
      <c r="A41" s="2" t="s">
        <v>255</v>
      </c>
      <c r="B41" s="2" t="s">
        <v>256</v>
      </c>
      <c r="C41" s="2">
        <v>20</v>
      </c>
      <c r="D41" s="2" t="s">
        <v>86</v>
      </c>
      <c r="E41" s="2" t="s">
        <v>257</v>
      </c>
      <c r="F41" s="2" t="s">
        <v>88</v>
      </c>
      <c r="G41" s="2" t="s">
        <v>31</v>
      </c>
      <c r="H41" s="2" t="s">
        <v>126</v>
      </c>
      <c r="I41" s="2" t="s">
        <v>258</v>
      </c>
      <c r="J41" s="2" t="s">
        <v>81</v>
      </c>
      <c r="K41" s="2" t="s">
        <v>67</v>
      </c>
      <c r="L41" s="2" t="s">
        <v>68</v>
      </c>
      <c r="M41" s="2" t="s">
        <v>51</v>
      </c>
      <c r="N41" s="2" t="s">
        <v>36</v>
      </c>
      <c r="O41" s="2">
        <v>102871.62</v>
      </c>
      <c r="P41" s="2">
        <v>50.7</v>
      </c>
      <c r="Q41" s="2">
        <v>39469.870000000003</v>
      </c>
      <c r="R41" s="2" t="s">
        <v>37</v>
      </c>
      <c r="S41" s="2">
        <v>329</v>
      </c>
      <c r="T41" s="2">
        <v>179</v>
      </c>
      <c r="U41" s="2" t="s">
        <v>38</v>
      </c>
      <c r="V41" s="2" t="s">
        <v>72</v>
      </c>
      <c r="W41" s="2">
        <v>2</v>
      </c>
      <c r="X41" s="2">
        <v>7.9</v>
      </c>
    </row>
    <row r="42" spans="1:24" ht="15" customHeight="1">
      <c r="A42" s="2" t="s">
        <v>259</v>
      </c>
      <c r="B42" s="2" t="s">
        <v>260</v>
      </c>
      <c r="C42" s="2">
        <v>15</v>
      </c>
      <c r="D42" s="2" t="s">
        <v>93</v>
      </c>
      <c r="E42" s="2" t="s">
        <v>261</v>
      </c>
      <c r="F42" s="2" t="s">
        <v>167</v>
      </c>
      <c r="G42" s="2" t="s">
        <v>179</v>
      </c>
      <c r="H42" s="2" t="s">
        <v>58</v>
      </c>
      <c r="I42" s="2" t="s">
        <v>262</v>
      </c>
      <c r="J42" s="2" t="s">
        <v>128</v>
      </c>
      <c r="K42" s="2" t="s">
        <v>114</v>
      </c>
      <c r="L42" s="2" t="s">
        <v>115</v>
      </c>
      <c r="M42" s="2" t="s">
        <v>51</v>
      </c>
      <c r="N42" s="2" t="s">
        <v>36</v>
      </c>
      <c r="O42" s="2">
        <v>91452.45</v>
      </c>
      <c r="P42" s="2">
        <v>16.7</v>
      </c>
      <c r="Q42" s="2">
        <v>45266.15</v>
      </c>
      <c r="R42" s="2" t="s">
        <v>71</v>
      </c>
      <c r="S42" s="2">
        <v>578</v>
      </c>
      <c r="T42" s="2">
        <v>108</v>
      </c>
      <c r="U42" s="2" t="s">
        <v>73</v>
      </c>
      <c r="V42" s="2" t="s">
        <v>38</v>
      </c>
      <c r="W42" s="2">
        <v>2</v>
      </c>
      <c r="X42" s="2">
        <v>6.9</v>
      </c>
    </row>
    <row r="43" spans="1:24" ht="15" customHeight="1">
      <c r="A43" s="2" t="s">
        <v>263</v>
      </c>
      <c r="B43" s="2" t="s">
        <v>264</v>
      </c>
      <c r="C43" s="2">
        <v>24</v>
      </c>
      <c r="D43" s="2" t="s">
        <v>171</v>
      </c>
      <c r="E43" s="2" t="s">
        <v>257</v>
      </c>
      <c r="F43" s="2" t="s">
        <v>44</v>
      </c>
      <c r="G43" s="2" t="s">
        <v>78</v>
      </c>
      <c r="H43" s="2" t="s">
        <v>58</v>
      </c>
      <c r="I43" s="2" t="s">
        <v>265</v>
      </c>
      <c r="J43" s="2" t="s">
        <v>128</v>
      </c>
      <c r="K43" s="2" t="s">
        <v>67</v>
      </c>
      <c r="L43" s="2" t="s">
        <v>68</v>
      </c>
      <c r="M43" s="2" t="s">
        <v>51</v>
      </c>
      <c r="N43" s="2" t="s">
        <v>70</v>
      </c>
      <c r="O43" s="2">
        <v>46969.83</v>
      </c>
      <c r="P43" s="2">
        <v>42.3</v>
      </c>
      <c r="Q43" s="2">
        <v>25839.3</v>
      </c>
      <c r="R43" s="2" t="s">
        <v>97</v>
      </c>
      <c r="S43" s="2">
        <v>845</v>
      </c>
      <c r="T43" s="2">
        <v>128</v>
      </c>
      <c r="U43" s="2" t="s">
        <v>72</v>
      </c>
      <c r="V43" s="2" t="s">
        <v>72</v>
      </c>
      <c r="W43" s="2">
        <v>4</v>
      </c>
      <c r="X43" s="2">
        <v>0.7</v>
      </c>
    </row>
    <row r="44" spans="1:24" ht="15" customHeight="1">
      <c r="A44" s="2" t="s">
        <v>266</v>
      </c>
      <c r="B44" s="2" t="s">
        <v>267</v>
      </c>
      <c r="C44" s="2">
        <v>42</v>
      </c>
      <c r="D44" s="2" t="s">
        <v>171</v>
      </c>
      <c r="E44" s="2" t="s">
        <v>202</v>
      </c>
      <c r="F44" s="2" t="s">
        <v>95</v>
      </c>
      <c r="G44" s="2" t="s">
        <v>190</v>
      </c>
      <c r="H44" s="2" t="s">
        <v>65</v>
      </c>
      <c r="I44" s="2" t="s">
        <v>268</v>
      </c>
      <c r="J44" s="2" t="s">
        <v>81</v>
      </c>
      <c r="K44" s="2" t="s">
        <v>67</v>
      </c>
      <c r="L44" s="2" t="s">
        <v>68</v>
      </c>
      <c r="M44" s="2" t="s">
        <v>51</v>
      </c>
      <c r="N44" s="2" t="s">
        <v>70</v>
      </c>
      <c r="O44" s="2">
        <v>17778.830000000002</v>
      </c>
      <c r="P44" s="2">
        <v>23.2</v>
      </c>
      <c r="Q44" s="2">
        <v>35332.28</v>
      </c>
      <c r="R44" s="2" t="s">
        <v>82</v>
      </c>
      <c r="S44" s="2">
        <v>705</v>
      </c>
      <c r="T44" s="2">
        <v>190</v>
      </c>
      <c r="U44" s="2" t="s">
        <v>39</v>
      </c>
      <c r="V44" s="2" t="s">
        <v>39</v>
      </c>
      <c r="W44" s="2">
        <v>1</v>
      </c>
      <c r="X44" s="2">
        <v>4.8</v>
      </c>
    </row>
    <row r="45" spans="1:24" ht="15" customHeight="1">
      <c r="A45" s="2" t="s">
        <v>269</v>
      </c>
      <c r="B45" s="2" t="s">
        <v>270</v>
      </c>
      <c r="C45" s="2">
        <v>28</v>
      </c>
      <c r="D45" s="2" t="s">
        <v>28</v>
      </c>
      <c r="E45" s="2" t="s">
        <v>244</v>
      </c>
      <c r="F45" s="2" t="s">
        <v>57</v>
      </c>
      <c r="G45" s="2" t="s">
        <v>190</v>
      </c>
      <c r="H45" s="2" t="s">
        <v>104</v>
      </c>
      <c r="I45" s="2" t="s">
        <v>271</v>
      </c>
      <c r="J45" s="2" t="s">
        <v>34</v>
      </c>
      <c r="K45" s="2" t="s">
        <v>67</v>
      </c>
      <c r="L45" s="2" t="s">
        <v>68</v>
      </c>
      <c r="M45" s="2" t="s">
        <v>51</v>
      </c>
      <c r="N45" s="2" t="s">
        <v>70</v>
      </c>
      <c r="O45" s="2">
        <v>114394.64</v>
      </c>
      <c r="P45" s="2">
        <v>38.700000000000003</v>
      </c>
      <c r="Q45" s="2">
        <v>55449.26</v>
      </c>
      <c r="R45" s="2"/>
      <c r="S45" s="2">
        <v>630</v>
      </c>
      <c r="T45" s="2">
        <v>160</v>
      </c>
      <c r="U45" s="2" t="s">
        <v>39</v>
      </c>
      <c r="V45" s="2" t="s">
        <v>72</v>
      </c>
      <c r="W45" s="2">
        <v>4</v>
      </c>
      <c r="X45" s="2">
        <v>4.3</v>
      </c>
    </row>
    <row r="46" spans="1:24" ht="15" customHeight="1">
      <c r="A46" s="2" t="s">
        <v>272</v>
      </c>
      <c r="B46" s="2" t="s">
        <v>273</v>
      </c>
      <c r="C46" s="2">
        <v>9</v>
      </c>
      <c r="D46" s="2" t="s">
        <v>171</v>
      </c>
      <c r="E46" s="2" t="s">
        <v>233</v>
      </c>
      <c r="F46" s="2" t="s">
        <v>103</v>
      </c>
      <c r="G46" s="2" t="s">
        <v>45</v>
      </c>
      <c r="H46" s="2" t="s">
        <v>245</v>
      </c>
      <c r="I46" s="2" t="s">
        <v>274</v>
      </c>
      <c r="J46" s="2" t="s">
        <v>90</v>
      </c>
      <c r="K46" s="2" t="s">
        <v>106</v>
      </c>
      <c r="L46" s="2" t="s">
        <v>50</v>
      </c>
      <c r="M46" s="2" t="s">
        <v>51</v>
      </c>
      <c r="N46" s="2" t="s">
        <v>60</v>
      </c>
      <c r="O46" s="2">
        <v>94176.22</v>
      </c>
      <c r="P46" s="2">
        <v>39.700000000000003</v>
      </c>
      <c r="Q46" s="2">
        <v>33258.980000000003</v>
      </c>
      <c r="R46" s="2" t="s">
        <v>82</v>
      </c>
      <c r="S46" s="2">
        <v>760</v>
      </c>
      <c r="T46" s="2">
        <v>146</v>
      </c>
      <c r="U46" s="2" t="s">
        <v>122</v>
      </c>
      <c r="V46" s="2" t="s">
        <v>39</v>
      </c>
      <c r="W46" s="2">
        <v>1</v>
      </c>
      <c r="X46" s="2">
        <v>4.3</v>
      </c>
    </row>
    <row r="47" spans="1:24" ht="15" customHeight="1">
      <c r="A47" s="2" t="s">
        <v>275</v>
      </c>
      <c r="B47" s="2" t="s">
        <v>276</v>
      </c>
      <c r="C47" s="2">
        <v>11</v>
      </c>
      <c r="D47" s="2" t="s">
        <v>93</v>
      </c>
      <c r="E47" s="2" t="s">
        <v>156</v>
      </c>
      <c r="F47" s="2" t="s">
        <v>103</v>
      </c>
      <c r="G47" s="2" t="s">
        <v>45</v>
      </c>
      <c r="H47" s="2" t="s">
        <v>46</v>
      </c>
      <c r="I47" s="2" t="s">
        <v>277</v>
      </c>
      <c r="J47" s="2" t="s">
        <v>128</v>
      </c>
      <c r="K47" s="2" t="s">
        <v>49</v>
      </c>
      <c r="L47" s="2" t="s">
        <v>50</v>
      </c>
      <c r="M47" s="2" t="s">
        <v>51</v>
      </c>
      <c r="N47" s="2" t="s">
        <v>70</v>
      </c>
      <c r="O47" s="2">
        <v>103440.17</v>
      </c>
      <c r="P47" s="2">
        <v>52.3</v>
      </c>
      <c r="Q47" s="2">
        <v>20078.96</v>
      </c>
      <c r="R47" s="2" t="s">
        <v>138</v>
      </c>
      <c r="S47" s="2">
        <v>871</v>
      </c>
      <c r="T47" s="2">
        <v>72</v>
      </c>
      <c r="U47" s="2" t="s">
        <v>39</v>
      </c>
      <c r="V47" s="2" t="s">
        <v>72</v>
      </c>
      <c r="W47" s="2">
        <v>5</v>
      </c>
      <c r="X47" s="2">
        <v>6.1</v>
      </c>
    </row>
    <row r="48" spans="1:24" ht="15" customHeight="1">
      <c r="A48" s="2" t="s">
        <v>278</v>
      </c>
      <c r="B48" s="2" t="s">
        <v>279</v>
      </c>
      <c r="C48" s="2">
        <v>31</v>
      </c>
      <c r="D48" s="2" t="s">
        <v>55</v>
      </c>
      <c r="E48" s="2" t="s">
        <v>280</v>
      </c>
      <c r="F48" s="2" t="s">
        <v>30</v>
      </c>
      <c r="G48" s="2" t="s">
        <v>190</v>
      </c>
      <c r="H48" s="2" t="s">
        <v>46</v>
      </c>
      <c r="I48" s="2" t="s">
        <v>281</v>
      </c>
      <c r="J48" s="2" t="s">
        <v>34</v>
      </c>
      <c r="K48" s="2" t="s">
        <v>67</v>
      </c>
      <c r="L48" s="2" t="s">
        <v>68</v>
      </c>
      <c r="M48" s="2" t="s">
        <v>51</v>
      </c>
      <c r="N48" s="2" t="s">
        <v>36</v>
      </c>
      <c r="O48" s="2">
        <v>149588.79999999999</v>
      </c>
      <c r="P48" s="2">
        <v>12</v>
      </c>
      <c r="Q48" s="2">
        <v>40227.360000000001</v>
      </c>
      <c r="R48" s="2" t="s">
        <v>37</v>
      </c>
      <c r="S48" s="2">
        <v>318</v>
      </c>
      <c r="T48" s="2">
        <v>46</v>
      </c>
      <c r="U48" s="2" t="s">
        <v>122</v>
      </c>
      <c r="V48" s="2" t="s">
        <v>39</v>
      </c>
      <c r="W48" s="2">
        <v>2</v>
      </c>
      <c r="X48" s="2">
        <v>9</v>
      </c>
    </row>
    <row r="49" spans="1:24" ht="15" customHeight="1">
      <c r="A49" s="2" t="s">
        <v>282</v>
      </c>
      <c r="B49" s="2" t="s">
        <v>283</v>
      </c>
      <c r="C49" s="2">
        <v>12</v>
      </c>
      <c r="D49" s="2" t="s">
        <v>86</v>
      </c>
      <c r="E49" s="2" t="s">
        <v>284</v>
      </c>
      <c r="F49" s="2" t="s">
        <v>120</v>
      </c>
      <c r="G49" s="2" t="s">
        <v>217</v>
      </c>
      <c r="H49" s="2" t="s">
        <v>32</v>
      </c>
      <c r="I49" s="2" t="s">
        <v>285</v>
      </c>
      <c r="J49" s="2" t="s">
        <v>48</v>
      </c>
      <c r="K49" s="2" t="s">
        <v>49</v>
      </c>
      <c r="L49" s="2" t="s">
        <v>50</v>
      </c>
      <c r="M49" s="2" t="s">
        <v>51</v>
      </c>
      <c r="N49" s="2" t="s">
        <v>60</v>
      </c>
      <c r="O49" s="2">
        <v>109571.53</v>
      </c>
      <c r="P49" s="2">
        <v>32.299999999999997</v>
      </c>
      <c r="Q49" s="2">
        <v>43175.14</v>
      </c>
      <c r="R49" s="2" t="s">
        <v>129</v>
      </c>
      <c r="S49" s="2">
        <v>591</v>
      </c>
      <c r="T49" s="2">
        <v>200</v>
      </c>
      <c r="U49" s="2" t="s">
        <v>39</v>
      </c>
      <c r="V49" s="2" t="s">
        <v>122</v>
      </c>
      <c r="W49" s="2">
        <v>4</v>
      </c>
      <c r="X49" s="2">
        <v>8.1999999999999993</v>
      </c>
    </row>
    <row r="50" spans="1:24" ht="15" customHeight="1">
      <c r="A50" s="2" t="s">
        <v>286</v>
      </c>
      <c r="B50" s="2" t="s">
        <v>287</v>
      </c>
      <c r="C50" s="2">
        <v>42</v>
      </c>
      <c r="D50" s="2" t="s">
        <v>177</v>
      </c>
      <c r="E50" s="2" t="s">
        <v>161</v>
      </c>
      <c r="F50" s="2" t="s">
        <v>95</v>
      </c>
      <c r="G50" s="2" t="s">
        <v>179</v>
      </c>
      <c r="H50" s="2" t="s">
        <v>79</v>
      </c>
      <c r="I50" s="2" t="s">
        <v>288</v>
      </c>
      <c r="J50" s="2" t="s">
        <v>90</v>
      </c>
      <c r="K50" s="2" t="s">
        <v>67</v>
      </c>
      <c r="L50" s="2" t="s">
        <v>68</v>
      </c>
      <c r="M50" s="2" t="s">
        <v>51</v>
      </c>
      <c r="N50" s="2" t="s">
        <v>36</v>
      </c>
      <c r="O50" s="2">
        <v>140472.57</v>
      </c>
      <c r="P50" s="2">
        <v>43.7</v>
      </c>
      <c r="Q50" s="2">
        <v>7480.67</v>
      </c>
      <c r="R50" s="2" t="s">
        <v>52</v>
      </c>
      <c r="S50" s="2">
        <v>579</v>
      </c>
      <c r="T50" s="2">
        <v>131</v>
      </c>
      <c r="U50" s="2" t="s">
        <v>98</v>
      </c>
      <c r="V50" s="2" t="s">
        <v>83</v>
      </c>
      <c r="W50" s="2">
        <v>4</v>
      </c>
      <c r="X50" s="2">
        <v>8</v>
      </c>
    </row>
    <row r="51" spans="1:24" ht="15" customHeight="1">
      <c r="A51" s="2" t="s">
        <v>289</v>
      </c>
      <c r="B51" s="2" t="s">
        <v>290</v>
      </c>
      <c r="C51" s="2">
        <v>31</v>
      </c>
      <c r="D51" s="2" t="s">
        <v>28</v>
      </c>
      <c r="E51" s="2" t="s">
        <v>291</v>
      </c>
      <c r="F51" s="2" t="s">
        <v>30</v>
      </c>
      <c r="G51" s="2" t="s">
        <v>96</v>
      </c>
      <c r="H51" s="2" t="s">
        <v>104</v>
      </c>
      <c r="I51" s="2" t="s">
        <v>292</v>
      </c>
      <c r="J51" s="2" t="s">
        <v>34</v>
      </c>
      <c r="K51" s="2" t="s">
        <v>67</v>
      </c>
      <c r="L51" s="2" t="s">
        <v>68</v>
      </c>
      <c r="M51" s="2" t="s">
        <v>35</v>
      </c>
      <c r="N51" s="2" t="s">
        <v>70</v>
      </c>
      <c r="O51" s="2">
        <v>105930.44</v>
      </c>
      <c r="P51" s="2">
        <v>57.9</v>
      </c>
      <c r="Q51" s="2">
        <v>26916.09</v>
      </c>
      <c r="R51" s="2" t="s">
        <v>71</v>
      </c>
      <c r="S51" s="2">
        <v>319</v>
      </c>
      <c r="T51" s="2">
        <v>38</v>
      </c>
      <c r="U51" s="2" t="s">
        <v>72</v>
      </c>
      <c r="V51" s="2" t="s">
        <v>39</v>
      </c>
      <c r="W51" s="2">
        <v>3</v>
      </c>
      <c r="X51" s="2">
        <v>1.5</v>
      </c>
    </row>
    <row r="52" spans="1:24" ht="15" customHeight="1">
      <c r="A52" s="2" t="s">
        <v>293</v>
      </c>
      <c r="B52" s="2" t="s">
        <v>294</v>
      </c>
      <c r="C52" s="2">
        <v>45</v>
      </c>
      <c r="D52" s="2" t="s">
        <v>188</v>
      </c>
      <c r="E52" s="2" t="s">
        <v>295</v>
      </c>
      <c r="F52" s="2" t="s">
        <v>103</v>
      </c>
      <c r="G52" s="2" t="s">
        <v>162</v>
      </c>
      <c r="H52" s="2" t="s">
        <v>46</v>
      </c>
      <c r="I52" s="2" t="s">
        <v>296</v>
      </c>
      <c r="J52" s="2" t="s">
        <v>128</v>
      </c>
      <c r="K52" s="2" t="s">
        <v>67</v>
      </c>
      <c r="L52" s="2" t="s">
        <v>68</v>
      </c>
      <c r="M52" s="2" t="s">
        <v>51</v>
      </c>
      <c r="N52" s="2" t="s">
        <v>60</v>
      </c>
      <c r="O52" s="2">
        <v>87746.240000000005</v>
      </c>
      <c r="P52" s="2">
        <v>55.1</v>
      </c>
      <c r="Q52" s="2">
        <v>31409.07</v>
      </c>
      <c r="R52" s="2" t="s">
        <v>138</v>
      </c>
      <c r="S52" s="2">
        <v>838</v>
      </c>
      <c r="T52" s="2">
        <v>129</v>
      </c>
      <c r="U52" s="2" t="s">
        <v>98</v>
      </c>
      <c r="V52" s="2" t="s">
        <v>72</v>
      </c>
      <c r="W52" s="2">
        <v>4</v>
      </c>
      <c r="X52" s="2">
        <v>8.8000000000000007</v>
      </c>
    </row>
    <row r="53" spans="1:24" ht="15" customHeight="1">
      <c r="A53" s="2" t="s">
        <v>297</v>
      </c>
      <c r="B53" s="2" t="s">
        <v>298</v>
      </c>
      <c r="C53" s="2"/>
      <c r="D53" s="2" t="s">
        <v>86</v>
      </c>
      <c r="E53" s="2" t="s">
        <v>299</v>
      </c>
      <c r="F53" s="2" t="s">
        <v>30</v>
      </c>
      <c r="G53" s="2" t="s">
        <v>96</v>
      </c>
      <c r="H53" s="2" t="s">
        <v>79</v>
      </c>
      <c r="I53" s="2" t="s">
        <v>300</v>
      </c>
      <c r="J53" s="2" t="s">
        <v>48</v>
      </c>
      <c r="K53" s="2"/>
      <c r="L53" s="2"/>
      <c r="M53" s="2" t="s">
        <v>35</v>
      </c>
      <c r="N53" s="2" t="s">
        <v>70</v>
      </c>
      <c r="O53" s="2">
        <v>147218.78</v>
      </c>
      <c r="P53" s="2">
        <v>18.7</v>
      </c>
      <c r="Q53" s="2">
        <v>8091.15</v>
      </c>
      <c r="R53" s="2" t="s">
        <v>107</v>
      </c>
      <c r="S53" s="2">
        <v>337</v>
      </c>
      <c r="T53" s="2">
        <v>11</v>
      </c>
      <c r="U53" s="2" t="s">
        <v>108</v>
      </c>
      <c r="V53" s="2" t="s">
        <v>38</v>
      </c>
      <c r="W53" s="2">
        <v>5</v>
      </c>
      <c r="X53" s="2">
        <v>3.9</v>
      </c>
    </row>
    <row r="54" spans="1:24" ht="15" customHeight="1">
      <c r="A54" s="2" t="s">
        <v>301</v>
      </c>
      <c r="B54" s="2" t="s">
        <v>302</v>
      </c>
      <c r="C54" s="2">
        <v>8</v>
      </c>
      <c r="D54" s="2" t="s">
        <v>86</v>
      </c>
      <c r="E54" s="2" t="s">
        <v>303</v>
      </c>
      <c r="F54" s="2" t="s">
        <v>44</v>
      </c>
      <c r="G54" s="2" t="s">
        <v>96</v>
      </c>
      <c r="H54" s="2" t="s">
        <v>126</v>
      </c>
      <c r="I54" s="2" t="s">
        <v>304</v>
      </c>
      <c r="J54" s="2" t="s">
        <v>48</v>
      </c>
      <c r="K54" s="2" t="s">
        <v>106</v>
      </c>
      <c r="L54" s="2" t="s">
        <v>50</v>
      </c>
      <c r="M54" s="2" t="s">
        <v>51</v>
      </c>
      <c r="N54" s="2" t="s">
        <v>70</v>
      </c>
      <c r="O54" s="2">
        <v>146189.92000000001</v>
      </c>
      <c r="P54" s="2">
        <v>42.3</v>
      </c>
      <c r="Q54" s="2">
        <v>55458.63</v>
      </c>
      <c r="R54" s="2" t="s">
        <v>37</v>
      </c>
      <c r="S54" s="2">
        <v>384</v>
      </c>
      <c r="T54" s="2">
        <v>20</v>
      </c>
      <c r="U54" s="2" t="s">
        <v>39</v>
      </c>
      <c r="V54" s="2" t="s">
        <v>38</v>
      </c>
      <c r="W54" s="2">
        <v>1</v>
      </c>
      <c r="X54" s="2">
        <v>1.2</v>
      </c>
    </row>
    <row r="55" spans="1:24" ht="15" customHeight="1">
      <c r="A55" s="2" t="s">
        <v>305</v>
      </c>
      <c r="B55" s="2" t="s">
        <v>306</v>
      </c>
      <c r="C55" s="2">
        <v>44</v>
      </c>
      <c r="D55" s="2" t="s">
        <v>28</v>
      </c>
      <c r="E55" s="2" t="s">
        <v>307</v>
      </c>
      <c r="F55" s="2" t="s">
        <v>88</v>
      </c>
      <c r="G55" s="2" t="s">
        <v>45</v>
      </c>
      <c r="H55" s="2" t="s">
        <v>245</v>
      </c>
      <c r="I55" s="2" t="s">
        <v>308</v>
      </c>
      <c r="J55" s="2" t="s">
        <v>48</v>
      </c>
      <c r="K55" s="2" t="s">
        <v>67</v>
      </c>
      <c r="L55" s="2" t="s">
        <v>68</v>
      </c>
      <c r="M55" s="2" t="s">
        <v>51</v>
      </c>
      <c r="N55" s="2" t="s">
        <v>60</v>
      </c>
      <c r="O55" s="2">
        <v>102321.66</v>
      </c>
      <c r="P55" s="2">
        <v>43.5</v>
      </c>
      <c r="Q55" s="2">
        <v>44993.88</v>
      </c>
      <c r="R55" s="2" t="s">
        <v>71</v>
      </c>
      <c r="S55" s="2">
        <v>446</v>
      </c>
      <c r="T55" s="2">
        <v>173</v>
      </c>
      <c r="U55" s="2" t="s">
        <v>72</v>
      </c>
      <c r="V55" s="2" t="s">
        <v>108</v>
      </c>
      <c r="W55" s="2">
        <v>2</v>
      </c>
      <c r="X55" s="2">
        <v>7.1</v>
      </c>
    </row>
    <row r="56" spans="1:24" ht="15" customHeight="1">
      <c r="A56" s="2" t="s">
        <v>309</v>
      </c>
      <c r="B56" s="2" t="s">
        <v>310</v>
      </c>
      <c r="C56" s="2">
        <v>42</v>
      </c>
      <c r="D56" s="2" t="s">
        <v>55</v>
      </c>
      <c r="E56" s="2" t="s">
        <v>311</v>
      </c>
      <c r="F56" s="2" t="s">
        <v>103</v>
      </c>
      <c r="G56" s="2" t="s">
        <v>96</v>
      </c>
      <c r="H56" s="2" t="s">
        <v>173</v>
      </c>
      <c r="I56" s="2" t="s">
        <v>312</v>
      </c>
      <c r="J56" s="2" t="s">
        <v>81</v>
      </c>
      <c r="K56" s="2" t="s">
        <v>67</v>
      </c>
      <c r="L56" s="2" t="s">
        <v>68</v>
      </c>
      <c r="M56" s="2" t="s">
        <v>51</v>
      </c>
      <c r="N56" s="2" t="s">
        <v>70</v>
      </c>
      <c r="O56" s="2">
        <v>41193.69</v>
      </c>
      <c r="P56" s="2">
        <v>60.2</v>
      </c>
      <c r="Q56" s="2">
        <v>29942.639999999999</v>
      </c>
      <c r="R56" s="2" t="s">
        <v>129</v>
      </c>
      <c r="S56" s="2">
        <v>420</v>
      </c>
      <c r="T56" s="2">
        <v>66</v>
      </c>
      <c r="U56" s="2" t="s">
        <v>39</v>
      </c>
      <c r="V56" s="2" t="s">
        <v>73</v>
      </c>
      <c r="W56" s="2">
        <v>2</v>
      </c>
      <c r="X56" s="2">
        <v>1.5</v>
      </c>
    </row>
    <row r="57" spans="1:24" ht="15" customHeight="1">
      <c r="A57" s="2" t="s">
        <v>313</v>
      </c>
      <c r="B57" s="2" t="s">
        <v>314</v>
      </c>
      <c r="C57" s="2">
        <v>34</v>
      </c>
      <c r="D57" s="2" t="s">
        <v>86</v>
      </c>
      <c r="E57" s="2" t="s">
        <v>315</v>
      </c>
      <c r="F57" s="2" t="s">
        <v>30</v>
      </c>
      <c r="G57" s="2" t="s">
        <v>190</v>
      </c>
      <c r="H57" s="2" t="s">
        <v>126</v>
      </c>
      <c r="I57" s="2" t="s">
        <v>316</v>
      </c>
      <c r="J57" s="2" t="s">
        <v>128</v>
      </c>
      <c r="K57" s="2" t="s">
        <v>67</v>
      </c>
      <c r="L57" s="2" t="s">
        <v>68</v>
      </c>
      <c r="M57" s="2" t="s">
        <v>51</v>
      </c>
      <c r="N57" s="2" t="s">
        <v>60</v>
      </c>
      <c r="O57" s="2">
        <v>119849.52</v>
      </c>
      <c r="P57" s="2">
        <v>42.1</v>
      </c>
      <c r="Q57" s="2">
        <v>21653.79</v>
      </c>
      <c r="R57" s="2" t="s">
        <v>37</v>
      </c>
      <c r="S57" s="2">
        <v>778</v>
      </c>
      <c r="T57" s="2">
        <v>141</v>
      </c>
      <c r="U57" s="2" t="s">
        <v>108</v>
      </c>
      <c r="V57" s="2" t="s">
        <v>122</v>
      </c>
      <c r="W57" s="2">
        <v>4</v>
      </c>
      <c r="X57" s="2">
        <v>9</v>
      </c>
    </row>
    <row r="58" spans="1:24" ht="15" customHeight="1">
      <c r="A58" s="2" t="s">
        <v>317</v>
      </c>
      <c r="B58" s="2" t="s">
        <v>318</v>
      </c>
      <c r="C58" s="2">
        <v>32</v>
      </c>
      <c r="D58" s="2" t="s">
        <v>101</v>
      </c>
      <c r="E58" s="2" t="s">
        <v>319</v>
      </c>
      <c r="F58" s="2" t="s">
        <v>30</v>
      </c>
      <c r="G58" s="2" t="s">
        <v>45</v>
      </c>
      <c r="H58" s="2" t="s">
        <v>152</v>
      </c>
      <c r="I58" s="2" t="s">
        <v>320</v>
      </c>
      <c r="J58" s="2" t="s">
        <v>34</v>
      </c>
      <c r="K58" s="2" t="s">
        <v>67</v>
      </c>
      <c r="L58" s="2" t="s">
        <v>68</v>
      </c>
      <c r="M58" s="2" t="s">
        <v>51</v>
      </c>
      <c r="N58" s="2" t="s">
        <v>60</v>
      </c>
      <c r="O58" s="2">
        <v>125551.67</v>
      </c>
      <c r="P58" s="2">
        <v>27.8</v>
      </c>
      <c r="Q58" s="2">
        <v>9718.02</v>
      </c>
      <c r="R58" s="2" t="s">
        <v>148</v>
      </c>
      <c r="S58" s="2">
        <v>654</v>
      </c>
      <c r="T58" s="2">
        <v>132</v>
      </c>
      <c r="U58" s="2" t="s">
        <v>72</v>
      </c>
      <c r="V58" s="2" t="s">
        <v>39</v>
      </c>
      <c r="W58" s="2">
        <v>5</v>
      </c>
      <c r="X58" s="2">
        <v>2.8</v>
      </c>
    </row>
    <row r="59" spans="1:24" ht="15" customHeight="1">
      <c r="A59" s="2" t="s">
        <v>321</v>
      </c>
      <c r="B59" s="2" t="s">
        <v>322</v>
      </c>
      <c r="C59" s="2">
        <v>11</v>
      </c>
      <c r="D59" s="2" t="s">
        <v>55</v>
      </c>
      <c r="E59" s="2" t="s">
        <v>323</v>
      </c>
      <c r="F59" s="2" t="s">
        <v>57</v>
      </c>
      <c r="G59" s="2" t="s">
        <v>217</v>
      </c>
      <c r="H59" s="2" t="s">
        <v>32</v>
      </c>
      <c r="I59" s="2" t="s">
        <v>163</v>
      </c>
      <c r="J59" s="2" t="s">
        <v>90</v>
      </c>
      <c r="K59" s="2" t="s">
        <v>49</v>
      </c>
      <c r="L59" s="2" t="s">
        <v>50</v>
      </c>
      <c r="M59" s="2" t="s">
        <v>35</v>
      </c>
      <c r="N59" s="2" t="s">
        <v>36</v>
      </c>
      <c r="O59" s="2">
        <v>43375.11</v>
      </c>
      <c r="P59" s="2">
        <v>47.9</v>
      </c>
      <c r="Q59" s="2">
        <v>37086.51</v>
      </c>
      <c r="R59" s="2" t="s">
        <v>97</v>
      </c>
      <c r="S59" s="2">
        <v>858</v>
      </c>
      <c r="T59" s="2">
        <v>77</v>
      </c>
      <c r="U59" s="2" t="s">
        <v>39</v>
      </c>
      <c r="V59" s="2" t="s">
        <v>38</v>
      </c>
      <c r="W59" s="2">
        <v>4</v>
      </c>
      <c r="X59" s="2">
        <v>1.1000000000000001</v>
      </c>
    </row>
    <row r="60" spans="1:24" ht="15" customHeight="1">
      <c r="A60" s="2" t="s">
        <v>324</v>
      </c>
      <c r="B60" s="2" t="s">
        <v>325</v>
      </c>
      <c r="C60" s="2">
        <v>36</v>
      </c>
      <c r="D60" s="2" t="s">
        <v>28</v>
      </c>
      <c r="E60" s="2" t="s">
        <v>326</v>
      </c>
      <c r="F60" s="2" t="s">
        <v>57</v>
      </c>
      <c r="G60" s="2" t="s">
        <v>96</v>
      </c>
      <c r="H60" s="2" t="s">
        <v>173</v>
      </c>
      <c r="I60" s="2" t="s">
        <v>327</v>
      </c>
      <c r="J60" s="2" t="s">
        <v>81</v>
      </c>
      <c r="K60" s="2" t="s">
        <v>67</v>
      </c>
      <c r="L60" s="2" t="s">
        <v>68</v>
      </c>
      <c r="M60" s="2" t="s">
        <v>51</v>
      </c>
      <c r="N60" s="2" t="s">
        <v>70</v>
      </c>
      <c r="O60" s="2">
        <v>22765.68</v>
      </c>
      <c r="P60" s="2">
        <v>15.6</v>
      </c>
      <c r="Q60" s="2">
        <v>3036.32</v>
      </c>
      <c r="R60" s="2" t="s">
        <v>129</v>
      </c>
      <c r="S60" s="2">
        <v>728</v>
      </c>
      <c r="T60" s="2">
        <v>40</v>
      </c>
      <c r="U60" s="2" t="s">
        <v>38</v>
      </c>
      <c r="V60" s="2" t="s">
        <v>83</v>
      </c>
      <c r="W60" s="2">
        <v>4</v>
      </c>
      <c r="X60" s="2">
        <v>9</v>
      </c>
    </row>
    <row r="61" spans="1:24" ht="15" customHeight="1">
      <c r="A61" s="2" t="s">
        <v>328</v>
      </c>
      <c r="B61" s="2" t="s">
        <v>329</v>
      </c>
      <c r="C61" s="2">
        <v>37</v>
      </c>
      <c r="D61" s="2" t="s">
        <v>93</v>
      </c>
      <c r="E61" s="2" t="s">
        <v>330</v>
      </c>
      <c r="F61" s="2" t="s">
        <v>184</v>
      </c>
      <c r="G61" s="2" t="s">
        <v>45</v>
      </c>
      <c r="H61" s="2" t="s">
        <v>104</v>
      </c>
      <c r="I61" s="2" t="s">
        <v>331</v>
      </c>
      <c r="J61" s="2" t="s">
        <v>90</v>
      </c>
      <c r="K61" s="2" t="s">
        <v>67</v>
      </c>
      <c r="L61" s="2" t="s">
        <v>68</v>
      </c>
      <c r="M61" s="2" t="s">
        <v>35</v>
      </c>
      <c r="N61" s="2" t="s">
        <v>36</v>
      </c>
      <c r="O61" s="2">
        <v>102515.49</v>
      </c>
      <c r="P61" s="2">
        <v>5.6</v>
      </c>
      <c r="Q61" s="2">
        <v>6449.83</v>
      </c>
      <c r="R61" s="2" t="s">
        <v>61</v>
      </c>
      <c r="S61" s="2">
        <v>674</v>
      </c>
      <c r="T61" s="2">
        <v>93</v>
      </c>
      <c r="U61" s="2" t="s">
        <v>98</v>
      </c>
      <c r="V61" s="2" t="s">
        <v>83</v>
      </c>
      <c r="W61" s="2">
        <v>3</v>
      </c>
      <c r="X61" s="2">
        <v>5.2</v>
      </c>
    </row>
    <row r="62" spans="1:24" ht="15" customHeight="1">
      <c r="A62" s="2" t="s">
        <v>332</v>
      </c>
      <c r="B62" s="2" t="s">
        <v>333</v>
      </c>
      <c r="C62" s="2">
        <v>41</v>
      </c>
      <c r="D62" s="2" t="s">
        <v>171</v>
      </c>
      <c r="E62" s="2" t="s">
        <v>334</v>
      </c>
      <c r="F62" s="2" t="s">
        <v>30</v>
      </c>
      <c r="G62" s="2" t="s">
        <v>217</v>
      </c>
      <c r="H62" s="2" t="s">
        <v>65</v>
      </c>
      <c r="I62" s="2" t="s">
        <v>335</v>
      </c>
      <c r="J62" s="2" t="s">
        <v>81</v>
      </c>
      <c r="K62" s="2" t="s">
        <v>67</v>
      </c>
      <c r="L62" s="2" t="s">
        <v>68</v>
      </c>
      <c r="M62" s="2" t="s">
        <v>51</v>
      </c>
      <c r="N62" s="2" t="s">
        <v>60</v>
      </c>
      <c r="O62" s="2">
        <v>92357.13</v>
      </c>
      <c r="P62" s="2">
        <v>8</v>
      </c>
      <c r="Q62" s="2">
        <v>2334.84</v>
      </c>
      <c r="R62" s="2" t="s">
        <v>37</v>
      </c>
      <c r="S62" s="2">
        <v>785</v>
      </c>
      <c r="T62" s="2">
        <v>38</v>
      </c>
      <c r="U62" s="2" t="s">
        <v>122</v>
      </c>
      <c r="V62" s="2" t="s">
        <v>39</v>
      </c>
      <c r="W62" s="2">
        <v>4</v>
      </c>
      <c r="X62" s="2">
        <v>8.9</v>
      </c>
    </row>
    <row r="63" spans="1:24" ht="15" customHeight="1">
      <c r="A63" s="2" t="s">
        <v>336</v>
      </c>
      <c r="B63" s="2" t="s">
        <v>337</v>
      </c>
      <c r="C63" s="2">
        <v>27</v>
      </c>
      <c r="D63" s="2" t="s">
        <v>171</v>
      </c>
      <c r="E63" s="2" t="s">
        <v>56</v>
      </c>
      <c r="F63" s="2" t="s">
        <v>44</v>
      </c>
      <c r="G63" s="2" t="s">
        <v>96</v>
      </c>
      <c r="H63" s="2" t="s">
        <v>173</v>
      </c>
      <c r="I63" s="2" t="s">
        <v>338</v>
      </c>
      <c r="J63" s="2" t="s">
        <v>48</v>
      </c>
      <c r="K63" s="2" t="s">
        <v>67</v>
      </c>
      <c r="L63" s="2" t="s">
        <v>68</v>
      </c>
      <c r="M63" s="2" t="s">
        <v>51</v>
      </c>
      <c r="N63" s="2" t="s">
        <v>36</v>
      </c>
      <c r="O63" s="2">
        <v>73815.58</v>
      </c>
      <c r="P63" s="2">
        <v>63.7</v>
      </c>
      <c r="Q63" s="2">
        <v>46569.72</v>
      </c>
      <c r="R63" s="2" t="s">
        <v>148</v>
      </c>
      <c r="S63" s="2">
        <v>352</v>
      </c>
      <c r="T63" s="2">
        <v>43</v>
      </c>
      <c r="U63" s="2" t="s">
        <v>39</v>
      </c>
      <c r="V63" s="2" t="s">
        <v>108</v>
      </c>
      <c r="W63" s="2">
        <v>5</v>
      </c>
      <c r="X63" s="2">
        <v>8.6</v>
      </c>
    </row>
    <row r="64" spans="1:24" ht="15" customHeight="1">
      <c r="A64" s="2" t="s">
        <v>339</v>
      </c>
      <c r="B64" s="2" t="s">
        <v>340</v>
      </c>
      <c r="C64" s="2"/>
      <c r="D64" s="2" t="s">
        <v>177</v>
      </c>
      <c r="E64" s="2" t="s">
        <v>341</v>
      </c>
      <c r="F64" s="2" t="s">
        <v>167</v>
      </c>
      <c r="G64" s="2" t="s">
        <v>179</v>
      </c>
      <c r="H64" s="2" t="s">
        <v>46</v>
      </c>
      <c r="I64" s="2" t="s">
        <v>163</v>
      </c>
      <c r="J64" s="2" t="s">
        <v>48</v>
      </c>
      <c r="K64" s="2"/>
      <c r="L64" s="2"/>
      <c r="M64" s="2" t="s">
        <v>35</v>
      </c>
      <c r="N64" s="2" t="s">
        <v>70</v>
      </c>
      <c r="O64" s="2">
        <v>149727.82</v>
      </c>
      <c r="P64" s="2">
        <v>33.299999999999997</v>
      </c>
      <c r="Q64" s="2">
        <v>57401.13</v>
      </c>
      <c r="R64" s="2" t="s">
        <v>129</v>
      </c>
      <c r="S64" s="2">
        <v>650</v>
      </c>
      <c r="T64" s="2">
        <v>173</v>
      </c>
      <c r="U64" s="2" t="s">
        <v>73</v>
      </c>
      <c r="V64" s="2" t="s">
        <v>83</v>
      </c>
      <c r="W64" s="2">
        <v>3</v>
      </c>
      <c r="X64" s="2">
        <v>5.2</v>
      </c>
    </row>
    <row r="65" spans="1:24" ht="15" customHeight="1">
      <c r="A65" s="2" t="s">
        <v>342</v>
      </c>
      <c r="B65" s="2" t="s">
        <v>343</v>
      </c>
      <c r="C65" s="2">
        <v>25</v>
      </c>
      <c r="D65" s="2" t="s">
        <v>28</v>
      </c>
      <c r="E65" s="2" t="s">
        <v>344</v>
      </c>
      <c r="F65" s="2" t="s">
        <v>103</v>
      </c>
      <c r="G65" s="2" t="s">
        <v>96</v>
      </c>
      <c r="H65" s="2" t="s">
        <v>152</v>
      </c>
      <c r="I65" s="2" t="s">
        <v>345</v>
      </c>
      <c r="J65" s="2" t="s">
        <v>128</v>
      </c>
      <c r="K65" s="2" t="s">
        <v>67</v>
      </c>
      <c r="L65" s="2" t="s">
        <v>68</v>
      </c>
      <c r="M65" s="2" t="s">
        <v>35</v>
      </c>
      <c r="N65" s="2" t="s">
        <v>70</v>
      </c>
      <c r="O65" s="2">
        <v>134885.26999999999</v>
      </c>
      <c r="P65" s="2">
        <v>30.9</v>
      </c>
      <c r="Q65" s="2">
        <v>46383.86</v>
      </c>
      <c r="R65" s="2" t="s">
        <v>61</v>
      </c>
      <c r="S65" s="2">
        <v>343</v>
      </c>
      <c r="T65" s="2">
        <v>182</v>
      </c>
      <c r="U65" s="2" t="s">
        <v>122</v>
      </c>
      <c r="V65" s="2" t="s">
        <v>38</v>
      </c>
      <c r="W65" s="2">
        <v>4</v>
      </c>
      <c r="X65" s="2">
        <v>2.2999999999999998</v>
      </c>
    </row>
    <row r="66" spans="1:24" ht="15" customHeight="1">
      <c r="A66" s="2" t="s">
        <v>346</v>
      </c>
      <c r="B66" s="2" t="s">
        <v>347</v>
      </c>
      <c r="C66" s="2">
        <v>41</v>
      </c>
      <c r="D66" s="2" t="s">
        <v>28</v>
      </c>
      <c r="E66" s="2" t="s">
        <v>348</v>
      </c>
      <c r="F66" s="2" t="s">
        <v>120</v>
      </c>
      <c r="G66" s="2" t="s">
        <v>78</v>
      </c>
      <c r="H66" s="2" t="s">
        <v>104</v>
      </c>
      <c r="I66" s="2" t="s">
        <v>349</v>
      </c>
      <c r="J66" s="2" t="s">
        <v>48</v>
      </c>
      <c r="K66" s="2" t="s">
        <v>67</v>
      </c>
      <c r="L66" s="2" t="s">
        <v>68</v>
      </c>
      <c r="M66" s="2" t="s">
        <v>35</v>
      </c>
      <c r="N66" s="2" t="s">
        <v>70</v>
      </c>
      <c r="O66" s="2">
        <v>109016.92</v>
      </c>
      <c r="P66" s="2">
        <v>62.8</v>
      </c>
      <c r="Q66" s="2">
        <v>310.89</v>
      </c>
      <c r="R66" s="2" t="s">
        <v>148</v>
      </c>
      <c r="S66" s="2">
        <v>716</v>
      </c>
      <c r="T66" s="2">
        <v>121</v>
      </c>
      <c r="U66" s="2" t="s">
        <v>39</v>
      </c>
      <c r="V66" s="2" t="s">
        <v>38</v>
      </c>
      <c r="W66" s="2">
        <v>3</v>
      </c>
      <c r="X66" s="2">
        <v>6</v>
      </c>
    </row>
    <row r="67" spans="1:24" ht="15" customHeight="1">
      <c r="A67" s="2" t="s">
        <v>350</v>
      </c>
      <c r="B67" s="2" t="s">
        <v>351</v>
      </c>
      <c r="C67" s="2">
        <v>42</v>
      </c>
      <c r="D67" s="2" t="s">
        <v>55</v>
      </c>
      <c r="E67" s="2" t="s">
        <v>352</v>
      </c>
      <c r="F67" s="2" t="s">
        <v>44</v>
      </c>
      <c r="G67" s="2" t="s">
        <v>217</v>
      </c>
      <c r="H67" s="2" t="s">
        <v>58</v>
      </c>
      <c r="I67" s="2" t="s">
        <v>353</v>
      </c>
      <c r="J67" s="2" t="s">
        <v>113</v>
      </c>
      <c r="K67" s="2" t="s">
        <v>67</v>
      </c>
      <c r="L67" s="2" t="s">
        <v>68</v>
      </c>
      <c r="M67" s="2" t="s">
        <v>35</v>
      </c>
      <c r="N67" s="2" t="s">
        <v>70</v>
      </c>
      <c r="O67" s="2"/>
      <c r="P67" s="2">
        <v>47.6</v>
      </c>
      <c r="Q67" s="2">
        <v>6438.04</v>
      </c>
      <c r="R67" s="2" t="s">
        <v>158</v>
      </c>
      <c r="S67" s="2">
        <v>765</v>
      </c>
      <c r="T67" s="2">
        <v>139</v>
      </c>
      <c r="U67" s="2" t="s">
        <v>39</v>
      </c>
      <c r="V67" s="2" t="s">
        <v>38</v>
      </c>
      <c r="W67" s="2">
        <v>2</v>
      </c>
      <c r="X67" s="2">
        <v>7.4</v>
      </c>
    </row>
    <row r="68" spans="1:24" ht="15" customHeight="1">
      <c r="A68" s="2" t="s">
        <v>354</v>
      </c>
      <c r="B68" s="2" t="s">
        <v>355</v>
      </c>
      <c r="C68" s="2">
        <v>22</v>
      </c>
      <c r="D68" s="2" t="s">
        <v>93</v>
      </c>
      <c r="E68" s="2" t="s">
        <v>356</v>
      </c>
      <c r="F68" s="2" t="s">
        <v>77</v>
      </c>
      <c r="G68" s="2" t="s">
        <v>78</v>
      </c>
      <c r="H68" s="2" t="s">
        <v>79</v>
      </c>
      <c r="I68" s="2" t="s">
        <v>357</v>
      </c>
      <c r="J68" s="2" t="s">
        <v>81</v>
      </c>
      <c r="K68" s="2" t="s">
        <v>67</v>
      </c>
      <c r="L68" s="2" t="s">
        <v>68</v>
      </c>
      <c r="M68" s="2" t="s">
        <v>51</v>
      </c>
      <c r="N68" s="2" t="s">
        <v>60</v>
      </c>
      <c r="O68" s="2">
        <v>31793.27</v>
      </c>
      <c r="P68" s="2">
        <v>29.3</v>
      </c>
      <c r="Q68" s="2">
        <v>14882.83</v>
      </c>
      <c r="R68" s="2" t="s">
        <v>158</v>
      </c>
      <c r="S68" s="2">
        <v>541</v>
      </c>
      <c r="T68" s="2">
        <v>68</v>
      </c>
      <c r="U68" s="2" t="s">
        <v>38</v>
      </c>
      <c r="V68" s="2" t="s">
        <v>122</v>
      </c>
      <c r="W68" s="2">
        <v>3</v>
      </c>
      <c r="X68" s="2">
        <v>6.4</v>
      </c>
    </row>
    <row r="69" spans="1:24" ht="15" customHeight="1">
      <c r="A69" s="2" t="s">
        <v>358</v>
      </c>
      <c r="B69" s="2" t="s">
        <v>359</v>
      </c>
      <c r="C69" s="2">
        <v>25</v>
      </c>
      <c r="D69" s="2" t="s">
        <v>118</v>
      </c>
      <c r="E69" s="2" t="s">
        <v>360</v>
      </c>
      <c r="F69" s="2" t="s">
        <v>77</v>
      </c>
      <c r="G69" s="2" t="s">
        <v>31</v>
      </c>
      <c r="H69" s="2" t="s">
        <v>126</v>
      </c>
      <c r="I69" s="2" t="s">
        <v>361</v>
      </c>
      <c r="J69" s="2" t="s">
        <v>34</v>
      </c>
      <c r="K69" s="2" t="s">
        <v>67</v>
      </c>
      <c r="L69" s="2" t="s">
        <v>68</v>
      </c>
      <c r="M69" s="2" t="s">
        <v>51</v>
      </c>
      <c r="N69" s="2" t="s">
        <v>36</v>
      </c>
      <c r="O69" s="2">
        <v>59175.6</v>
      </c>
      <c r="P69" s="2">
        <v>73.5</v>
      </c>
      <c r="Q69" s="2">
        <v>45441.03</v>
      </c>
      <c r="R69" s="2" t="s">
        <v>148</v>
      </c>
      <c r="S69" s="2">
        <v>553</v>
      </c>
      <c r="T69" s="2">
        <v>152</v>
      </c>
      <c r="U69" s="2" t="s">
        <v>98</v>
      </c>
      <c r="V69" s="2" t="s">
        <v>72</v>
      </c>
      <c r="W69" s="2">
        <v>5</v>
      </c>
      <c r="X69" s="2">
        <v>1.5</v>
      </c>
    </row>
    <row r="70" spans="1:24" ht="15" customHeight="1">
      <c r="A70" s="2" t="s">
        <v>362</v>
      </c>
      <c r="B70" s="2" t="s">
        <v>363</v>
      </c>
      <c r="C70" s="2">
        <v>18</v>
      </c>
      <c r="D70" s="2" t="s">
        <v>101</v>
      </c>
      <c r="E70" s="2" t="s">
        <v>364</v>
      </c>
      <c r="F70" s="2" t="s">
        <v>184</v>
      </c>
      <c r="G70" s="2" t="s">
        <v>45</v>
      </c>
      <c r="H70" s="2" t="s">
        <v>65</v>
      </c>
      <c r="I70" s="2" t="s">
        <v>365</v>
      </c>
      <c r="J70" s="2" t="s">
        <v>90</v>
      </c>
      <c r="K70" s="2" t="s">
        <v>147</v>
      </c>
      <c r="L70" s="2" t="s">
        <v>115</v>
      </c>
      <c r="M70" s="2" t="s">
        <v>51</v>
      </c>
      <c r="N70" s="2" t="s">
        <v>60</v>
      </c>
      <c r="O70" s="2">
        <v>70747.679999999993</v>
      </c>
      <c r="P70" s="2">
        <v>39.299999999999997</v>
      </c>
      <c r="Q70" s="2">
        <v>3464.21</v>
      </c>
      <c r="R70" s="2" t="s">
        <v>129</v>
      </c>
      <c r="S70" s="2">
        <v>615</v>
      </c>
      <c r="T70" s="2">
        <v>101</v>
      </c>
      <c r="U70" s="2" t="s">
        <v>72</v>
      </c>
      <c r="V70" s="2" t="s">
        <v>108</v>
      </c>
      <c r="W70" s="2">
        <v>1</v>
      </c>
      <c r="X70" s="2">
        <v>4.0999999999999996</v>
      </c>
    </row>
    <row r="71" spans="1:24" ht="15" customHeight="1">
      <c r="A71" s="2" t="s">
        <v>366</v>
      </c>
      <c r="B71" s="2" t="s">
        <v>367</v>
      </c>
      <c r="C71" s="2">
        <v>9</v>
      </c>
      <c r="D71" s="2" t="s">
        <v>118</v>
      </c>
      <c r="E71" s="2" t="s">
        <v>368</v>
      </c>
      <c r="F71" s="2" t="s">
        <v>95</v>
      </c>
      <c r="G71" s="2" t="s">
        <v>217</v>
      </c>
      <c r="H71" s="2" t="s">
        <v>79</v>
      </c>
      <c r="I71" s="2" t="s">
        <v>369</v>
      </c>
      <c r="J71" s="2" t="s">
        <v>113</v>
      </c>
      <c r="K71" s="2" t="s">
        <v>106</v>
      </c>
      <c r="L71" s="2" t="s">
        <v>50</v>
      </c>
      <c r="M71" s="2" t="s">
        <v>51</v>
      </c>
      <c r="N71" s="2" t="s">
        <v>36</v>
      </c>
      <c r="O71" s="2">
        <v>131810.29</v>
      </c>
      <c r="P71" s="2">
        <v>69.5</v>
      </c>
      <c r="Q71" s="2">
        <v>7117.99</v>
      </c>
      <c r="R71" s="2" t="s">
        <v>107</v>
      </c>
      <c r="S71" s="2">
        <v>841</v>
      </c>
      <c r="T71" s="2">
        <v>57</v>
      </c>
      <c r="U71" s="2" t="s">
        <v>108</v>
      </c>
      <c r="V71" s="2" t="s">
        <v>73</v>
      </c>
      <c r="W71" s="2">
        <v>5</v>
      </c>
      <c r="X71" s="2">
        <v>4.0999999999999996</v>
      </c>
    </row>
    <row r="72" spans="1:24" ht="15" customHeight="1">
      <c r="A72" s="2" t="s">
        <v>370</v>
      </c>
      <c r="B72" s="2" t="s">
        <v>371</v>
      </c>
      <c r="C72" s="2">
        <v>35</v>
      </c>
      <c r="D72" s="2" t="s">
        <v>28</v>
      </c>
      <c r="E72" s="2" t="s">
        <v>372</v>
      </c>
      <c r="F72" s="2" t="s">
        <v>30</v>
      </c>
      <c r="G72" s="2" t="s">
        <v>162</v>
      </c>
      <c r="H72" s="2" t="s">
        <v>58</v>
      </c>
      <c r="I72" s="2" t="s">
        <v>373</v>
      </c>
      <c r="J72" s="2" t="s">
        <v>90</v>
      </c>
      <c r="K72" s="2" t="s">
        <v>67</v>
      </c>
      <c r="L72" s="2" t="s">
        <v>68</v>
      </c>
      <c r="M72" s="2" t="s">
        <v>0</v>
      </c>
      <c r="N72" s="2" t="s">
        <v>36</v>
      </c>
      <c r="O72" s="2">
        <v>102443.43</v>
      </c>
      <c r="P72" s="2">
        <v>23.4</v>
      </c>
      <c r="Q72" s="2">
        <v>2654.2</v>
      </c>
      <c r="R72" s="2" t="s">
        <v>138</v>
      </c>
      <c r="S72" s="2">
        <v>852</v>
      </c>
      <c r="T72" s="2">
        <v>198</v>
      </c>
      <c r="U72" s="2" t="s">
        <v>83</v>
      </c>
      <c r="V72" s="2" t="s">
        <v>39</v>
      </c>
      <c r="W72" s="2">
        <v>5</v>
      </c>
      <c r="X72" s="2">
        <v>3.2</v>
      </c>
    </row>
    <row r="73" spans="1:24" ht="15" customHeight="1">
      <c r="A73" s="2" t="s">
        <v>374</v>
      </c>
      <c r="B73" s="2" t="s">
        <v>375</v>
      </c>
      <c r="C73" s="2">
        <v>26</v>
      </c>
      <c r="D73" s="2" t="s">
        <v>86</v>
      </c>
      <c r="E73" s="2" t="s">
        <v>178</v>
      </c>
      <c r="F73" s="2" t="s">
        <v>184</v>
      </c>
      <c r="G73" s="2" t="s">
        <v>78</v>
      </c>
      <c r="H73" s="2" t="s">
        <v>58</v>
      </c>
      <c r="I73" s="2" t="s">
        <v>376</v>
      </c>
      <c r="J73" s="2" t="s">
        <v>48</v>
      </c>
      <c r="K73" s="2" t="s">
        <v>67</v>
      </c>
      <c r="L73" s="2" t="s">
        <v>68</v>
      </c>
      <c r="M73" s="2" t="s">
        <v>51</v>
      </c>
      <c r="N73" s="2" t="s">
        <v>60</v>
      </c>
      <c r="O73" s="2">
        <v>145982.07999999999</v>
      </c>
      <c r="P73" s="2">
        <v>55.4</v>
      </c>
      <c r="Q73" s="2">
        <v>47148.28</v>
      </c>
      <c r="R73" s="2" t="s">
        <v>129</v>
      </c>
      <c r="S73" s="2">
        <v>726</v>
      </c>
      <c r="T73" s="2">
        <v>76</v>
      </c>
      <c r="U73" s="2" t="s">
        <v>39</v>
      </c>
      <c r="V73" s="2" t="s">
        <v>39</v>
      </c>
      <c r="W73" s="2">
        <v>2</v>
      </c>
      <c r="X73" s="2">
        <v>3.1</v>
      </c>
    </row>
    <row r="74" spans="1:24" ht="15" customHeight="1">
      <c r="A74" s="2" t="s">
        <v>377</v>
      </c>
      <c r="B74" s="2" t="s">
        <v>378</v>
      </c>
      <c r="C74" s="2">
        <v>9</v>
      </c>
      <c r="D74" s="2" t="s">
        <v>177</v>
      </c>
      <c r="E74" s="2" t="s">
        <v>379</v>
      </c>
      <c r="F74" s="2" t="s">
        <v>57</v>
      </c>
      <c r="G74" s="2" t="s">
        <v>179</v>
      </c>
      <c r="H74" s="2" t="s">
        <v>104</v>
      </c>
      <c r="I74" s="2" t="s">
        <v>380</v>
      </c>
      <c r="J74" s="2" t="s">
        <v>113</v>
      </c>
      <c r="K74" s="2" t="s">
        <v>106</v>
      </c>
      <c r="L74" s="2" t="s">
        <v>50</v>
      </c>
      <c r="M74" s="2" t="s">
        <v>69</v>
      </c>
      <c r="N74" s="2" t="s">
        <v>36</v>
      </c>
      <c r="O74" s="2">
        <v>125263.91</v>
      </c>
      <c r="P74" s="2">
        <v>33.299999999999997</v>
      </c>
      <c r="Q74" s="2">
        <v>36298.17</v>
      </c>
      <c r="R74" s="2" t="s">
        <v>71</v>
      </c>
      <c r="S74" s="2">
        <v>492</v>
      </c>
      <c r="T74" s="2">
        <v>150</v>
      </c>
      <c r="U74" s="2" t="s">
        <v>98</v>
      </c>
      <c r="V74" s="2" t="s">
        <v>122</v>
      </c>
      <c r="W74" s="2">
        <v>3</v>
      </c>
      <c r="X74" s="2">
        <v>8.6</v>
      </c>
    </row>
    <row r="75" spans="1:24" ht="15" customHeight="1">
      <c r="A75" s="2" t="s">
        <v>381</v>
      </c>
      <c r="B75" s="2" t="s">
        <v>382</v>
      </c>
      <c r="C75" s="2">
        <v>13</v>
      </c>
      <c r="D75" s="2" t="s">
        <v>28</v>
      </c>
      <c r="E75" s="2" t="s">
        <v>383</v>
      </c>
      <c r="F75" s="2" t="s">
        <v>167</v>
      </c>
      <c r="G75" s="2" t="s">
        <v>179</v>
      </c>
      <c r="H75" s="2" t="s">
        <v>104</v>
      </c>
      <c r="I75" s="2" t="s">
        <v>384</v>
      </c>
      <c r="J75" s="2" t="s">
        <v>113</v>
      </c>
      <c r="K75" s="2" t="s">
        <v>49</v>
      </c>
      <c r="L75" s="2" t="s">
        <v>50</v>
      </c>
      <c r="M75" s="2" t="s">
        <v>51</v>
      </c>
      <c r="N75" s="2" t="s">
        <v>70</v>
      </c>
      <c r="O75" s="2">
        <v>42926.44</v>
      </c>
      <c r="P75" s="2">
        <v>42.3</v>
      </c>
      <c r="Q75" s="2">
        <v>5916.49</v>
      </c>
      <c r="R75" s="2" t="s">
        <v>107</v>
      </c>
      <c r="S75" s="2">
        <v>627</v>
      </c>
      <c r="T75" s="2">
        <v>94</v>
      </c>
      <c r="U75" s="2" t="s">
        <v>73</v>
      </c>
      <c r="V75" s="2" t="s">
        <v>83</v>
      </c>
      <c r="W75" s="2">
        <v>2</v>
      </c>
      <c r="X75" s="2">
        <v>0.6</v>
      </c>
    </row>
    <row r="76" spans="1:24" ht="15" customHeight="1">
      <c r="A76" s="2" t="s">
        <v>385</v>
      </c>
      <c r="B76" s="2" t="s">
        <v>386</v>
      </c>
      <c r="C76" s="2">
        <v>32</v>
      </c>
      <c r="D76" s="2" t="s">
        <v>28</v>
      </c>
      <c r="E76" s="2" t="s">
        <v>111</v>
      </c>
      <c r="F76" s="2" t="s">
        <v>167</v>
      </c>
      <c r="G76" s="2" t="s">
        <v>179</v>
      </c>
      <c r="H76" s="2" t="s">
        <v>32</v>
      </c>
      <c r="I76" s="2" t="s">
        <v>387</v>
      </c>
      <c r="J76" s="2" t="s">
        <v>128</v>
      </c>
      <c r="K76" s="2" t="s">
        <v>67</v>
      </c>
      <c r="L76" s="2" t="s">
        <v>68</v>
      </c>
      <c r="M76" s="2" t="s">
        <v>51</v>
      </c>
      <c r="N76" s="2" t="s">
        <v>36</v>
      </c>
      <c r="O76" s="2">
        <v>98045.7</v>
      </c>
      <c r="P76" s="2">
        <v>17.600000000000001</v>
      </c>
      <c r="Q76" s="2">
        <v>47698.53</v>
      </c>
      <c r="R76" s="2" t="s">
        <v>52</v>
      </c>
      <c r="S76" s="2">
        <v>859</v>
      </c>
      <c r="T76" s="2">
        <v>138</v>
      </c>
      <c r="U76" s="2" t="s">
        <v>108</v>
      </c>
      <c r="V76" s="2" t="s">
        <v>108</v>
      </c>
      <c r="W76" s="2">
        <v>1</v>
      </c>
      <c r="X76" s="2">
        <v>4</v>
      </c>
    </row>
    <row r="77" spans="1:24" ht="15" customHeight="1">
      <c r="A77" s="2" t="s">
        <v>388</v>
      </c>
      <c r="B77" s="2" t="s">
        <v>389</v>
      </c>
      <c r="C77" s="2">
        <v>15</v>
      </c>
      <c r="D77" s="2" t="s">
        <v>101</v>
      </c>
      <c r="E77" s="2" t="s">
        <v>183</v>
      </c>
      <c r="F77" s="2" t="s">
        <v>88</v>
      </c>
      <c r="G77" s="2" t="s">
        <v>162</v>
      </c>
      <c r="H77" s="2" t="s">
        <v>32</v>
      </c>
      <c r="I77" s="2" t="s">
        <v>390</v>
      </c>
      <c r="J77" s="2" t="s">
        <v>90</v>
      </c>
      <c r="K77" s="2" t="s">
        <v>114</v>
      </c>
      <c r="L77" s="2" t="s">
        <v>115</v>
      </c>
      <c r="M77" s="2" t="s">
        <v>35</v>
      </c>
      <c r="N77" s="2" t="s">
        <v>60</v>
      </c>
      <c r="O77" s="2">
        <v>7425.29</v>
      </c>
      <c r="P77" s="2">
        <v>45.2</v>
      </c>
      <c r="Q77" s="2">
        <v>17201.310000000001</v>
      </c>
      <c r="R77" s="2" t="s">
        <v>107</v>
      </c>
      <c r="S77" s="2">
        <v>483</v>
      </c>
      <c r="T77" s="2">
        <v>24</v>
      </c>
      <c r="U77" s="2" t="s">
        <v>83</v>
      </c>
      <c r="V77" s="2" t="s">
        <v>122</v>
      </c>
      <c r="W77" s="2">
        <v>3</v>
      </c>
      <c r="X77" s="2">
        <v>2.8</v>
      </c>
    </row>
    <row r="78" spans="1:24" ht="15" customHeight="1">
      <c r="A78" s="2" t="s">
        <v>391</v>
      </c>
      <c r="B78" s="2" t="s">
        <v>392</v>
      </c>
      <c r="C78" s="2">
        <v>31</v>
      </c>
      <c r="D78" s="2" t="s">
        <v>171</v>
      </c>
      <c r="E78" s="2" t="s">
        <v>393</v>
      </c>
      <c r="F78" s="2" t="s">
        <v>167</v>
      </c>
      <c r="G78" s="2" t="s">
        <v>190</v>
      </c>
      <c r="H78" s="2" t="s">
        <v>65</v>
      </c>
      <c r="I78" s="2" t="s">
        <v>127</v>
      </c>
      <c r="J78" s="2" t="s">
        <v>113</v>
      </c>
      <c r="K78" s="2" t="s">
        <v>67</v>
      </c>
      <c r="L78" s="2" t="s">
        <v>68</v>
      </c>
      <c r="M78" s="2" t="s">
        <v>69</v>
      </c>
      <c r="N78" s="2" t="s">
        <v>60</v>
      </c>
      <c r="O78" s="2">
        <v>106912.55</v>
      </c>
      <c r="P78" s="2">
        <v>68.400000000000006</v>
      </c>
      <c r="Q78" s="2">
        <v>38694.43</v>
      </c>
      <c r="R78" s="2" t="s">
        <v>129</v>
      </c>
      <c r="S78" s="2">
        <v>397</v>
      </c>
      <c r="T78" s="2">
        <v>10</v>
      </c>
      <c r="U78" s="2" t="s">
        <v>83</v>
      </c>
      <c r="V78" s="2" t="s">
        <v>38</v>
      </c>
      <c r="W78" s="2">
        <v>1</v>
      </c>
      <c r="X78" s="2">
        <v>8.4</v>
      </c>
    </row>
    <row r="79" spans="1:24" ht="15" customHeight="1">
      <c r="A79" s="2" t="s">
        <v>394</v>
      </c>
      <c r="B79" s="2" t="s">
        <v>395</v>
      </c>
      <c r="C79" s="2">
        <v>40</v>
      </c>
      <c r="D79" s="2" t="s">
        <v>101</v>
      </c>
      <c r="E79" s="2" t="s">
        <v>94</v>
      </c>
      <c r="F79" s="2" t="s">
        <v>88</v>
      </c>
      <c r="G79" s="2" t="s">
        <v>162</v>
      </c>
      <c r="H79" s="2" t="s">
        <v>104</v>
      </c>
      <c r="I79" s="2" t="s">
        <v>396</v>
      </c>
      <c r="J79" s="2" t="s">
        <v>90</v>
      </c>
      <c r="K79" s="2" t="s">
        <v>67</v>
      </c>
      <c r="L79" s="2" t="s">
        <v>68</v>
      </c>
      <c r="M79" s="2" t="s">
        <v>35</v>
      </c>
      <c r="N79" s="2" t="s">
        <v>36</v>
      </c>
      <c r="O79" s="2">
        <v>126024.33</v>
      </c>
      <c r="P79" s="2">
        <v>72.2</v>
      </c>
      <c r="Q79" s="2">
        <v>19903.79</v>
      </c>
      <c r="R79" s="2" t="s">
        <v>148</v>
      </c>
      <c r="S79" s="2">
        <v>380</v>
      </c>
      <c r="T79" s="2">
        <v>88</v>
      </c>
      <c r="U79" s="2" t="s">
        <v>108</v>
      </c>
      <c r="V79" s="2" t="s">
        <v>39</v>
      </c>
      <c r="W79" s="2">
        <v>1</v>
      </c>
      <c r="X79" s="2">
        <v>3.4</v>
      </c>
    </row>
    <row r="80" spans="1:24" ht="15" customHeight="1">
      <c r="A80" s="2" t="s">
        <v>397</v>
      </c>
      <c r="B80" s="2" t="s">
        <v>398</v>
      </c>
      <c r="C80" s="2">
        <v>31</v>
      </c>
      <c r="D80" s="2" t="s">
        <v>188</v>
      </c>
      <c r="E80" s="2" t="s">
        <v>399</v>
      </c>
      <c r="F80" s="2" t="s">
        <v>103</v>
      </c>
      <c r="G80" s="2" t="s">
        <v>45</v>
      </c>
      <c r="H80" s="2" t="s">
        <v>104</v>
      </c>
      <c r="I80" s="2" t="s">
        <v>400</v>
      </c>
      <c r="J80" s="2" t="s">
        <v>34</v>
      </c>
      <c r="K80" s="2" t="s">
        <v>67</v>
      </c>
      <c r="L80" s="2" t="s">
        <v>68</v>
      </c>
      <c r="M80" s="2" t="s">
        <v>51</v>
      </c>
      <c r="N80" s="2" t="s">
        <v>60</v>
      </c>
      <c r="O80" s="2">
        <v>116964.27</v>
      </c>
      <c r="P80" s="2">
        <v>23.5</v>
      </c>
      <c r="Q80" s="2">
        <v>4410.3999999999996</v>
      </c>
      <c r="R80" s="2" t="s">
        <v>138</v>
      </c>
      <c r="S80" s="2">
        <v>689</v>
      </c>
      <c r="T80" s="2">
        <v>162</v>
      </c>
      <c r="U80" s="2" t="s">
        <v>98</v>
      </c>
      <c r="V80" s="2" t="s">
        <v>38</v>
      </c>
      <c r="W80" s="2">
        <v>1</v>
      </c>
      <c r="X80" s="2">
        <v>1.3</v>
      </c>
    </row>
    <row r="81" spans="1:24" ht="15" customHeight="1">
      <c r="A81" s="2" t="s">
        <v>401</v>
      </c>
      <c r="B81" s="2" t="s">
        <v>402</v>
      </c>
      <c r="C81" s="2">
        <v>23</v>
      </c>
      <c r="D81" s="2" t="s">
        <v>101</v>
      </c>
      <c r="E81" s="2" t="s">
        <v>403</v>
      </c>
      <c r="F81" s="2" t="s">
        <v>95</v>
      </c>
      <c r="G81" s="2" t="s">
        <v>45</v>
      </c>
      <c r="H81" s="2" t="s">
        <v>46</v>
      </c>
      <c r="I81" s="2" t="s">
        <v>404</v>
      </c>
      <c r="J81" s="2" t="s">
        <v>90</v>
      </c>
      <c r="K81" s="2" t="s">
        <v>67</v>
      </c>
      <c r="L81" s="2" t="s">
        <v>68</v>
      </c>
      <c r="M81" s="2" t="s">
        <v>35</v>
      </c>
      <c r="N81" s="2" t="s">
        <v>36</v>
      </c>
      <c r="O81" s="2">
        <v>91716.35</v>
      </c>
      <c r="P81" s="2">
        <v>33.9</v>
      </c>
      <c r="Q81" s="2">
        <v>17510.84</v>
      </c>
      <c r="R81" s="2" t="s">
        <v>138</v>
      </c>
      <c r="S81" s="2">
        <v>872</v>
      </c>
      <c r="T81" s="2">
        <v>62</v>
      </c>
      <c r="U81" s="2" t="s">
        <v>98</v>
      </c>
      <c r="V81" s="2" t="s">
        <v>83</v>
      </c>
      <c r="W81" s="2">
        <v>3</v>
      </c>
      <c r="X81" s="2">
        <v>3.1</v>
      </c>
    </row>
    <row r="82" spans="1:24" ht="15" customHeight="1">
      <c r="A82" s="2" t="s">
        <v>405</v>
      </c>
      <c r="B82" s="2" t="s">
        <v>406</v>
      </c>
      <c r="C82" s="2">
        <v>33</v>
      </c>
      <c r="D82" s="2" t="s">
        <v>177</v>
      </c>
      <c r="E82" s="2" t="s">
        <v>407</v>
      </c>
      <c r="F82" s="2" t="s">
        <v>30</v>
      </c>
      <c r="G82" s="2" t="s">
        <v>96</v>
      </c>
      <c r="H82" s="2" t="s">
        <v>126</v>
      </c>
      <c r="I82" s="2" t="s">
        <v>365</v>
      </c>
      <c r="J82" s="2" t="s">
        <v>81</v>
      </c>
      <c r="K82" s="2" t="s">
        <v>67</v>
      </c>
      <c r="L82" s="2" t="s">
        <v>68</v>
      </c>
      <c r="M82" s="2" t="s">
        <v>51</v>
      </c>
      <c r="N82" s="2" t="s">
        <v>60</v>
      </c>
      <c r="O82" s="2">
        <v>49175.41</v>
      </c>
      <c r="P82" s="2">
        <v>29.9</v>
      </c>
      <c r="Q82" s="2">
        <v>37211.53</v>
      </c>
      <c r="R82" s="2" t="s">
        <v>158</v>
      </c>
      <c r="S82" s="2">
        <v>642</v>
      </c>
      <c r="T82" s="2">
        <v>166</v>
      </c>
      <c r="U82" s="2" t="s">
        <v>122</v>
      </c>
      <c r="V82" s="2" t="s">
        <v>39</v>
      </c>
      <c r="W82" s="2">
        <v>4</v>
      </c>
      <c r="X82" s="2">
        <v>3.2</v>
      </c>
    </row>
    <row r="83" spans="1:24" ht="15" customHeight="1">
      <c r="A83" s="2" t="s">
        <v>408</v>
      </c>
      <c r="B83" s="2" t="s">
        <v>409</v>
      </c>
      <c r="C83" s="2">
        <v>24</v>
      </c>
      <c r="D83" s="2" t="s">
        <v>171</v>
      </c>
      <c r="E83" s="2" t="s">
        <v>410</v>
      </c>
      <c r="F83" s="2" t="s">
        <v>88</v>
      </c>
      <c r="G83" s="2" t="s">
        <v>179</v>
      </c>
      <c r="H83" s="2" t="s">
        <v>126</v>
      </c>
      <c r="I83" s="2" t="s">
        <v>411</v>
      </c>
      <c r="J83" s="2" t="s">
        <v>81</v>
      </c>
      <c r="K83" s="2" t="s">
        <v>67</v>
      </c>
      <c r="L83" s="2" t="s">
        <v>68</v>
      </c>
      <c r="M83" s="2" t="s">
        <v>51</v>
      </c>
      <c r="N83" s="2" t="s">
        <v>36</v>
      </c>
      <c r="O83" s="2">
        <v>8902.84</v>
      </c>
      <c r="P83" s="2">
        <v>75.7</v>
      </c>
      <c r="Q83" s="2">
        <v>12578.9</v>
      </c>
      <c r="R83" s="2" t="s">
        <v>129</v>
      </c>
      <c r="S83" s="2">
        <v>370</v>
      </c>
      <c r="T83" s="2">
        <v>104</v>
      </c>
      <c r="U83" s="2" t="s">
        <v>39</v>
      </c>
      <c r="V83" s="2" t="s">
        <v>39</v>
      </c>
      <c r="W83" s="2">
        <v>3</v>
      </c>
      <c r="X83" s="2">
        <v>6.1</v>
      </c>
    </row>
    <row r="84" spans="1:24" ht="15" customHeight="1">
      <c r="A84" s="2" t="s">
        <v>412</v>
      </c>
      <c r="B84" s="2" t="s">
        <v>413</v>
      </c>
      <c r="C84" s="2">
        <v>10</v>
      </c>
      <c r="D84" s="2" t="s">
        <v>171</v>
      </c>
      <c r="E84" s="2" t="s">
        <v>414</v>
      </c>
      <c r="F84" s="2" t="s">
        <v>95</v>
      </c>
      <c r="G84" s="2" t="s">
        <v>179</v>
      </c>
      <c r="H84" s="2" t="s">
        <v>46</v>
      </c>
      <c r="I84" s="2" t="s">
        <v>415</v>
      </c>
      <c r="J84" s="2" t="s">
        <v>90</v>
      </c>
      <c r="K84" s="2" t="s">
        <v>49</v>
      </c>
      <c r="L84" s="2" t="s">
        <v>50</v>
      </c>
      <c r="M84" s="2" t="s">
        <v>51</v>
      </c>
      <c r="N84" s="2" t="s">
        <v>70</v>
      </c>
      <c r="O84" s="2">
        <v>29119.08</v>
      </c>
      <c r="P84" s="2">
        <v>47.2</v>
      </c>
      <c r="Q84" s="2">
        <v>38701.870000000003</v>
      </c>
      <c r="R84" s="2" t="s">
        <v>107</v>
      </c>
      <c r="S84" s="2">
        <v>639</v>
      </c>
      <c r="T84" s="2">
        <v>110</v>
      </c>
      <c r="U84" s="2" t="s">
        <v>108</v>
      </c>
      <c r="V84" s="2" t="s">
        <v>122</v>
      </c>
      <c r="W84" s="2">
        <v>2</v>
      </c>
      <c r="X84" s="2">
        <v>4.8</v>
      </c>
    </row>
    <row r="85" spans="1:24" ht="15" customHeight="1">
      <c r="A85" s="2" t="s">
        <v>416</v>
      </c>
      <c r="B85" s="2" t="s">
        <v>417</v>
      </c>
      <c r="C85" s="2">
        <v>42</v>
      </c>
      <c r="D85" s="2" t="s">
        <v>118</v>
      </c>
      <c r="E85" s="2" t="s">
        <v>418</v>
      </c>
      <c r="F85" s="2" t="s">
        <v>103</v>
      </c>
      <c r="G85" s="2" t="s">
        <v>217</v>
      </c>
      <c r="H85" s="2" t="s">
        <v>173</v>
      </c>
      <c r="I85" s="2" t="s">
        <v>419</v>
      </c>
      <c r="J85" s="2" t="s">
        <v>113</v>
      </c>
      <c r="K85" s="2" t="s">
        <v>67</v>
      </c>
      <c r="L85" s="2" t="s">
        <v>68</v>
      </c>
      <c r="M85" s="2" t="s">
        <v>69</v>
      </c>
      <c r="N85" s="2" t="s">
        <v>36</v>
      </c>
      <c r="O85" s="2">
        <v>25542.9</v>
      </c>
      <c r="P85" s="2">
        <v>39.1</v>
      </c>
      <c r="Q85" s="2">
        <v>12412.04</v>
      </c>
      <c r="R85" s="2" t="s">
        <v>158</v>
      </c>
      <c r="S85" s="2">
        <v>787</v>
      </c>
      <c r="T85" s="2">
        <v>184</v>
      </c>
      <c r="U85" s="2" t="s">
        <v>38</v>
      </c>
      <c r="V85" s="2" t="s">
        <v>122</v>
      </c>
      <c r="W85" s="2">
        <v>1</v>
      </c>
      <c r="X85" s="2">
        <v>7.4</v>
      </c>
    </row>
    <row r="86" spans="1:24" ht="15" customHeight="1">
      <c r="A86" s="2" t="s">
        <v>420</v>
      </c>
      <c r="B86" s="2" t="s">
        <v>421</v>
      </c>
      <c r="C86" s="2">
        <v>12</v>
      </c>
      <c r="D86" s="2" t="s">
        <v>101</v>
      </c>
      <c r="E86" s="2" t="s">
        <v>422</v>
      </c>
      <c r="F86" s="2" t="s">
        <v>184</v>
      </c>
      <c r="G86" s="2" t="s">
        <v>217</v>
      </c>
      <c r="H86" s="2" t="s">
        <v>173</v>
      </c>
      <c r="I86" s="2" t="s">
        <v>423</v>
      </c>
      <c r="J86" s="2" t="s">
        <v>113</v>
      </c>
      <c r="K86" s="2" t="s">
        <v>49</v>
      </c>
      <c r="L86" s="2" t="s">
        <v>50</v>
      </c>
      <c r="M86" s="2" t="s">
        <v>51</v>
      </c>
      <c r="N86" s="2" t="s">
        <v>36</v>
      </c>
      <c r="O86" s="2">
        <v>67659.5</v>
      </c>
      <c r="P86" s="2">
        <v>51.1</v>
      </c>
      <c r="Q86" s="2">
        <v>11839.47</v>
      </c>
      <c r="R86" s="2" t="s">
        <v>107</v>
      </c>
      <c r="S86" s="2" t="s">
        <v>195</v>
      </c>
      <c r="T86" s="2">
        <v>54</v>
      </c>
      <c r="U86" s="2" t="s">
        <v>122</v>
      </c>
      <c r="V86" s="2" t="s">
        <v>108</v>
      </c>
      <c r="W86" s="2">
        <v>5</v>
      </c>
      <c r="X86" s="2">
        <v>2.1</v>
      </c>
    </row>
    <row r="87" spans="1:24" ht="15" customHeight="1">
      <c r="A87" s="2" t="s">
        <v>424</v>
      </c>
      <c r="B87" s="2" t="s">
        <v>425</v>
      </c>
      <c r="C87" s="2">
        <v>22</v>
      </c>
      <c r="D87" s="2" t="s">
        <v>171</v>
      </c>
      <c r="E87" s="2" t="s">
        <v>426</v>
      </c>
      <c r="F87" s="2" t="s">
        <v>88</v>
      </c>
      <c r="G87" s="2" t="s">
        <v>179</v>
      </c>
      <c r="H87" s="2" t="s">
        <v>32</v>
      </c>
      <c r="I87" s="2" t="s">
        <v>427</v>
      </c>
      <c r="J87" s="2" t="s">
        <v>128</v>
      </c>
      <c r="K87" s="2" t="s">
        <v>67</v>
      </c>
      <c r="L87" s="2" t="s">
        <v>68</v>
      </c>
      <c r="M87" s="2" t="s">
        <v>51</v>
      </c>
      <c r="N87" s="2" t="s">
        <v>36</v>
      </c>
      <c r="O87" s="2">
        <v>107368.31</v>
      </c>
      <c r="P87" s="2">
        <v>51.1</v>
      </c>
      <c r="Q87" s="2">
        <v>5085.12</v>
      </c>
      <c r="R87" s="2" t="s">
        <v>61</v>
      </c>
      <c r="S87" s="2">
        <v>420</v>
      </c>
      <c r="T87" s="2">
        <v>29</v>
      </c>
      <c r="U87" s="2" t="s">
        <v>122</v>
      </c>
      <c r="V87" s="2" t="s">
        <v>98</v>
      </c>
      <c r="W87" s="2">
        <v>4</v>
      </c>
      <c r="X87" s="2">
        <v>5.6</v>
      </c>
    </row>
    <row r="88" spans="1:24" ht="15" customHeight="1">
      <c r="A88" s="2" t="s">
        <v>428</v>
      </c>
      <c r="B88" s="2" t="s">
        <v>429</v>
      </c>
      <c r="C88" s="2">
        <v>37</v>
      </c>
      <c r="D88" s="2" t="s">
        <v>55</v>
      </c>
      <c r="E88" s="2" t="s">
        <v>430</v>
      </c>
      <c r="F88" s="2" t="s">
        <v>77</v>
      </c>
      <c r="G88" s="2" t="s">
        <v>217</v>
      </c>
      <c r="H88" s="2" t="s">
        <v>79</v>
      </c>
      <c r="I88" s="2" t="s">
        <v>80</v>
      </c>
      <c r="J88" s="2" t="s">
        <v>128</v>
      </c>
      <c r="K88" s="2" t="s">
        <v>67</v>
      </c>
      <c r="L88" s="2" t="s">
        <v>68</v>
      </c>
      <c r="M88" s="2" t="s">
        <v>51</v>
      </c>
      <c r="N88" s="2" t="s">
        <v>60</v>
      </c>
      <c r="O88" s="2">
        <v>123206.31</v>
      </c>
      <c r="P88" s="2">
        <v>42.9</v>
      </c>
      <c r="Q88" s="2">
        <v>29698.19</v>
      </c>
      <c r="R88" s="2" t="s">
        <v>107</v>
      </c>
      <c r="S88" s="2">
        <v>725</v>
      </c>
      <c r="T88" s="2">
        <v>113</v>
      </c>
      <c r="U88" s="2" t="s">
        <v>39</v>
      </c>
      <c r="V88" s="2" t="s">
        <v>108</v>
      </c>
      <c r="W88" s="2">
        <v>2</v>
      </c>
      <c r="X88" s="2">
        <v>3</v>
      </c>
    </row>
    <row r="89" spans="1:24" ht="15" customHeight="1">
      <c r="A89" s="2" t="s">
        <v>431</v>
      </c>
      <c r="B89" s="2" t="s">
        <v>432</v>
      </c>
      <c r="C89" s="2">
        <v>16</v>
      </c>
      <c r="D89" s="2" t="s">
        <v>171</v>
      </c>
      <c r="E89" s="2" t="s">
        <v>433</v>
      </c>
      <c r="F89" s="2" t="s">
        <v>103</v>
      </c>
      <c r="G89" s="2" t="s">
        <v>31</v>
      </c>
      <c r="H89" s="2" t="s">
        <v>32</v>
      </c>
      <c r="I89" s="2" t="s">
        <v>434</v>
      </c>
      <c r="J89" s="2" t="s">
        <v>81</v>
      </c>
      <c r="K89" s="2" t="s">
        <v>114</v>
      </c>
      <c r="L89" s="2" t="s">
        <v>115</v>
      </c>
      <c r="M89" s="2" t="s">
        <v>69</v>
      </c>
      <c r="N89" s="2" t="s">
        <v>36</v>
      </c>
      <c r="O89" s="2">
        <v>68998.149999999994</v>
      </c>
      <c r="P89" s="2">
        <v>36.9</v>
      </c>
      <c r="Q89" s="2">
        <v>44159.32</v>
      </c>
      <c r="R89" s="2" t="s">
        <v>148</v>
      </c>
      <c r="S89" s="2">
        <v>604</v>
      </c>
      <c r="T89" s="2">
        <v>8</v>
      </c>
      <c r="U89" s="2" t="s">
        <v>38</v>
      </c>
      <c r="V89" s="2" t="s">
        <v>72</v>
      </c>
      <c r="W89" s="2">
        <v>4</v>
      </c>
      <c r="X89" s="2">
        <v>7.9</v>
      </c>
    </row>
    <row r="90" spans="1:24" ht="15" customHeight="1">
      <c r="A90" s="2" t="s">
        <v>435</v>
      </c>
      <c r="B90" s="2" t="s">
        <v>436</v>
      </c>
      <c r="C90" s="2">
        <v>19</v>
      </c>
      <c r="D90" s="2" t="s">
        <v>171</v>
      </c>
      <c r="E90" s="2" t="s">
        <v>437</v>
      </c>
      <c r="F90" s="2" t="s">
        <v>57</v>
      </c>
      <c r="G90" s="2" t="s">
        <v>217</v>
      </c>
      <c r="H90" s="2" t="s">
        <v>104</v>
      </c>
      <c r="I90" s="2" t="s">
        <v>438</v>
      </c>
      <c r="J90" s="2" t="s">
        <v>81</v>
      </c>
      <c r="K90" s="2" t="s">
        <v>147</v>
      </c>
      <c r="L90" s="2" t="s">
        <v>115</v>
      </c>
      <c r="M90" s="2" t="s">
        <v>35</v>
      </c>
      <c r="N90" s="2" t="s">
        <v>70</v>
      </c>
      <c r="O90" s="2">
        <v>146955.01999999999</v>
      </c>
      <c r="P90" s="2">
        <v>48</v>
      </c>
      <c r="Q90" s="2">
        <v>57143.839999999997</v>
      </c>
      <c r="R90" s="2" t="s">
        <v>82</v>
      </c>
      <c r="S90" s="2">
        <v>438</v>
      </c>
      <c r="T90" s="2">
        <v>105</v>
      </c>
      <c r="U90" s="2" t="s">
        <v>122</v>
      </c>
      <c r="V90" s="2" t="s">
        <v>83</v>
      </c>
      <c r="W90" s="2">
        <v>2</v>
      </c>
      <c r="X90" s="2">
        <v>1.7</v>
      </c>
    </row>
    <row r="91" spans="1:24" ht="15" customHeight="1">
      <c r="A91" s="2" t="s">
        <v>439</v>
      </c>
      <c r="B91" s="2" t="s">
        <v>440</v>
      </c>
      <c r="C91" s="2">
        <v>31</v>
      </c>
      <c r="D91" s="2" t="s">
        <v>28</v>
      </c>
      <c r="E91" s="2" t="s">
        <v>441</v>
      </c>
      <c r="F91" s="2" t="s">
        <v>77</v>
      </c>
      <c r="G91" s="2" t="s">
        <v>179</v>
      </c>
      <c r="H91" s="2" t="s">
        <v>58</v>
      </c>
      <c r="I91" s="2" t="s">
        <v>191</v>
      </c>
      <c r="J91" s="2" t="s">
        <v>113</v>
      </c>
      <c r="K91" s="2" t="s">
        <v>67</v>
      </c>
      <c r="L91" s="2" t="s">
        <v>68</v>
      </c>
      <c r="M91" s="2" t="s">
        <v>51</v>
      </c>
      <c r="N91" s="2" t="s">
        <v>70</v>
      </c>
      <c r="O91" s="2">
        <v>70930.87</v>
      </c>
      <c r="P91" s="2">
        <v>48.6</v>
      </c>
      <c r="Q91" s="2">
        <v>52134.47</v>
      </c>
      <c r="R91" s="2" t="s">
        <v>82</v>
      </c>
      <c r="S91" s="2">
        <v>769</v>
      </c>
      <c r="T91" s="2">
        <v>178</v>
      </c>
      <c r="U91" s="2" t="s">
        <v>72</v>
      </c>
      <c r="V91" s="2" t="s">
        <v>39</v>
      </c>
      <c r="W91" s="2">
        <v>4</v>
      </c>
      <c r="X91" s="2">
        <v>7.5</v>
      </c>
    </row>
    <row r="92" spans="1:24" ht="15" customHeight="1">
      <c r="A92" s="2" t="s">
        <v>442</v>
      </c>
      <c r="B92" s="2" t="s">
        <v>443</v>
      </c>
      <c r="C92" s="2">
        <v>24</v>
      </c>
      <c r="D92" s="2" t="s">
        <v>171</v>
      </c>
      <c r="E92" s="2" t="s">
        <v>444</v>
      </c>
      <c r="F92" s="2" t="s">
        <v>120</v>
      </c>
      <c r="G92" s="2" t="s">
        <v>45</v>
      </c>
      <c r="H92" s="2" t="s">
        <v>173</v>
      </c>
      <c r="I92" s="2" t="s">
        <v>445</v>
      </c>
      <c r="J92" s="2" t="s">
        <v>90</v>
      </c>
      <c r="K92" s="2" t="s">
        <v>67</v>
      </c>
      <c r="L92" s="2" t="s">
        <v>68</v>
      </c>
      <c r="M92" s="2" t="s">
        <v>35</v>
      </c>
      <c r="N92" s="2" t="s">
        <v>70</v>
      </c>
      <c r="O92" s="2">
        <v>71195.13</v>
      </c>
      <c r="P92" s="2">
        <v>37.1</v>
      </c>
      <c r="Q92" s="2">
        <v>59741.64</v>
      </c>
      <c r="R92" s="2" t="s">
        <v>61</v>
      </c>
      <c r="S92" s="2">
        <v>462</v>
      </c>
      <c r="T92" s="2">
        <v>70</v>
      </c>
      <c r="U92" s="2" t="s">
        <v>122</v>
      </c>
      <c r="V92" s="2" t="s">
        <v>72</v>
      </c>
      <c r="W92" s="2">
        <v>3</v>
      </c>
      <c r="X92" s="2">
        <v>6.1</v>
      </c>
    </row>
    <row r="93" spans="1:24" ht="15" customHeight="1">
      <c r="A93" s="2" t="s">
        <v>446</v>
      </c>
      <c r="B93" s="2" t="s">
        <v>447</v>
      </c>
      <c r="C93" s="2">
        <v>25</v>
      </c>
      <c r="D93" s="2" t="s">
        <v>118</v>
      </c>
      <c r="E93" s="2" t="s">
        <v>448</v>
      </c>
      <c r="F93" s="2" t="s">
        <v>30</v>
      </c>
      <c r="G93" s="2" t="s">
        <v>162</v>
      </c>
      <c r="H93" s="2" t="s">
        <v>104</v>
      </c>
      <c r="I93" s="2" t="s">
        <v>449</v>
      </c>
      <c r="J93" s="2" t="s">
        <v>81</v>
      </c>
      <c r="K93" s="2" t="s">
        <v>67</v>
      </c>
      <c r="L93" s="2" t="s">
        <v>68</v>
      </c>
      <c r="M93" s="2" t="s">
        <v>69</v>
      </c>
      <c r="N93" s="2" t="s">
        <v>36</v>
      </c>
      <c r="O93" s="2">
        <v>54818.25</v>
      </c>
      <c r="P93" s="2">
        <v>69.5</v>
      </c>
      <c r="Q93" s="2">
        <v>41641.86</v>
      </c>
      <c r="R93" s="2" t="s">
        <v>138</v>
      </c>
      <c r="S93" s="2">
        <v>534</v>
      </c>
      <c r="T93" s="2">
        <v>187</v>
      </c>
      <c r="U93" s="2" t="s">
        <v>108</v>
      </c>
      <c r="V93" s="2" t="s">
        <v>38</v>
      </c>
      <c r="W93" s="2">
        <v>3</v>
      </c>
      <c r="X93" s="2">
        <v>1.7</v>
      </c>
    </row>
    <row r="94" spans="1:24" ht="15" customHeight="1">
      <c r="A94" s="2" t="s">
        <v>450</v>
      </c>
      <c r="B94" s="2" t="s">
        <v>451</v>
      </c>
      <c r="C94" s="2">
        <v>14</v>
      </c>
      <c r="D94" s="2" t="s">
        <v>93</v>
      </c>
      <c r="E94" s="2" t="s">
        <v>452</v>
      </c>
      <c r="F94" s="2" t="s">
        <v>44</v>
      </c>
      <c r="G94" s="2" t="s">
        <v>217</v>
      </c>
      <c r="H94" s="2" t="s">
        <v>152</v>
      </c>
      <c r="I94" s="2" t="s">
        <v>453</v>
      </c>
      <c r="J94" s="2" t="s">
        <v>113</v>
      </c>
      <c r="K94" s="2" t="s">
        <v>114</v>
      </c>
      <c r="L94" s="2" t="s">
        <v>115</v>
      </c>
      <c r="M94" s="2" t="s">
        <v>51</v>
      </c>
      <c r="N94" s="2" t="s">
        <v>60</v>
      </c>
      <c r="O94" s="2">
        <v>17569.759999999998</v>
      </c>
      <c r="P94" s="2">
        <v>61.4</v>
      </c>
      <c r="Q94" s="2">
        <v>35374.44</v>
      </c>
      <c r="R94" s="2" t="s">
        <v>158</v>
      </c>
      <c r="S94" s="2">
        <v>739</v>
      </c>
      <c r="T94" s="2">
        <v>35</v>
      </c>
      <c r="U94" s="2" t="s">
        <v>122</v>
      </c>
      <c r="V94" s="2" t="s">
        <v>83</v>
      </c>
      <c r="W94" s="2">
        <v>5</v>
      </c>
      <c r="X94" s="2">
        <v>5.6</v>
      </c>
    </row>
    <row r="95" spans="1:24" ht="15" customHeight="1">
      <c r="A95" s="2" t="s">
        <v>454</v>
      </c>
      <c r="B95" s="2" t="s">
        <v>455</v>
      </c>
      <c r="C95" s="2">
        <v>7</v>
      </c>
      <c r="D95" s="2" t="s">
        <v>28</v>
      </c>
      <c r="E95" s="2" t="s">
        <v>456</v>
      </c>
      <c r="F95" s="2" t="s">
        <v>184</v>
      </c>
      <c r="G95" s="2" t="s">
        <v>78</v>
      </c>
      <c r="H95" s="2" t="s">
        <v>58</v>
      </c>
      <c r="I95" s="2" t="s">
        <v>457</v>
      </c>
      <c r="J95" s="2" t="s">
        <v>113</v>
      </c>
      <c r="K95" s="2" t="s">
        <v>106</v>
      </c>
      <c r="L95" s="2" t="s">
        <v>50</v>
      </c>
      <c r="M95" s="2" t="s">
        <v>51</v>
      </c>
      <c r="N95" s="2" t="s">
        <v>36</v>
      </c>
      <c r="O95" s="2">
        <v>91119.82</v>
      </c>
      <c r="P95" s="2">
        <v>78.3</v>
      </c>
      <c r="Q95" s="2">
        <v>59212.95</v>
      </c>
      <c r="R95" s="2" t="s">
        <v>138</v>
      </c>
      <c r="S95" s="2">
        <v>696</v>
      </c>
      <c r="T95" s="2">
        <v>145</v>
      </c>
      <c r="U95" s="2" t="s">
        <v>38</v>
      </c>
      <c r="V95" s="2" t="s">
        <v>98</v>
      </c>
      <c r="W95" s="2">
        <v>1</v>
      </c>
      <c r="X95" s="2">
        <v>0.6</v>
      </c>
    </row>
    <row r="96" spans="1:24" ht="15" customHeight="1">
      <c r="A96" s="2" t="s">
        <v>458</v>
      </c>
      <c r="B96" s="2" t="s">
        <v>459</v>
      </c>
      <c r="C96" s="2">
        <v>8</v>
      </c>
      <c r="D96" s="2" t="s">
        <v>118</v>
      </c>
      <c r="E96" s="2" t="s">
        <v>460</v>
      </c>
      <c r="F96" s="2" t="s">
        <v>184</v>
      </c>
      <c r="G96" s="2" t="s">
        <v>179</v>
      </c>
      <c r="H96" s="2" t="s">
        <v>58</v>
      </c>
      <c r="I96" s="2" t="s">
        <v>461</v>
      </c>
      <c r="J96" s="2" t="s">
        <v>128</v>
      </c>
      <c r="K96" s="2" t="s">
        <v>106</v>
      </c>
      <c r="L96" s="2" t="s">
        <v>50</v>
      </c>
      <c r="M96" s="2" t="s">
        <v>0</v>
      </c>
      <c r="N96" s="2" t="s">
        <v>60</v>
      </c>
      <c r="O96" s="2">
        <v>146275.44</v>
      </c>
      <c r="P96" s="2">
        <v>29.5</v>
      </c>
      <c r="Q96" s="2">
        <v>35186.230000000003</v>
      </c>
      <c r="R96" s="2" t="s">
        <v>82</v>
      </c>
      <c r="S96" s="2">
        <v>617</v>
      </c>
      <c r="T96" s="2">
        <v>186</v>
      </c>
      <c r="U96" s="2" t="s">
        <v>108</v>
      </c>
      <c r="V96" s="2" t="s">
        <v>108</v>
      </c>
      <c r="W96" s="2">
        <v>4</v>
      </c>
      <c r="X96" s="2">
        <v>1.5</v>
      </c>
    </row>
    <row r="97" spans="1:24" ht="15" customHeight="1">
      <c r="A97" s="2" t="s">
        <v>462</v>
      </c>
      <c r="B97" s="2" t="s">
        <v>463</v>
      </c>
      <c r="C97" s="2">
        <v>17</v>
      </c>
      <c r="D97" s="2" t="s">
        <v>93</v>
      </c>
      <c r="E97" s="2" t="s">
        <v>464</v>
      </c>
      <c r="F97" s="2" t="s">
        <v>44</v>
      </c>
      <c r="G97" s="2" t="s">
        <v>217</v>
      </c>
      <c r="H97" s="2" t="s">
        <v>152</v>
      </c>
      <c r="I97" s="2" t="s">
        <v>465</v>
      </c>
      <c r="J97" s="2" t="s">
        <v>34</v>
      </c>
      <c r="K97" s="2" t="s">
        <v>147</v>
      </c>
      <c r="L97" s="2" t="s">
        <v>115</v>
      </c>
      <c r="M97" s="2" t="s">
        <v>51</v>
      </c>
      <c r="N97" s="2" t="s">
        <v>70</v>
      </c>
      <c r="O97" s="2">
        <v>111275.7</v>
      </c>
      <c r="P97" s="2">
        <v>72.5</v>
      </c>
      <c r="Q97" s="2">
        <v>20100.66</v>
      </c>
      <c r="R97" s="2" t="s">
        <v>158</v>
      </c>
      <c r="S97" s="2">
        <v>836</v>
      </c>
      <c r="T97" s="2">
        <v>182</v>
      </c>
      <c r="U97" s="2" t="s">
        <v>98</v>
      </c>
      <c r="V97" s="2" t="s">
        <v>38</v>
      </c>
      <c r="W97" s="2">
        <v>1</v>
      </c>
      <c r="X97" s="2">
        <v>4.7</v>
      </c>
    </row>
    <row r="98" spans="1:24" ht="15" customHeight="1">
      <c r="A98" s="2" t="s">
        <v>466</v>
      </c>
      <c r="B98" s="2" t="s">
        <v>467</v>
      </c>
      <c r="C98" s="2">
        <v>22</v>
      </c>
      <c r="D98" s="2" t="s">
        <v>55</v>
      </c>
      <c r="E98" s="2" t="s">
        <v>468</v>
      </c>
      <c r="F98" s="2" t="s">
        <v>30</v>
      </c>
      <c r="G98" s="2" t="s">
        <v>78</v>
      </c>
      <c r="H98" s="2" t="s">
        <v>46</v>
      </c>
      <c r="I98" s="2" t="s">
        <v>415</v>
      </c>
      <c r="J98" s="2" t="s">
        <v>34</v>
      </c>
      <c r="K98" s="2" t="s">
        <v>67</v>
      </c>
      <c r="L98" s="2" t="s">
        <v>68</v>
      </c>
      <c r="M98" s="2" t="s">
        <v>35</v>
      </c>
      <c r="N98" s="2" t="s">
        <v>60</v>
      </c>
      <c r="O98" s="2">
        <v>30949.34</v>
      </c>
      <c r="P98" s="2">
        <v>7.7</v>
      </c>
      <c r="Q98" s="2">
        <v>48186.93</v>
      </c>
      <c r="R98" s="2" t="s">
        <v>107</v>
      </c>
      <c r="S98" s="2">
        <v>529</v>
      </c>
      <c r="T98" s="2">
        <v>106</v>
      </c>
      <c r="U98" s="2" t="s">
        <v>38</v>
      </c>
      <c r="V98" s="2" t="s">
        <v>122</v>
      </c>
      <c r="W98" s="2">
        <v>1</v>
      </c>
      <c r="X98" s="2">
        <v>4.8</v>
      </c>
    </row>
    <row r="99" spans="1:24" ht="15" customHeight="1">
      <c r="A99" s="2" t="s">
        <v>469</v>
      </c>
      <c r="B99" s="2" t="s">
        <v>470</v>
      </c>
      <c r="C99" s="2">
        <v>39</v>
      </c>
      <c r="D99" s="2" t="s">
        <v>118</v>
      </c>
      <c r="E99" s="2" t="s">
        <v>295</v>
      </c>
      <c r="F99" s="2" t="s">
        <v>103</v>
      </c>
      <c r="G99" s="2" t="s">
        <v>190</v>
      </c>
      <c r="H99" s="2" t="s">
        <v>126</v>
      </c>
      <c r="I99" s="2" t="s">
        <v>471</v>
      </c>
      <c r="J99" s="2" t="s">
        <v>90</v>
      </c>
      <c r="K99" s="2" t="s">
        <v>67</v>
      </c>
      <c r="L99" s="2" t="s">
        <v>68</v>
      </c>
      <c r="M99" s="2" t="s">
        <v>51</v>
      </c>
      <c r="N99" s="2" t="s">
        <v>70</v>
      </c>
      <c r="O99" s="2">
        <v>112238.52</v>
      </c>
      <c r="P99" s="2">
        <v>32.6</v>
      </c>
      <c r="Q99" s="2">
        <v>58311.46</v>
      </c>
      <c r="R99" s="2" t="s">
        <v>52</v>
      </c>
      <c r="S99" s="2" t="s">
        <v>195</v>
      </c>
      <c r="T99" s="2">
        <v>104</v>
      </c>
      <c r="U99" s="2" t="s">
        <v>83</v>
      </c>
      <c r="V99" s="2" t="s">
        <v>72</v>
      </c>
      <c r="W99" s="2">
        <v>3</v>
      </c>
      <c r="X99" s="2">
        <v>0.5</v>
      </c>
    </row>
    <row r="100" spans="1:24" ht="15" customHeight="1">
      <c r="A100" s="2" t="s">
        <v>472</v>
      </c>
      <c r="B100" s="2" t="s">
        <v>473</v>
      </c>
      <c r="C100" s="2">
        <v>25</v>
      </c>
      <c r="D100" s="2" t="s">
        <v>101</v>
      </c>
      <c r="E100" s="2" t="s">
        <v>166</v>
      </c>
      <c r="F100" s="2" t="s">
        <v>167</v>
      </c>
      <c r="G100" s="2" t="s">
        <v>179</v>
      </c>
      <c r="H100" s="2" t="s">
        <v>152</v>
      </c>
      <c r="I100" s="2" t="s">
        <v>474</v>
      </c>
      <c r="J100" s="2" t="s">
        <v>90</v>
      </c>
      <c r="K100" s="2" t="s">
        <v>67</v>
      </c>
      <c r="L100" s="2" t="s">
        <v>68</v>
      </c>
      <c r="M100" s="2" t="s">
        <v>35</v>
      </c>
      <c r="N100" s="2" t="s">
        <v>36</v>
      </c>
      <c r="O100" s="2">
        <v>64893.24</v>
      </c>
      <c r="P100" s="2">
        <v>39.4</v>
      </c>
      <c r="Q100" s="2">
        <v>44873.96</v>
      </c>
      <c r="R100" s="2" t="s">
        <v>82</v>
      </c>
      <c r="S100" s="2">
        <v>817</v>
      </c>
      <c r="T100" s="2">
        <v>100</v>
      </c>
      <c r="U100" s="2" t="s">
        <v>108</v>
      </c>
      <c r="V100" s="2" t="s">
        <v>39</v>
      </c>
      <c r="W100" s="2">
        <v>2</v>
      </c>
      <c r="X100" s="2">
        <v>3</v>
      </c>
    </row>
    <row r="101" spans="1:24" ht="15" customHeight="1">
      <c r="A101" s="2" t="s">
        <v>475</v>
      </c>
      <c r="B101" s="2" t="s">
        <v>476</v>
      </c>
      <c r="C101" s="2">
        <v>31</v>
      </c>
      <c r="D101" s="2" t="s">
        <v>42</v>
      </c>
      <c r="E101" s="2" t="s">
        <v>426</v>
      </c>
      <c r="F101" s="2" t="s">
        <v>167</v>
      </c>
      <c r="G101" s="2" t="s">
        <v>31</v>
      </c>
      <c r="H101" s="2" t="s">
        <v>104</v>
      </c>
      <c r="I101" s="2" t="s">
        <v>477</v>
      </c>
      <c r="J101" s="2" t="s">
        <v>90</v>
      </c>
      <c r="K101" s="2" t="s">
        <v>67</v>
      </c>
      <c r="L101" s="2" t="s">
        <v>68</v>
      </c>
      <c r="M101" s="2" t="s">
        <v>35</v>
      </c>
      <c r="N101" s="2" t="s">
        <v>70</v>
      </c>
      <c r="O101" s="2">
        <v>22506.83</v>
      </c>
      <c r="P101" s="2">
        <v>62.8</v>
      </c>
      <c r="Q101" s="2">
        <v>27115.02</v>
      </c>
      <c r="R101" s="2" t="s">
        <v>158</v>
      </c>
      <c r="S101" s="2">
        <v>422</v>
      </c>
      <c r="T101" s="2">
        <v>175</v>
      </c>
      <c r="U101" s="2" t="s">
        <v>72</v>
      </c>
      <c r="V101" s="2" t="s">
        <v>122</v>
      </c>
      <c r="W101" s="2">
        <v>2</v>
      </c>
      <c r="X101" s="2">
        <v>1.3</v>
      </c>
    </row>
    <row r="102" spans="1:24" ht="15" customHeight="1">
      <c r="A102" s="2" t="s">
        <v>478</v>
      </c>
      <c r="B102" s="2" t="s">
        <v>479</v>
      </c>
      <c r="C102" s="2">
        <v>38</v>
      </c>
      <c r="D102" s="2" t="s">
        <v>86</v>
      </c>
      <c r="E102" s="2" t="s">
        <v>480</v>
      </c>
      <c r="F102" s="2" t="s">
        <v>57</v>
      </c>
      <c r="G102" s="2" t="s">
        <v>162</v>
      </c>
      <c r="H102" s="2" t="s">
        <v>58</v>
      </c>
      <c r="I102" s="2" t="s">
        <v>481</v>
      </c>
      <c r="J102" s="2" t="s">
        <v>90</v>
      </c>
      <c r="K102" s="2" t="s">
        <v>67</v>
      </c>
      <c r="L102" s="2" t="s">
        <v>68</v>
      </c>
      <c r="M102" s="2" t="s">
        <v>51</v>
      </c>
      <c r="N102" s="2" t="s">
        <v>60</v>
      </c>
      <c r="O102" s="2">
        <v>22610.720000000001</v>
      </c>
      <c r="P102" s="2">
        <v>63.6</v>
      </c>
      <c r="Q102" s="2">
        <v>13337.29</v>
      </c>
      <c r="R102" s="2" t="s">
        <v>97</v>
      </c>
      <c r="S102" s="2">
        <v>681</v>
      </c>
      <c r="T102" s="2">
        <v>165</v>
      </c>
      <c r="U102" s="2" t="s">
        <v>122</v>
      </c>
      <c r="V102" s="2" t="s">
        <v>108</v>
      </c>
      <c r="W102" s="2">
        <v>1</v>
      </c>
      <c r="X102" s="2">
        <v>2.2000000000000002</v>
      </c>
    </row>
    <row r="103" spans="1:24" ht="15" customHeight="1">
      <c r="A103" s="2" t="s">
        <v>482</v>
      </c>
      <c r="B103" s="2" t="s">
        <v>483</v>
      </c>
      <c r="C103" s="2">
        <v>11</v>
      </c>
      <c r="D103" s="2" t="s">
        <v>188</v>
      </c>
      <c r="E103" s="2" t="s">
        <v>484</v>
      </c>
      <c r="F103" s="2" t="s">
        <v>103</v>
      </c>
      <c r="G103" s="2" t="s">
        <v>162</v>
      </c>
      <c r="H103" s="2" t="s">
        <v>79</v>
      </c>
      <c r="I103" s="2" t="s">
        <v>485</v>
      </c>
      <c r="J103" s="2" t="s">
        <v>113</v>
      </c>
      <c r="K103" s="2" t="s">
        <v>49</v>
      </c>
      <c r="L103" s="2" t="s">
        <v>50</v>
      </c>
      <c r="M103" s="2" t="s">
        <v>35</v>
      </c>
      <c r="N103" s="2" t="s">
        <v>60</v>
      </c>
      <c r="O103" s="2">
        <v>56321.77</v>
      </c>
      <c r="P103" s="2">
        <v>25.6</v>
      </c>
      <c r="Q103" s="2">
        <v>26760.69</v>
      </c>
      <c r="R103" s="2" t="s">
        <v>71</v>
      </c>
      <c r="S103" s="2">
        <v>551</v>
      </c>
      <c r="T103" s="2">
        <v>127</v>
      </c>
      <c r="U103" s="2" t="s">
        <v>73</v>
      </c>
      <c r="V103" s="2" t="s">
        <v>108</v>
      </c>
      <c r="W103" s="2">
        <v>3</v>
      </c>
      <c r="X103" s="2">
        <v>3.8</v>
      </c>
    </row>
    <row r="104" spans="1:24" ht="15" customHeight="1">
      <c r="A104" s="2" t="s">
        <v>486</v>
      </c>
      <c r="B104" s="2" t="s">
        <v>487</v>
      </c>
      <c r="C104" s="2">
        <v>39</v>
      </c>
      <c r="D104" s="2" t="s">
        <v>55</v>
      </c>
      <c r="E104" s="2" t="s">
        <v>488</v>
      </c>
      <c r="F104" s="2" t="s">
        <v>95</v>
      </c>
      <c r="G104" s="2" t="s">
        <v>96</v>
      </c>
      <c r="H104" s="2" t="s">
        <v>152</v>
      </c>
      <c r="I104" s="2" t="s">
        <v>489</v>
      </c>
      <c r="J104" s="2" t="s">
        <v>113</v>
      </c>
      <c r="K104" s="2" t="s">
        <v>67</v>
      </c>
      <c r="L104" s="2" t="s">
        <v>68</v>
      </c>
      <c r="M104" s="2" t="s">
        <v>0</v>
      </c>
      <c r="N104" s="2" t="s">
        <v>36</v>
      </c>
      <c r="O104" s="2">
        <v>36757.93</v>
      </c>
      <c r="P104" s="2">
        <v>63.4</v>
      </c>
      <c r="Q104" s="2">
        <v>3515.47</v>
      </c>
      <c r="R104" s="2" t="s">
        <v>129</v>
      </c>
      <c r="S104" s="2">
        <v>666</v>
      </c>
      <c r="T104" s="2">
        <v>59</v>
      </c>
      <c r="U104" s="2" t="s">
        <v>108</v>
      </c>
      <c r="V104" s="2" t="s">
        <v>83</v>
      </c>
      <c r="W104" s="2">
        <v>3</v>
      </c>
      <c r="X104" s="2">
        <v>5</v>
      </c>
    </row>
    <row r="105" spans="1:24" ht="15" customHeight="1">
      <c r="A105" s="2" t="s">
        <v>490</v>
      </c>
      <c r="B105" s="2" t="s">
        <v>491</v>
      </c>
      <c r="C105" s="2">
        <v>20</v>
      </c>
      <c r="D105" s="2" t="s">
        <v>42</v>
      </c>
      <c r="E105" s="2" t="s">
        <v>315</v>
      </c>
      <c r="F105" s="2" t="s">
        <v>57</v>
      </c>
      <c r="G105" s="2" t="s">
        <v>217</v>
      </c>
      <c r="H105" s="2" t="s">
        <v>104</v>
      </c>
      <c r="I105" s="2" t="s">
        <v>492</v>
      </c>
      <c r="J105" s="2" t="s">
        <v>81</v>
      </c>
      <c r="K105" s="2" t="s">
        <v>67</v>
      </c>
      <c r="L105" s="2" t="s">
        <v>68</v>
      </c>
      <c r="M105" s="2" t="s">
        <v>35</v>
      </c>
      <c r="N105" s="2" t="s">
        <v>36</v>
      </c>
      <c r="O105" s="2">
        <v>86722.94</v>
      </c>
      <c r="P105" s="2">
        <v>19.100000000000001</v>
      </c>
      <c r="Q105" s="2">
        <v>59280.37</v>
      </c>
      <c r="R105" s="2" t="s">
        <v>129</v>
      </c>
      <c r="S105" s="2">
        <v>616</v>
      </c>
      <c r="T105" s="2">
        <v>9</v>
      </c>
      <c r="U105" s="2" t="s">
        <v>108</v>
      </c>
      <c r="V105" s="2" t="s">
        <v>83</v>
      </c>
      <c r="W105" s="2">
        <v>1</v>
      </c>
      <c r="X105" s="2">
        <v>5</v>
      </c>
    </row>
    <row r="106" spans="1:24" ht="15" customHeight="1">
      <c r="A106" s="2" t="s">
        <v>493</v>
      </c>
      <c r="B106" s="2" t="s">
        <v>494</v>
      </c>
      <c r="C106" s="2">
        <v>18</v>
      </c>
      <c r="D106" s="2" t="s">
        <v>86</v>
      </c>
      <c r="E106" s="2" t="s">
        <v>495</v>
      </c>
      <c r="F106" s="2" t="s">
        <v>88</v>
      </c>
      <c r="G106" s="2" t="s">
        <v>162</v>
      </c>
      <c r="H106" s="2" t="s">
        <v>245</v>
      </c>
      <c r="I106" s="2" t="s">
        <v>496</v>
      </c>
      <c r="J106" s="2" t="s">
        <v>90</v>
      </c>
      <c r="K106" s="2" t="s">
        <v>147</v>
      </c>
      <c r="L106" s="2" t="s">
        <v>115</v>
      </c>
      <c r="M106" s="2" t="s">
        <v>51</v>
      </c>
      <c r="N106" s="2" t="s">
        <v>60</v>
      </c>
      <c r="O106" s="2">
        <v>59170.66</v>
      </c>
      <c r="P106" s="2">
        <v>34.700000000000003</v>
      </c>
      <c r="Q106" s="2">
        <v>6061.93</v>
      </c>
      <c r="R106" s="2" t="s">
        <v>158</v>
      </c>
      <c r="S106" s="2">
        <v>439</v>
      </c>
      <c r="T106" s="2">
        <v>187</v>
      </c>
      <c r="U106" s="2" t="s">
        <v>73</v>
      </c>
      <c r="V106" s="2" t="s">
        <v>39</v>
      </c>
      <c r="W106" s="2">
        <v>5</v>
      </c>
      <c r="X106" s="2">
        <v>6.4</v>
      </c>
    </row>
    <row r="107" spans="1:24" ht="15" customHeight="1">
      <c r="A107" s="2" t="s">
        <v>497</v>
      </c>
      <c r="B107" s="2" t="s">
        <v>498</v>
      </c>
      <c r="C107" s="2">
        <v>20</v>
      </c>
      <c r="D107" s="2" t="s">
        <v>118</v>
      </c>
      <c r="E107" s="2" t="s">
        <v>418</v>
      </c>
      <c r="F107" s="2" t="s">
        <v>77</v>
      </c>
      <c r="G107" s="2" t="s">
        <v>217</v>
      </c>
      <c r="H107" s="2" t="s">
        <v>79</v>
      </c>
      <c r="I107" s="2" t="s">
        <v>499</v>
      </c>
      <c r="J107" s="2" t="s">
        <v>81</v>
      </c>
      <c r="K107" s="2" t="s">
        <v>67</v>
      </c>
      <c r="L107" s="2" t="s">
        <v>68</v>
      </c>
      <c r="M107" s="2" t="s">
        <v>35</v>
      </c>
      <c r="N107" s="2" t="s">
        <v>36</v>
      </c>
      <c r="O107" s="2">
        <v>37029.81</v>
      </c>
      <c r="P107" s="2">
        <v>75.3</v>
      </c>
      <c r="Q107" s="2">
        <v>8438.6</v>
      </c>
      <c r="R107" s="2" t="s">
        <v>82</v>
      </c>
      <c r="S107" s="2">
        <v>543</v>
      </c>
      <c r="T107" s="2">
        <v>81</v>
      </c>
      <c r="U107" s="2" t="s">
        <v>108</v>
      </c>
      <c r="V107" s="2" t="s">
        <v>73</v>
      </c>
      <c r="W107" s="2">
        <v>1</v>
      </c>
      <c r="X107" s="2">
        <v>2.8</v>
      </c>
    </row>
    <row r="108" spans="1:24" ht="15" customHeight="1">
      <c r="A108" s="2" t="s">
        <v>500</v>
      </c>
      <c r="B108" s="2" t="s">
        <v>501</v>
      </c>
      <c r="C108" s="2">
        <v>22</v>
      </c>
      <c r="D108" s="2" t="s">
        <v>93</v>
      </c>
      <c r="E108" s="2" t="s">
        <v>502</v>
      </c>
      <c r="F108" s="2" t="s">
        <v>103</v>
      </c>
      <c r="G108" s="2" t="s">
        <v>179</v>
      </c>
      <c r="H108" s="2" t="s">
        <v>79</v>
      </c>
      <c r="I108" s="2" t="s">
        <v>503</v>
      </c>
      <c r="J108" s="2" t="s">
        <v>81</v>
      </c>
      <c r="K108" s="2" t="s">
        <v>67</v>
      </c>
      <c r="L108" s="2" t="s">
        <v>68</v>
      </c>
      <c r="M108" s="2" t="s">
        <v>51</v>
      </c>
      <c r="N108" s="2" t="s">
        <v>36</v>
      </c>
      <c r="O108" s="2">
        <v>99390.59</v>
      </c>
      <c r="P108" s="2">
        <v>17.2</v>
      </c>
      <c r="Q108" s="2">
        <v>4422.5600000000004</v>
      </c>
      <c r="R108" s="2" t="s">
        <v>61</v>
      </c>
      <c r="S108" s="2">
        <v>320</v>
      </c>
      <c r="T108" s="2">
        <v>26</v>
      </c>
      <c r="U108" s="2" t="s">
        <v>122</v>
      </c>
      <c r="V108" s="2" t="s">
        <v>98</v>
      </c>
      <c r="W108" s="2">
        <v>2</v>
      </c>
      <c r="X108" s="2">
        <v>6.7</v>
      </c>
    </row>
    <row r="109" spans="1:24" ht="15" customHeight="1">
      <c r="A109" s="2" t="s">
        <v>504</v>
      </c>
      <c r="B109" s="2" t="s">
        <v>505</v>
      </c>
      <c r="C109" s="2">
        <v>11</v>
      </c>
      <c r="D109" s="2" t="s">
        <v>171</v>
      </c>
      <c r="E109" s="2" t="s">
        <v>506</v>
      </c>
      <c r="F109" s="2" t="s">
        <v>103</v>
      </c>
      <c r="G109" s="2" t="s">
        <v>162</v>
      </c>
      <c r="H109" s="2" t="s">
        <v>58</v>
      </c>
      <c r="I109" s="2" t="s">
        <v>507</v>
      </c>
      <c r="J109" s="2" t="s">
        <v>90</v>
      </c>
      <c r="K109" s="2" t="s">
        <v>49</v>
      </c>
      <c r="L109" s="2" t="s">
        <v>50</v>
      </c>
      <c r="M109" s="2" t="s">
        <v>35</v>
      </c>
      <c r="N109" s="2" t="s">
        <v>60</v>
      </c>
      <c r="O109" s="2">
        <v>64345.58</v>
      </c>
      <c r="P109" s="2">
        <v>74.400000000000006</v>
      </c>
      <c r="Q109" s="2">
        <v>32407.53</v>
      </c>
      <c r="R109" s="2" t="s">
        <v>37</v>
      </c>
      <c r="S109" s="2">
        <v>604</v>
      </c>
      <c r="T109" s="2">
        <v>12</v>
      </c>
      <c r="U109" s="2" t="s">
        <v>73</v>
      </c>
      <c r="V109" s="2" t="s">
        <v>108</v>
      </c>
      <c r="W109" s="2">
        <v>3</v>
      </c>
      <c r="X109" s="2">
        <v>0.5</v>
      </c>
    </row>
    <row r="110" spans="1:24" ht="15" customHeight="1">
      <c r="A110" s="2" t="s">
        <v>508</v>
      </c>
      <c r="B110" s="2" t="s">
        <v>509</v>
      </c>
      <c r="C110" s="2">
        <v>44</v>
      </c>
      <c r="D110" s="2" t="s">
        <v>28</v>
      </c>
      <c r="E110" s="2" t="s">
        <v>510</v>
      </c>
      <c r="F110" s="2" t="s">
        <v>167</v>
      </c>
      <c r="G110" s="2" t="s">
        <v>217</v>
      </c>
      <c r="H110" s="2" t="s">
        <v>126</v>
      </c>
      <c r="I110" s="2" t="s">
        <v>254</v>
      </c>
      <c r="J110" s="2" t="s">
        <v>128</v>
      </c>
      <c r="K110" s="2" t="s">
        <v>67</v>
      </c>
      <c r="L110" s="2" t="s">
        <v>68</v>
      </c>
      <c r="M110" s="2" t="s">
        <v>51</v>
      </c>
      <c r="N110" s="2" t="s">
        <v>36</v>
      </c>
      <c r="O110" s="2">
        <v>43425.64</v>
      </c>
      <c r="P110" s="2">
        <v>34.1</v>
      </c>
      <c r="Q110" s="2">
        <v>22261.23</v>
      </c>
      <c r="R110" s="2" t="s">
        <v>158</v>
      </c>
      <c r="S110" s="2">
        <v>491</v>
      </c>
      <c r="T110" s="2">
        <v>67</v>
      </c>
      <c r="U110" s="2" t="s">
        <v>73</v>
      </c>
      <c r="V110" s="2" t="s">
        <v>39</v>
      </c>
      <c r="W110" s="2">
        <v>3</v>
      </c>
      <c r="X110" s="2">
        <v>5.3</v>
      </c>
    </row>
    <row r="111" spans="1:24" ht="15" customHeight="1">
      <c r="A111" s="2" t="s">
        <v>511</v>
      </c>
      <c r="B111" s="2" t="s">
        <v>512</v>
      </c>
      <c r="C111" s="2">
        <v>12</v>
      </c>
      <c r="D111" s="2" t="s">
        <v>86</v>
      </c>
      <c r="E111" s="2" t="s">
        <v>513</v>
      </c>
      <c r="F111" s="2" t="s">
        <v>95</v>
      </c>
      <c r="G111" s="2" t="s">
        <v>78</v>
      </c>
      <c r="H111" s="2" t="s">
        <v>46</v>
      </c>
      <c r="I111" s="2" t="s">
        <v>514</v>
      </c>
      <c r="J111" s="2" t="s">
        <v>81</v>
      </c>
      <c r="K111" s="2" t="s">
        <v>49</v>
      </c>
      <c r="L111" s="2" t="s">
        <v>50</v>
      </c>
      <c r="M111" s="2" t="s">
        <v>51</v>
      </c>
      <c r="N111" s="2" t="s">
        <v>36</v>
      </c>
      <c r="O111" s="2">
        <v>132839.81</v>
      </c>
      <c r="P111" s="2">
        <v>10.9</v>
      </c>
      <c r="Q111" s="2">
        <v>54166.63</v>
      </c>
      <c r="R111" s="2" t="s">
        <v>82</v>
      </c>
      <c r="S111" s="2">
        <v>814</v>
      </c>
      <c r="T111" s="2">
        <v>132</v>
      </c>
      <c r="U111" s="2" t="s">
        <v>108</v>
      </c>
      <c r="V111" s="2" t="s">
        <v>39</v>
      </c>
      <c r="W111" s="2">
        <v>2</v>
      </c>
      <c r="X111" s="2">
        <v>8.8000000000000007</v>
      </c>
    </row>
    <row r="112" spans="1:24" ht="15" customHeight="1">
      <c r="A112" s="2" t="s">
        <v>515</v>
      </c>
      <c r="B112" s="2" t="s">
        <v>516</v>
      </c>
      <c r="C112" s="2">
        <v>33</v>
      </c>
      <c r="D112" s="2" t="s">
        <v>118</v>
      </c>
      <c r="E112" s="2" t="s">
        <v>517</v>
      </c>
      <c r="F112" s="2" t="s">
        <v>57</v>
      </c>
      <c r="G112" s="2" t="s">
        <v>190</v>
      </c>
      <c r="H112" s="2" t="s">
        <v>173</v>
      </c>
      <c r="I112" s="2" t="s">
        <v>518</v>
      </c>
      <c r="J112" s="2" t="s">
        <v>81</v>
      </c>
      <c r="K112" s="2" t="s">
        <v>67</v>
      </c>
      <c r="L112" s="2" t="s">
        <v>68</v>
      </c>
      <c r="M112" s="2" t="s">
        <v>51</v>
      </c>
      <c r="N112" s="2" t="s">
        <v>70</v>
      </c>
      <c r="O112" s="2"/>
      <c r="P112" s="2">
        <v>57.5</v>
      </c>
      <c r="Q112" s="2">
        <v>35254.57</v>
      </c>
      <c r="R112" s="2" t="s">
        <v>138</v>
      </c>
      <c r="S112" s="2">
        <v>724</v>
      </c>
      <c r="T112" s="2">
        <v>145</v>
      </c>
      <c r="U112" s="2" t="s">
        <v>108</v>
      </c>
      <c r="V112" s="2" t="s">
        <v>122</v>
      </c>
      <c r="W112" s="2">
        <v>5</v>
      </c>
      <c r="X112" s="2">
        <v>8</v>
      </c>
    </row>
    <row r="113" spans="1:24" ht="15" customHeight="1">
      <c r="A113" s="2" t="s">
        <v>519</v>
      </c>
      <c r="B113" s="2" t="s">
        <v>520</v>
      </c>
      <c r="C113" s="2">
        <v>37</v>
      </c>
      <c r="D113" s="2" t="s">
        <v>188</v>
      </c>
      <c r="E113" s="2" t="s">
        <v>111</v>
      </c>
      <c r="F113" s="2" t="s">
        <v>95</v>
      </c>
      <c r="G113" s="2" t="s">
        <v>217</v>
      </c>
      <c r="H113" s="2" t="s">
        <v>32</v>
      </c>
      <c r="I113" s="2" t="s">
        <v>357</v>
      </c>
      <c r="J113" s="2" t="s">
        <v>90</v>
      </c>
      <c r="K113" s="2" t="s">
        <v>67</v>
      </c>
      <c r="L113" s="2" t="s">
        <v>68</v>
      </c>
      <c r="M113" s="2" t="s">
        <v>51</v>
      </c>
      <c r="N113" s="2" t="s">
        <v>36</v>
      </c>
      <c r="O113" s="2">
        <v>39449</v>
      </c>
      <c r="P113" s="2">
        <v>74.099999999999994</v>
      </c>
      <c r="Q113" s="2">
        <v>53821.88</v>
      </c>
      <c r="R113" s="2" t="s">
        <v>61</v>
      </c>
      <c r="S113" s="2">
        <v>610</v>
      </c>
      <c r="T113" s="2">
        <v>125</v>
      </c>
      <c r="U113" s="2" t="s">
        <v>83</v>
      </c>
      <c r="V113" s="2" t="s">
        <v>122</v>
      </c>
      <c r="W113" s="2">
        <v>4</v>
      </c>
      <c r="X113" s="2">
        <v>7.1</v>
      </c>
    </row>
    <row r="114" spans="1:24" ht="15" customHeight="1">
      <c r="A114" s="2" t="s">
        <v>521</v>
      </c>
      <c r="B114" s="2" t="s">
        <v>522</v>
      </c>
      <c r="C114" s="2">
        <v>44</v>
      </c>
      <c r="D114" s="2" t="s">
        <v>101</v>
      </c>
      <c r="E114" s="2" t="s">
        <v>229</v>
      </c>
      <c r="F114" s="2" t="s">
        <v>95</v>
      </c>
      <c r="G114" s="2" t="s">
        <v>45</v>
      </c>
      <c r="H114" s="2" t="s">
        <v>46</v>
      </c>
      <c r="I114" s="2" t="s">
        <v>523</v>
      </c>
      <c r="J114" s="2" t="s">
        <v>90</v>
      </c>
      <c r="K114" s="2" t="s">
        <v>67</v>
      </c>
      <c r="L114" s="2" t="s">
        <v>68</v>
      </c>
      <c r="M114" s="2" t="s">
        <v>51</v>
      </c>
      <c r="N114" s="2" t="s">
        <v>60</v>
      </c>
      <c r="O114" s="2">
        <v>118174.88</v>
      </c>
      <c r="P114" s="2">
        <v>47.7</v>
      </c>
      <c r="Q114" s="2">
        <v>10424.24</v>
      </c>
      <c r="R114" s="2" t="s">
        <v>71</v>
      </c>
      <c r="S114" s="2">
        <v>555</v>
      </c>
      <c r="T114" s="2">
        <v>12</v>
      </c>
      <c r="U114" s="2" t="s">
        <v>39</v>
      </c>
      <c r="V114" s="2" t="s">
        <v>38</v>
      </c>
      <c r="W114" s="2">
        <v>4</v>
      </c>
      <c r="X114" s="2">
        <v>4.8</v>
      </c>
    </row>
    <row r="115" spans="1:24" ht="15" customHeight="1">
      <c r="A115" s="2" t="s">
        <v>524</v>
      </c>
      <c r="B115" s="2" t="s">
        <v>525</v>
      </c>
      <c r="C115" s="2">
        <v>7</v>
      </c>
      <c r="D115" s="2" t="s">
        <v>86</v>
      </c>
      <c r="E115" s="2" t="s">
        <v>526</v>
      </c>
      <c r="F115" s="2" t="s">
        <v>103</v>
      </c>
      <c r="G115" s="2" t="s">
        <v>217</v>
      </c>
      <c r="H115" s="2" t="s">
        <v>152</v>
      </c>
      <c r="I115" s="2" t="s">
        <v>527</v>
      </c>
      <c r="J115" s="2" t="s">
        <v>34</v>
      </c>
      <c r="K115" s="2" t="s">
        <v>106</v>
      </c>
      <c r="L115" s="2" t="s">
        <v>50</v>
      </c>
      <c r="M115" s="2" t="s">
        <v>51</v>
      </c>
      <c r="N115" s="2" t="s">
        <v>36</v>
      </c>
      <c r="O115" s="2">
        <v>18106.830000000002</v>
      </c>
      <c r="P115" s="2">
        <v>8.6999999999999993</v>
      </c>
      <c r="Q115" s="2">
        <v>51229.279999999999</v>
      </c>
      <c r="R115" s="2" t="s">
        <v>52</v>
      </c>
      <c r="S115" s="2">
        <v>530</v>
      </c>
      <c r="T115" s="2">
        <v>68</v>
      </c>
      <c r="U115" s="2" t="s">
        <v>72</v>
      </c>
      <c r="V115" s="2" t="s">
        <v>98</v>
      </c>
      <c r="W115" s="2">
        <v>2</v>
      </c>
      <c r="X115" s="2">
        <v>6</v>
      </c>
    </row>
    <row r="116" spans="1:24" ht="15" customHeight="1">
      <c r="A116" s="2" t="s">
        <v>528</v>
      </c>
      <c r="B116" s="2" t="s">
        <v>529</v>
      </c>
      <c r="C116" s="2"/>
      <c r="D116" s="2" t="s">
        <v>171</v>
      </c>
      <c r="E116" s="2" t="s">
        <v>530</v>
      </c>
      <c r="F116" s="2" t="s">
        <v>77</v>
      </c>
      <c r="G116" s="2" t="s">
        <v>190</v>
      </c>
      <c r="H116" s="2" t="s">
        <v>58</v>
      </c>
      <c r="I116" s="2" t="s">
        <v>531</v>
      </c>
      <c r="J116" s="2" t="s">
        <v>34</v>
      </c>
      <c r="K116" s="2"/>
      <c r="L116" s="2"/>
      <c r="M116" s="2" t="s">
        <v>51</v>
      </c>
      <c r="N116" s="2" t="s">
        <v>36</v>
      </c>
      <c r="O116" s="2">
        <v>62587.12</v>
      </c>
      <c r="P116" s="2">
        <v>43.4</v>
      </c>
      <c r="Q116" s="2">
        <v>39741.33</v>
      </c>
      <c r="R116" s="2" t="s">
        <v>129</v>
      </c>
      <c r="S116" s="2">
        <v>589</v>
      </c>
      <c r="T116" s="2">
        <v>27</v>
      </c>
      <c r="U116" s="2" t="s">
        <v>72</v>
      </c>
      <c r="V116" s="2" t="s">
        <v>38</v>
      </c>
      <c r="W116" s="2">
        <v>3</v>
      </c>
      <c r="X116" s="2">
        <v>7.8</v>
      </c>
    </row>
    <row r="117" spans="1:24" ht="15" customHeight="1">
      <c r="A117" s="2" t="s">
        <v>532</v>
      </c>
      <c r="B117" s="2" t="s">
        <v>533</v>
      </c>
      <c r="C117" s="2">
        <v>25</v>
      </c>
      <c r="D117" s="2" t="s">
        <v>101</v>
      </c>
      <c r="E117" s="2" t="s">
        <v>284</v>
      </c>
      <c r="F117" s="2" t="s">
        <v>167</v>
      </c>
      <c r="G117" s="2" t="s">
        <v>162</v>
      </c>
      <c r="H117" s="2" t="s">
        <v>32</v>
      </c>
      <c r="I117" s="2" t="s">
        <v>534</v>
      </c>
      <c r="J117" s="2" t="s">
        <v>48</v>
      </c>
      <c r="K117" s="2" t="s">
        <v>67</v>
      </c>
      <c r="L117" s="2" t="s">
        <v>68</v>
      </c>
      <c r="M117" s="2" t="s">
        <v>35</v>
      </c>
      <c r="N117" s="2" t="s">
        <v>70</v>
      </c>
      <c r="O117" s="2">
        <v>42616.81</v>
      </c>
      <c r="P117" s="2">
        <v>34.1</v>
      </c>
      <c r="Q117" s="2">
        <v>2119.14</v>
      </c>
      <c r="R117" s="2"/>
      <c r="S117" s="2">
        <v>494</v>
      </c>
      <c r="T117" s="2">
        <v>182</v>
      </c>
      <c r="U117" s="2" t="s">
        <v>98</v>
      </c>
      <c r="V117" s="2" t="s">
        <v>38</v>
      </c>
      <c r="W117" s="2">
        <v>2</v>
      </c>
      <c r="X117" s="2">
        <v>7.6</v>
      </c>
    </row>
    <row r="118" spans="1:24" ht="15" customHeight="1">
      <c r="A118" s="2" t="s">
        <v>535</v>
      </c>
      <c r="B118" s="2" t="s">
        <v>536</v>
      </c>
      <c r="C118" s="2">
        <v>12</v>
      </c>
      <c r="D118" s="2" t="s">
        <v>28</v>
      </c>
      <c r="E118" s="2" t="s">
        <v>537</v>
      </c>
      <c r="F118" s="2" t="s">
        <v>184</v>
      </c>
      <c r="G118" s="2" t="s">
        <v>217</v>
      </c>
      <c r="H118" s="2" t="s">
        <v>173</v>
      </c>
      <c r="I118" s="2" t="s">
        <v>538</v>
      </c>
      <c r="J118" s="2" t="s">
        <v>48</v>
      </c>
      <c r="K118" s="2" t="s">
        <v>49</v>
      </c>
      <c r="L118" s="2" t="s">
        <v>50</v>
      </c>
      <c r="M118" s="2" t="s">
        <v>51</v>
      </c>
      <c r="N118" s="2" t="s">
        <v>70</v>
      </c>
      <c r="O118" s="2">
        <v>58893.95</v>
      </c>
      <c r="P118" s="2">
        <v>39.799999999999997</v>
      </c>
      <c r="Q118" s="2">
        <v>7066.89</v>
      </c>
      <c r="R118" s="2" t="s">
        <v>71</v>
      </c>
      <c r="S118" s="2">
        <v>783</v>
      </c>
      <c r="T118" s="2">
        <v>128</v>
      </c>
      <c r="U118" s="2" t="s">
        <v>98</v>
      </c>
      <c r="V118" s="2" t="s">
        <v>73</v>
      </c>
      <c r="W118" s="2">
        <v>1</v>
      </c>
      <c r="X118" s="2">
        <v>7.9</v>
      </c>
    </row>
    <row r="119" spans="1:24" ht="15" customHeight="1">
      <c r="A119" s="2" t="s">
        <v>539</v>
      </c>
      <c r="B119" s="2" t="s">
        <v>540</v>
      </c>
      <c r="C119" s="2">
        <v>27</v>
      </c>
      <c r="D119" s="2" t="s">
        <v>171</v>
      </c>
      <c r="E119" s="2" t="s">
        <v>541</v>
      </c>
      <c r="F119" s="2" t="s">
        <v>103</v>
      </c>
      <c r="G119" s="2" t="s">
        <v>217</v>
      </c>
      <c r="H119" s="2" t="s">
        <v>173</v>
      </c>
      <c r="I119" s="2" t="s">
        <v>218</v>
      </c>
      <c r="J119" s="2" t="s">
        <v>48</v>
      </c>
      <c r="K119" s="2" t="s">
        <v>67</v>
      </c>
      <c r="L119" s="2" t="s">
        <v>68</v>
      </c>
      <c r="M119" s="2" t="s">
        <v>51</v>
      </c>
      <c r="N119" s="2" t="s">
        <v>60</v>
      </c>
      <c r="O119" s="2">
        <v>5683.46</v>
      </c>
      <c r="P119" s="2">
        <v>62.1</v>
      </c>
      <c r="Q119" s="2">
        <v>10116.35</v>
      </c>
      <c r="R119" s="2" t="s">
        <v>97</v>
      </c>
      <c r="S119" s="2">
        <v>390</v>
      </c>
      <c r="T119" s="2">
        <v>111</v>
      </c>
      <c r="U119" s="2" t="s">
        <v>73</v>
      </c>
      <c r="V119" s="2" t="s">
        <v>73</v>
      </c>
      <c r="W119" s="2">
        <v>4</v>
      </c>
      <c r="X119" s="2">
        <v>0.5</v>
      </c>
    </row>
    <row r="120" spans="1:24" ht="15" customHeight="1">
      <c r="A120" s="2" t="s">
        <v>542</v>
      </c>
      <c r="B120" s="2" t="s">
        <v>543</v>
      </c>
      <c r="C120" s="2">
        <v>6</v>
      </c>
      <c r="D120" s="2" t="s">
        <v>171</v>
      </c>
      <c r="E120" s="2" t="s">
        <v>544</v>
      </c>
      <c r="F120" s="2" t="s">
        <v>44</v>
      </c>
      <c r="G120" s="2" t="s">
        <v>78</v>
      </c>
      <c r="H120" s="2" t="s">
        <v>104</v>
      </c>
      <c r="I120" s="2" t="s">
        <v>80</v>
      </c>
      <c r="J120" s="2" t="s">
        <v>113</v>
      </c>
      <c r="K120" s="2" t="s">
        <v>106</v>
      </c>
      <c r="L120" s="2" t="s">
        <v>50</v>
      </c>
      <c r="M120" s="2" t="s">
        <v>51</v>
      </c>
      <c r="N120" s="2" t="s">
        <v>60</v>
      </c>
      <c r="O120" s="2">
        <v>124457.36</v>
      </c>
      <c r="P120" s="2">
        <v>26.8</v>
      </c>
      <c r="Q120" s="2">
        <v>43669.91</v>
      </c>
      <c r="R120" s="2"/>
      <c r="S120" s="2">
        <v>645</v>
      </c>
      <c r="T120" s="2">
        <v>175</v>
      </c>
      <c r="U120" s="2" t="s">
        <v>122</v>
      </c>
      <c r="V120" s="2" t="s">
        <v>38</v>
      </c>
      <c r="W120" s="2">
        <v>2</v>
      </c>
      <c r="X120" s="2">
        <v>1.9</v>
      </c>
    </row>
    <row r="121" spans="1:24" ht="15" customHeight="1">
      <c r="A121" s="2" t="s">
        <v>545</v>
      </c>
      <c r="B121" s="2" t="s">
        <v>546</v>
      </c>
      <c r="C121" s="2">
        <v>7</v>
      </c>
      <c r="D121" s="2" t="s">
        <v>101</v>
      </c>
      <c r="E121" s="2" t="s">
        <v>547</v>
      </c>
      <c r="F121" s="2" t="s">
        <v>57</v>
      </c>
      <c r="G121" s="2" t="s">
        <v>78</v>
      </c>
      <c r="H121" s="2" t="s">
        <v>245</v>
      </c>
      <c r="I121" s="2" t="s">
        <v>163</v>
      </c>
      <c r="J121" s="2" t="s">
        <v>128</v>
      </c>
      <c r="K121" s="2" t="s">
        <v>106</v>
      </c>
      <c r="L121" s="2" t="s">
        <v>50</v>
      </c>
      <c r="M121" s="2" t="s">
        <v>51</v>
      </c>
      <c r="N121" s="2" t="s">
        <v>70</v>
      </c>
      <c r="O121" s="2">
        <v>132098.9</v>
      </c>
      <c r="P121" s="2">
        <v>45.1</v>
      </c>
      <c r="Q121" s="2">
        <v>2915.22</v>
      </c>
      <c r="R121" s="2" t="s">
        <v>71</v>
      </c>
      <c r="S121" s="2">
        <v>320</v>
      </c>
      <c r="T121" s="2">
        <v>29</v>
      </c>
      <c r="U121" s="2" t="s">
        <v>73</v>
      </c>
      <c r="V121" s="2" t="s">
        <v>72</v>
      </c>
      <c r="W121" s="2">
        <v>5</v>
      </c>
      <c r="X121" s="2">
        <v>2.6</v>
      </c>
    </row>
    <row r="122" spans="1:24" ht="15" customHeight="1">
      <c r="A122" s="2" t="s">
        <v>548</v>
      </c>
      <c r="B122" s="2" t="s">
        <v>549</v>
      </c>
      <c r="C122" s="2">
        <v>6</v>
      </c>
      <c r="D122" s="2" t="s">
        <v>177</v>
      </c>
      <c r="E122" s="2" t="s">
        <v>379</v>
      </c>
      <c r="F122" s="2" t="s">
        <v>184</v>
      </c>
      <c r="G122" s="2" t="s">
        <v>190</v>
      </c>
      <c r="H122" s="2" t="s">
        <v>32</v>
      </c>
      <c r="I122" s="2" t="s">
        <v>153</v>
      </c>
      <c r="J122" s="2" t="s">
        <v>90</v>
      </c>
      <c r="K122" s="2" t="s">
        <v>106</v>
      </c>
      <c r="L122" s="2" t="s">
        <v>50</v>
      </c>
      <c r="M122" s="2" t="s">
        <v>51</v>
      </c>
      <c r="N122" s="2" t="s">
        <v>70</v>
      </c>
      <c r="O122" s="2">
        <v>21531.82</v>
      </c>
      <c r="P122" s="2">
        <v>19.899999999999999</v>
      </c>
      <c r="Q122" s="2">
        <v>11984.96</v>
      </c>
      <c r="R122" s="2" t="s">
        <v>129</v>
      </c>
      <c r="S122" s="2">
        <v>506</v>
      </c>
      <c r="T122" s="2">
        <v>104</v>
      </c>
      <c r="U122" s="2" t="s">
        <v>39</v>
      </c>
      <c r="V122" s="2" t="s">
        <v>98</v>
      </c>
      <c r="W122" s="2">
        <v>2</v>
      </c>
      <c r="X122" s="2">
        <v>6.3</v>
      </c>
    </row>
    <row r="123" spans="1:24" ht="15" customHeight="1">
      <c r="A123" s="2" t="s">
        <v>550</v>
      </c>
      <c r="B123" s="2" t="s">
        <v>551</v>
      </c>
      <c r="C123" s="2">
        <v>6</v>
      </c>
      <c r="D123" s="2" t="s">
        <v>93</v>
      </c>
      <c r="E123" s="2" t="s">
        <v>552</v>
      </c>
      <c r="F123" s="2" t="s">
        <v>103</v>
      </c>
      <c r="G123" s="2" t="s">
        <v>217</v>
      </c>
      <c r="H123" s="2" t="s">
        <v>65</v>
      </c>
      <c r="I123" s="2" t="s">
        <v>404</v>
      </c>
      <c r="J123" s="2" t="s">
        <v>128</v>
      </c>
      <c r="K123" s="2" t="s">
        <v>106</v>
      </c>
      <c r="L123" s="2" t="s">
        <v>50</v>
      </c>
      <c r="M123" s="2" t="s">
        <v>51</v>
      </c>
      <c r="N123" s="2" t="s">
        <v>70</v>
      </c>
      <c r="O123" s="2">
        <v>43298.13</v>
      </c>
      <c r="P123" s="2">
        <v>66</v>
      </c>
      <c r="Q123" s="2">
        <v>52448.43</v>
      </c>
      <c r="R123" s="2" t="s">
        <v>158</v>
      </c>
      <c r="S123" s="2">
        <v>620</v>
      </c>
      <c r="T123" s="2">
        <v>29</v>
      </c>
      <c r="U123" s="2" t="s">
        <v>108</v>
      </c>
      <c r="V123" s="2" t="s">
        <v>83</v>
      </c>
      <c r="W123" s="2">
        <v>2</v>
      </c>
      <c r="X123" s="2">
        <v>3.3</v>
      </c>
    </row>
    <row r="124" spans="1:24" ht="15" customHeight="1">
      <c r="A124" s="2" t="s">
        <v>553</v>
      </c>
      <c r="B124" s="2" t="s">
        <v>554</v>
      </c>
      <c r="C124" s="2">
        <v>23</v>
      </c>
      <c r="D124" s="2" t="s">
        <v>86</v>
      </c>
      <c r="E124" s="2" t="s">
        <v>555</v>
      </c>
      <c r="F124" s="2" t="s">
        <v>57</v>
      </c>
      <c r="G124" s="2" t="s">
        <v>31</v>
      </c>
      <c r="H124" s="2" t="s">
        <v>58</v>
      </c>
      <c r="I124" s="2" t="s">
        <v>556</v>
      </c>
      <c r="J124" s="2" t="s">
        <v>48</v>
      </c>
      <c r="K124" s="2" t="s">
        <v>67</v>
      </c>
      <c r="L124" s="2" t="s">
        <v>68</v>
      </c>
      <c r="M124" s="2" t="s">
        <v>51</v>
      </c>
      <c r="N124" s="2" t="s">
        <v>36</v>
      </c>
      <c r="O124" s="2">
        <v>133487.96</v>
      </c>
      <c r="P124" s="2">
        <v>14.9</v>
      </c>
      <c r="Q124" s="2">
        <v>43584.67</v>
      </c>
      <c r="R124" s="2" t="s">
        <v>71</v>
      </c>
      <c r="S124" s="2">
        <v>726</v>
      </c>
      <c r="T124" s="2">
        <v>123</v>
      </c>
      <c r="U124" s="2" t="s">
        <v>39</v>
      </c>
      <c r="V124" s="2" t="s">
        <v>38</v>
      </c>
      <c r="W124" s="2">
        <v>5</v>
      </c>
      <c r="X124" s="2">
        <v>0.7</v>
      </c>
    </row>
    <row r="125" spans="1:24" ht="15" customHeight="1">
      <c r="A125" s="2" t="s">
        <v>557</v>
      </c>
      <c r="B125" s="2" t="s">
        <v>558</v>
      </c>
      <c r="C125" s="2">
        <v>14</v>
      </c>
      <c r="D125" s="2" t="s">
        <v>177</v>
      </c>
      <c r="E125" s="2" t="s">
        <v>444</v>
      </c>
      <c r="F125" s="2" t="s">
        <v>95</v>
      </c>
      <c r="G125" s="2" t="s">
        <v>45</v>
      </c>
      <c r="H125" s="2" t="s">
        <v>245</v>
      </c>
      <c r="I125" s="2" t="s">
        <v>559</v>
      </c>
      <c r="J125" s="2" t="s">
        <v>90</v>
      </c>
      <c r="K125" s="2" t="s">
        <v>114</v>
      </c>
      <c r="L125" s="2" t="s">
        <v>115</v>
      </c>
      <c r="M125" s="2" t="s">
        <v>51</v>
      </c>
      <c r="N125" s="2" t="s">
        <v>36</v>
      </c>
      <c r="O125" s="2">
        <v>88614.11</v>
      </c>
      <c r="P125" s="2">
        <v>78.3</v>
      </c>
      <c r="Q125" s="2">
        <v>40190.660000000003</v>
      </c>
      <c r="R125" s="2" t="s">
        <v>129</v>
      </c>
      <c r="S125" s="2">
        <v>835</v>
      </c>
      <c r="T125" s="2">
        <v>158</v>
      </c>
      <c r="U125" s="2" t="s">
        <v>98</v>
      </c>
      <c r="V125" s="2" t="s">
        <v>98</v>
      </c>
      <c r="W125" s="2">
        <v>3</v>
      </c>
      <c r="X125" s="2">
        <v>6.1</v>
      </c>
    </row>
    <row r="126" spans="1:24" ht="15" customHeight="1">
      <c r="A126" s="2" t="s">
        <v>560</v>
      </c>
      <c r="B126" s="2" t="s">
        <v>561</v>
      </c>
      <c r="C126" s="2">
        <v>41</v>
      </c>
      <c r="D126" s="2" t="s">
        <v>93</v>
      </c>
      <c r="E126" s="2" t="s">
        <v>562</v>
      </c>
      <c r="F126" s="2" t="s">
        <v>57</v>
      </c>
      <c r="G126" s="2" t="s">
        <v>45</v>
      </c>
      <c r="H126" s="2" t="s">
        <v>152</v>
      </c>
      <c r="I126" s="2" t="s">
        <v>563</v>
      </c>
      <c r="J126" s="2" t="s">
        <v>128</v>
      </c>
      <c r="K126" s="2" t="s">
        <v>67</v>
      </c>
      <c r="L126" s="2" t="s">
        <v>68</v>
      </c>
      <c r="M126" s="2" t="s">
        <v>35</v>
      </c>
      <c r="N126" s="2" t="s">
        <v>60</v>
      </c>
      <c r="O126" s="2">
        <v>78504.75</v>
      </c>
      <c r="P126" s="2">
        <v>33.4</v>
      </c>
      <c r="Q126" s="2">
        <v>49026.2</v>
      </c>
      <c r="R126" s="2" t="s">
        <v>97</v>
      </c>
      <c r="S126" s="2">
        <v>754</v>
      </c>
      <c r="T126" s="2">
        <v>114</v>
      </c>
      <c r="U126" s="2" t="s">
        <v>98</v>
      </c>
      <c r="V126" s="2" t="s">
        <v>38</v>
      </c>
      <c r="W126" s="2">
        <v>1</v>
      </c>
      <c r="X126" s="2">
        <v>8.8000000000000007</v>
      </c>
    </row>
    <row r="127" spans="1:24" ht="15" customHeight="1">
      <c r="A127" s="2" t="s">
        <v>564</v>
      </c>
      <c r="B127" s="2" t="s">
        <v>565</v>
      </c>
      <c r="C127" s="2"/>
      <c r="D127" s="2" t="s">
        <v>177</v>
      </c>
      <c r="E127" s="2" t="s">
        <v>566</v>
      </c>
      <c r="F127" s="2" t="s">
        <v>184</v>
      </c>
      <c r="G127" s="2" t="s">
        <v>162</v>
      </c>
      <c r="H127" s="2" t="s">
        <v>65</v>
      </c>
      <c r="I127" s="2" t="s">
        <v>567</v>
      </c>
      <c r="J127" s="2" t="s">
        <v>81</v>
      </c>
      <c r="K127" s="2"/>
      <c r="L127" s="2"/>
      <c r="M127" s="2" t="s">
        <v>51</v>
      </c>
      <c r="N127" s="2" t="s">
        <v>70</v>
      </c>
      <c r="O127" s="2">
        <v>142801.49</v>
      </c>
      <c r="P127" s="2">
        <v>9.1</v>
      </c>
      <c r="Q127" s="2">
        <v>13375.09</v>
      </c>
      <c r="R127" s="2" t="s">
        <v>158</v>
      </c>
      <c r="S127" s="2">
        <v>873</v>
      </c>
      <c r="T127" s="2">
        <v>153</v>
      </c>
      <c r="U127" s="2" t="s">
        <v>38</v>
      </c>
      <c r="V127" s="2" t="s">
        <v>72</v>
      </c>
      <c r="W127" s="2">
        <v>1</v>
      </c>
      <c r="X127" s="2">
        <v>7</v>
      </c>
    </row>
    <row r="128" spans="1:24" ht="15" customHeight="1">
      <c r="A128" s="2" t="s">
        <v>568</v>
      </c>
      <c r="B128" s="2" t="s">
        <v>569</v>
      </c>
      <c r="C128" s="2">
        <v>24</v>
      </c>
      <c r="D128" s="2" t="s">
        <v>188</v>
      </c>
      <c r="E128" s="2" t="s">
        <v>570</v>
      </c>
      <c r="F128" s="2" t="s">
        <v>57</v>
      </c>
      <c r="G128" s="2" t="s">
        <v>45</v>
      </c>
      <c r="H128" s="2" t="s">
        <v>79</v>
      </c>
      <c r="I128" s="2" t="s">
        <v>571</v>
      </c>
      <c r="J128" s="2" t="s">
        <v>34</v>
      </c>
      <c r="K128" s="2" t="s">
        <v>67</v>
      </c>
      <c r="L128" s="2" t="s">
        <v>68</v>
      </c>
      <c r="M128" s="2" t="s">
        <v>35</v>
      </c>
      <c r="N128" s="2" t="s">
        <v>60</v>
      </c>
      <c r="O128" s="2">
        <v>71271.67</v>
      </c>
      <c r="P128" s="2">
        <v>58.8</v>
      </c>
      <c r="Q128" s="2">
        <v>6465.94</v>
      </c>
      <c r="R128" s="2" t="s">
        <v>138</v>
      </c>
      <c r="S128" s="2">
        <v>426</v>
      </c>
      <c r="T128" s="2">
        <v>115</v>
      </c>
      <c r="U128" s="2" t="s">
        <v>39</v>
      </c>
      <c r="V128" s="2" t="s">
        <v>72</v>
      </c>
      <c r="W128" s="2">
        <v>5</v>
      </c>
      <c r="X128" s="2">
        <v>6.8</v>
      </c>
    </row>
    <row r="129" spans="1:24" ht="15" customHeight="1">
      <c r="A129" s="2" t="s">
        <v>572</v>
      </c>
      <c r="B129" s="2" t="s">
        <v>573</v>
      </c>
      <c r="C129" s="2">
        <v>43</v>
      </c>
      <c r="D129" s="2" t="s">
        <v>171</v>
      </c>
      <c r="E129" s="2" t="s">
        <v>209</v>
      </c>
      <c r="F129" s="2" t="s">
        <v>57</v>
      </c>
      <c r="G129" s="2" t="s">
        <v>217</v>
      </c>
      <c r="H129" s="2" t="s">
        <v>79</v>
      </c>
      <c r="I129" s="2" t="s">
        <v>574</v>
      </c>
      <c r="J129" s="2" t="s">
        <v>81</v>
      </c>
      <c r="K129" s="2" t="s">
        <v>67</v>
      </c>
      <c r="L129" s="2" t="s">
        <v>68</v>
      </c>
      <c r="M129" s="2" t="s">
        <v>51</v>
      </c>
      <c r="N129" s="2" t="s">
        <v>36</v>
      </c>
      <c r="O129" s="2">
        <v>137806.99</v>
      </c>
      <c r="P129" s="2">
        <v>25.5</v>
      </c>
      <c r="Q129" s="2">
        <v>57815.61</v>
      </c>
      <c r="R129" s="2" t="s">
        <v>158</v>
      </c>
      <c r="S129" s="2">
        <v>436</v>
      </c>
      <c r="T129" s="2">
        <v>154</v>
      </c>
      <c r="U129" s="2" t="s">
        <v>38</v>
      </c>
      <c r="V129" s="2" t="s">
        <v>83</v>
      </c>
      <c r="W129" s="2">
        <v>2</v>
      </c>
      <c r="X129" s="2">
        <v>5.8</v>
      </c>
    </row>
    <row r="130" spans="1:24" ht="15" customHeight="1">
      <c r="A130" s="2" t="s">
        <v>575</v>
      </c>
      <c r="B130" s="2" t="s">
        <v>576</v>
      </c>
      <c r="C130" s="2">
        <v>14</v>
      </c>
      <c r="D130" s="2" t="s">
        <v>55</v>
      </c>
      <c r="E130" s="2" t="s">
        <v>577</v>
      </c>
      <c r="F130" s="2" t="s">
        <v>88</v>
      </c>
      <c r="G130" s="2" t="s">
        <v>31</v>
      </c>
      <c r="H130" s="2" t="s">
        <v>173</v>
      </c>
      <c r="I130" s="2" t="s">
        <v>578</v>
      </c>
      <c r="J130" s="2" t="s">
        <v>48</v>
      </c>
      <c r="K130" s="2" t="s">
        <v>114</v>
      </c>
      <c r="L130" s="2" t="s">
        <v>115</v>
      </c>
      <c r="M130" s="2" t="s">
        <v>51</v>
      </c>
      <c r="N130" s="2" t="s">
        <v>70</v>
      </c>
      <c r="O130" s="2">
        <v>132234.20000000001</v>
      </c>
      <c r="P130" s="2">
        <v>6</v>
      </c>
      <c r="Q130" s="2">
        <v>6388.23</v>
      </c>
      <c r="R130" s="2" t="s">
        <v>138</v>
      </c>
      <c r="S130" s="2">
        <v>354</v>
      </c>
      <c r="T130" s="2">
        <v>51</v>
      </c>
      <c r="U130" s="2" t="s">
        <v>39</v>
      </c>
      <c r="V130" s="2" t="s">
        <v>38</v>
      </c>
      <c r="W130" s="2">
        <v>2</v>
      </c>
      <c r="X130" s="2">
        <v>7.6</v>
      </c>
    </row>
    <row r="131" spans="1:24" ht="15" customHeight="1">
      <c r="A131" s="2" t="s">
        <v>579</v>
      </c>
      <c r="B131" s="2" t="s">
        <v>580</v>
      </c>
      <c r="C131" s="2">
        <v>40</v>
      </c>
      <c r="D131" s="2" t="s">
        <v>86</v>
      </c>
      <c r="E131" s="2" t="s">
        <v>581</v>
      </c>
      <c r="F131" s="2" t="s">
        <v>30</v>
      </c>
      <c r="G131" s="2" t="s">
        <v>78</v>
      </c>
      <c r="H131" s="2" t="s">
        <v>46</v>
      </c>
      <c r="I131" s="2" t="s">
        <v>582</v>
      </c>
      <c r="J131" s="2" t="s">
        <v>48</v>
      </c>
      <c r="K131" s="2" t="s">
        <v>67</v>
      </c>
      <c r="L131" s="2" t="s">
        <v>68</v>
      </c>
      <c r="M131" s="2" t="s">
        <v>51</v>
      </c>
      <c r="N131" s="2" t="s">
        <v>70</v>
      </c>
      <c r="O131" s="2">
        <v>65402.1</v>
      </c>
      <c r="P131" s="2">
        <v>56.4</v>
      </c>
      <c r="Q131" s="2">
        <v>57949.99</v>
      </c>
      <c r="R131" s="2" t="s">
        <v>71</v>
      </c>
      <c r="S131" s="2">
        <v>557</v>
      </c>
      <c r="T131" s="2">
        <v>199</v>
      </c>
      <c r="U131" s="2" t="s">
        <v>39</v>
      </c>
      <c r="V131" s="2" t="s">
        <v>39</v>
      </c>
      <c r="W131" s="2">
        <v>2</v>
      </c>
      <c r="X131" s="2">
        <v>3</v>
      </c>
    </row>
    <row r="132" spans="1:24" ht="15" customHeight="1">
      <c r="A132" s="2" t="s">
        <v>583</v>
      </c>
      <c r="B132" s="2" t="s">
        <v>584</v>
      </c>
      <c r="C132" s="2">
        <v>17</v>
      </c>
      <c r="D132" s="2" t="s">
        <v>55</v>
      </c>
      <c r="E132" s="2" t="s">
        <v>585</v>
      </c>
      <c r="F132" s="2" t="s">
        <v>44</v>
      </c>
      <c r="G132" s="2" t="s">
        <v>179</v>
      </c>
      <c r="H132" s="2" t="s">
        <v>126</v>
      </c>
      <c r="I132" s="2" t="s">
        <v>586</v>
      </c>
      <c r="J132" s="2" t="s">
        <v>81</v>
      </c>
      <c r="K132" s="2" t="s">
        <v>147</v>
      </c>
      <c r="L132" s="2" t="s">
        <v>115</v>
      </c>
      <c r="M132" s="2" t="s">
        <v>69</v>
      </c>
      <c r="N132" s="2" t="s">
        <v>70</v>
      </c>
      <c r="O132" s="2">
        <v>107904.95</v>
      </c>
      <c r="P132" s="2">
        <v>16.5</v>
      </c>
      <c r="Q132" s="2">
        <v>19357.8</v>
      </c>
      <c r="R132" s="2" t="s">
        <v>61</v>
      </c>
      <c r="S132" s="2">
        <v>802</v>
      </c>
      <c r="T132" s="2">
        <v>140</v>
      </c>
      <c r="U132" s="2" t="s">
        <v>72</v>
      </c>
      <c r="V132" s="2" t="s">
        <v>39</v>
      </c>
      <c r="W132" s="2">
        <v>2</v>
      </c>
      <c r="X132" s="2">
        <v>4.9000000000000004</v>
      </c>
    </row>
    <row r="133" spans="1:24" ht="15" customHeight="1">
      <c r="A133" s="2" t="s">
        <v>587</v>
      </c>
      <c r="B133" s="2" t="s">
        <v>588</v>
      </c>
      <c r="C133" s="2">
        <v>40</v>
      </c>
      <c r="D133" s="2" t="s">
        <v>188</v>
      </c>
      <c r="E133" s="2" t="s">
        <v>589</v>
      </c>
      <c r="F133" s="2" t="s">
        <v>167</v>
      </c>
      <c r="G133" s="2" t="s">
        <v>96</v>
      </c>
      <c r="H133" s="2" t="s">
        <v>173</v>
      </c>
      <c r="I133" s="2" t="s">
        <v>590</v>
      </c>
      <c r="J133" s="2" t="s">
        <v>81</v>
      </c>
      <c r="K133" s="2" t="s">
        <v>67</v>
      </c>
      <c r="L133" s="2" t="s">
        <v>68</v>
      </c>
      <c r="M133" s="2" t="s">
        <v>51</v>
      </c>
      <c r="N133" s="2" t="s">
        <v>60</v>
      </c>
      <c r="O133" s="2">
        <v>21634.68</v>
      </c>
      <c r="P133" s="2">
        <v>23</v>
      </c>
      <c r="Q133" s="2">
        <v>38535.86</v>
      </c>
      <c r="R133" s="2" t="s">
        <v>148</v>
      </c>
      <c r="S133" s="2">
        <v>340</v>
      </c>
      <c r="T133" s="2">
        <v>82</v>
      </c>
      <c r="U133" s="2" t="s">
        <v>72</v>
      </c>
      <c r="V133" s="2" t="s">
        <v>38</v>
      </c>
      <c r="W133" s="2">
        <v>5</v>
      </c>
      <c r="X133" s="2">
        <v>6.7</v>
      </c>
    </row>
    <row r="134" spans="1:24" ht="15" customHeight="1">
      <c r="A134" s="2" t="s">
        <v>591</v>
      </c>
      <c r="B134" s="2" t="s">
        <v>592</v>
      </c>
      <c r="C134" s="2">
        <v>29</v>
      </c>
      <c r="D134" s="2" t="s">
        <v>177</v>
      </c>
      <c r="E134" s="2" t="s">
        <v>593</v>
      </c>
      <c r="F134" s="2" t="s">
        <v>167</v>
      </c>
      <c r="G134" s="2" t="s">
        <v>96</v>
      </c>
      <c r="H134" s="2" t="s">
        <v>46</v>
      </c>
      <c r="I134" s="2" t="s">
        <v>254</v>
      </c>
      <c r="J134" s="2" t="s">
        <v>48</v>
      </c>
      <c r="K134" s="2" t="s">
        <v>67</v>
      </c>
      <c r="L134" s="2" t="s">
        <v>68</v>
      </c>
      <c r="M134" s="2" t="s">
        <v>35</v>
      </c>
      <c r="N134" s="2" t="s">
        <v>60</v>
      </c>
      <c r="O134" s="2">
        <v>130417.87</v>
      </c>
      <c r="P134" s="2">
        <v>12.8</v>
      </c>
      <c r="Q134" s="2">
        <v>32265.25</v>
      </c>
      <c r="R134" s="2" t="s">
        <v>107</v>
      </c>
      <c r="S134" s="2">
        <v>373</v>
      </c>
      <c r="T134" s="2">
        <v>39</v>
      </c>
      <c r="U134" s="2" t="s">
        <v>98</v>
      </c>
      <c r="V134" s="2" t="s">
        <v>72</v>
      </c>
      <c r="W134" s="2">
        <v>1</v>
      </c>
      <c r="X134" s="2">
        <v>1.1000000000000001</v>
      </c>
    </row>
    <row r="135" spans="1:24" ht="15" customHeight="1">
      <c r="A135" s="2" t="s">
        <v>594</v>
      </c>
      <c r="B135" s="2" t="s">
        <v>595</v>
      </c>
      <c r="C135" s="2">
        <v>10</v>
      </c>
      <c r="D135" s="2" t="s">
        <v>86</v>
      </c>
      <c r="E135" s="2" t="s">
        <v>414</v>
      </c>
      <c r="F135" s="2" t="s">
        <v>103</v>
      </c>
      <c r="G135" s="2" t="s">
        <v>179</v>
      </c>
      <c r="H135" s="2" t="s">
        <v>58</v>
      </c>
      <c r="I135" s="2" t="s">
        <v>80</v>
      </c>
      <c r="J135" s="2" t="s">
        <v>81</v>
      </c>
      <c r="K135" s="2" t="s">
        <v>49</v>
      </c>
      <c r="L135" s="2" t="s">
        <v>50</v>
      </c>
      <c r="M135" s="2" t="s">
        <v>35</v>
      </c>
      <c r="N135" s="2" t="s">
        <v>60</v>
      </c>
      <c r="O135" s="2">
        <v>114614.29</v>
      </c>
      <c r="P135" s="2">
        <v>57.6</v>
      </c>
      <c r="Q135" s="2">
        <v>4355.37</v>
      </c>
      <c r="R135" s="2" t="s">
        <v>82</v>
      </c>
      <c r="S135" s="2">
        <v>596</v>
      </c>
      <c r="T135" s="2">
        <v>77</v>
      </c>
      <c r="U135" s="2" t="s">
        <v>122</v>
      </c>
      <c r="V135" s="2" t="s">
        <v>73</v>
      </c>
      <c r="W135" s="2">
        <v>4</v>
      </c>
      <c r="X135" s="2">
        <v>7.5</v>
      </c>
    </row>
    <row r="136" spans="1:24" ht="15" customHeight="1">
      <c r="A136" s="2" t="s">
        <v>596</v>
      </c>
      <c r="B136" s="2" t="s">
        <v>597</v>
      </c>
      <c r="C136" s="2">
        <v>20</v>
      </c>
      <c r="D136" s="2" t="s">
        <v>118</v>
      </c>
      <c r="E136" s="2" t="s">
        <v>598</v>
      </c>
      <c r="F136" s="2" t="s">
        <v>184</v>
      </c>
      <c r="G136" s="2" t="s">
        <v>190</v>
      </c>
      <c r="H136" s="2" t="s">
        <v>79</v>
      </c>
      <c r="I136" s="2" t="s">
        <v>599</v>
      </c>
      <c r="J136" s="2" t="s">
        <v>90</v>
      </c>
      <c r="K136" s="2" t="s">
        <v>67</v>
      </c>
      <c r="L136" s="2" t="s">
        <v>68</v>
      </c>
      <c r="M136" s="2" t="s">
        <v>51</v>
      </c>
      <c r="N136" s="2" t="s">
        <v>60</v>
      </c>
      <c r="O136" s="2">
        <v>11057.11</v>
      </c>
      <c r="P136" s="2">
        <v>34.6</v>
      </c>
      <c r="Q136" s="2">
        <v>32851.53</v>
      </c>
      <c r="R136" s="2" t="s">
        <v>61</v>
      </c>
      <c r="S136" s="2">
        <v>515</v>
      </c>
      <c r="T136" s="2">
        <v>185</v>
      </c>
      <c r="U136" s="2" t="s">
        <v>39</v>
      </c>
      <c r="V136" s="2" t="s">
        <v>39</v>
      </c>
      <c r="W136" s="2">
        <v>2</v>
      </c>
      <c r="X136" s="2">
        <v>2.1</v>
      </c>
    </row>
    <row r="137" spans="1:24" ht="15" customHeight="1">
      <c r="A137" s="2" t="s">
        <v>600</v>
      </c>
      <c r="B137" s="2" t="s">
        <v>601</v>
      </c>
      <c r="C137" s="2">
        <v>13</v>
      </c>
      <c r="D137" s="2" t="s">
        <v>55</v>
      </c>
      <c r="E137" s="2" t="s">
        <v>393</v>
      </c>
      <c r="F137" s="2" t="s">
        <v>184</v>
      </c>
      <c r="G137" s="2" t="s">
        <v>45</v>
      </c>
      <c r="H137" s="2" t="s">
        <v>46</v>
      </c>
      <c r="I137" s="2" t="s">
        <v>254</v>
      </c>
      <c r="J137" s="2" t="s">
        <v>128</v>
      </c>
      <c r="K137" s="2" t="s">
        <v>49</v>
      </c>
      <c r="L137" s="2" t="s">
        <v>50</v>
      </c>
      <c r="M137" s="2" t="s">
        <v>35</v>
      </c>
      <c r="N137" s="2" t="s">
        <v>70</v>
      </c>
      <c r="O137" s="2">
        <v>142973.29</v>
      </c>
      <c r="P137" s="2">
        <v>55.3</v>
      </c>
      <c r="Q137" s="2">
        <v>14071.97</v>
      </c>
      <c r="R137" s="2" t="s">
        <v>129</v>
      </c>
      <c r="S137" s="2">
        <v>371</v>
      </c>
      <c r="T137" s="2">
        <v>81</v>
      </c>
      <c r="U137" s="2" t="s">
        <v>73</v>
      </c>
      <c r="V137" s="2" t="s">
        <v>38</v>
      </c>
      <c r="W137" s="2">
        <v>5</v>
      </c>
      <c r="X137" s="2">
        <v>1.8</v>
      </c>
    </row>
    <row r="138" spans="1:24" ht="15" customHeight="1">
      <c r="A138" s="2" t="s">
        <v>602</v>
      </c>
      <c r="B138" s="2" t="s">
        <v>603</v>
      </c>
      <c r="C138" s="2">
        <v>33</v>
      </c>
      <c r="D138" s="2" t="s">
        <v>93</v>
      </c>
      <c r="E138" s="2" t="s">
        <v>604</v>
      </c>
      <c r="F138" s="2" t="s">
        <v>167</v>
      </c>
      <c r="G138" s="2" t="s">
        <v>179</v>
      </c>
      <c r="H138" s="2" t="s">
        <v>126</v>
      </c>
      <c r="I138" s="2" t="s">
        <v>605</v>
      </c>
      <c r="J138" s="2" t="s">
        <v>113</v>
      </c>
      <c r="K138" s="2" t="s">
        <v>67</v>
      </c>
      <c r="L138" s="2" t="s">
        <v>68</v>
      </c>
      <c r="M138" s="2" t="s">
        <v>51</v>
      </c>
      <c r="N138" s="2" t="s">
        <v>70</v>
      </c>
      <c r="O138" s="2">
        <v>75610.850000000006</v>
      </c>
      <c r="P138" s="2">
        <v>53.4</v>
      </c>
      <c r="Q138" s="2">
        <v>4918.42</v>
      </c>
      <c r="R138" s="2" t="s">
        <v>138</v>
      </c>
      <c r="S138" s="2">
        <v>851</v>
      </c>
      <c r="T138" s="2">
        <v>187</v>
      </c>
      <c r="U138" s="2" t="s">
        <v>108</v>
      </c>
      <c r="V138" s="2" t="s">
        <v>108</v>
      </c>
      <c r="W138" s="2">
        <v>5</v>
      </c>
      <c r="X138" s="2">
        <v>5.4</v>
      </c>
    </row>
    <row r="139" spans="1:24" ht="15" customHeight="1">
      <c r="A139" s="2" t="s">
        <v>606</v>
      </c>
      <c r="B139" s="2" t="s">
        <v>607</v>
      </c>
      <c r="C139" s="2">
        <v>8</v>
      </c>
      <c r="D139" s="2" t="s">
        <v>171</v>
      </c>
      <c r="E139" s="2" t="s">
        <v>577</v>
      </c>
      <c r="F139" s="2" t="s">
        <v>184</v>
      </c>
      <c r="G139" s="2" t="s">
        <v>45</v>
      </c>
      <c r="H139" s="2" t="s">
        <v>79</v>
      </c>
      <c r="I139" s="2" t="s">
        <v>608</v>
      </c>
      <c r="J139" s="2" t="s">
        <v>34</v>
      </c>
      <c r="K139" s="2" t="s">
        <v>106</v>
      </c>
      <c r="L139" s="2" t="s">
        <v>50</v>
      </c>
      <c r="M139" s="2" t="s">
        <v>51</v>
      </c>
      <c r="N139" s="2" t="s">
        <v>70</v>
      </c>
      <c r="O139" s="2"/>
      <c r="P139" s="2">
        <v>22.9</v>
      </c>
      <c r="Q139" s="2">
        <v>57840.02</v>
      </c>
      <c r="R139" s="2" t="s">
        <v>148</v>
      </c>
      <c r="S139" s="2">
        <v>826</v>
      </c>
      <c r="T139" s="2">
        <v>40</v>
      </c>
      <c r="U139" s="2" t="s">
        <v>83</v>
      </c>
      <c r="V139" s="2" t="s">
        <v>38</v>
      </c>
      <c r="W139" s="2">
        <v>1</v>
      </c>
      <c r="X139" s="2">
        <v>2.4</v>
      </c>
    </row>
    <row r="140" spans="1:24" ht="15" customHeight="1">
      <c r="A140" s="2" t="s">
        <v>609</v>
      </c>
      <c r="B140" s="2" t="s">
        <v>610</v>
      </c>
      <c r="C140" s="2">
        <v>29</v>
      </c>
      <c r="D140" s="2" t="s">
        <v>93</v>
      </c>
      <c r="E140" s="2" t="s">
        <v>611</v>
      </c>
      <c r="F140" s="2" t="s">
        <v>184</v>
      </c>
      <c r="G140" s="2" t="s">
        <v>96</v>
      </c>
      <c r="H140" s="2" t="s">
        <v>58</v>
      </c>
      <c r="I140" s="2" t="s">
        <v>191</v>
      </c>
      <c r="J140" s="2" t="s">
        <v>48</v>
      </c>
      <c r="K140" s="2" t="s">
        <v>67</v>
      </c>
      <c r="L140" s="2" t="s">
        <v>68</v>
      </c>
      <c r="M140" s="2" t="s">
        <v>51</v>
      </c>
      <c r="N140" s="2" t="s">
        <v>36</v>
      </c>
      <c r="O140" s="2">
        <v>96867.21</v>
      </c>
      <c r="P140" s="2">
        <v>60.6</v>
      </c>
      <c r="Q140" s="2">
        <v>34717.89</v>
      </c>
      <c r="R140" s="2" t="s">
        <v>148</v>
      </c>
      <c r="S140" s="2">
        <v>685</v>
      </c>
      <c r="T140" s="2">
        <v>93</v>
      </c>
      <c r="U140" s="2" t="s">
        <v>122</v>
      </c>
      <c r="V140" s="2" t="s">
        <v>39</v>
      </c>
      <c r="W140" s="2">
        <v>5</v>
      </c>
      <c r="X140" s="2">
        <v>3.9</v>
      </c>
    </row>
    <row r="141" spans="1:24" ht="15" customHeight="1">
      <c r="A141" s="2" t="s">
        <v>612</v>
      </c>
      <c r="B141" s="2" t="s">
        <v>613</v>
      </c>
      <c r="C141" s="2">
        <v>36</v>
      </c>
      <c r="D141" s="2" t="s">
        <v>55</v>
      </c>
      <c r="E141" s="2" t="s">
        <v>614</v>
      </c>
      <c r="F141" s="2" t="s">
        <v>103</v>
      </c>
      <c r="G141" s="2" t="s">
        <v>217</v>
      </c>
      <c r="H141" s="2" t="s">
        <v>104</v>
      </c>
      <c r="I141" s="2" t="s">
        <v>615</v>
      </c>
      <c r="J141" s="2" t="s">
        <v>34</v>
      </c>
      <c r="K141" s="2" t="s">
        <v>67</v>
      </c>
      <c r="L141" s="2" t="s">
        <v>68</v>
      </c>
      <c r="M141" s="2" t="s">
        <v>35</v>
      </c>
      <c r="N141" s="2" t="s">
        <v>36</v>
      </c>
      <c r="O141" s="2">
        <v>109008.89</v>
      </c>
      <c r="P141" s="2">
        <v>22.3</v>
      </c>
      <c r="Q141" s="2">
        <v>48670.36</v>
      </c>
      <c r="R141" s="2" t="s">
        <v>82</v>
      </c>
      <c r="S141" s="2">
        <v>793</v>
      </c>
      <c r="T141" s="2">
        <v>122</v>
      </c>
      <c r="U141" s="2" t="s">
        <v>83</v>
      </c>
      <c r="V141" s="2" t="s">
        <v>72</v>
      </c>
      <c r="W141" s="2">
        <v>2</v>
      </c>
      <c r="X141" s="2">
        <v>0.9</v>
      </c>
    </row>
    <row r="142" spans="1:24" ht="15" customHeight="1">
      <c r="A142" s="2" t="s">
        <v>616</v>
      </c>
      <c r="B142" s="2" t="s">
        <v>617</v>
      </c>
      <c r="C142" s="2">
        <v>38</v>
      </c>
      <c r="D142" s="2" t="s">
        <v>55</v>
      </c>
      <c r="E142" s="2" t="s">
        <v>577</v>
      </c>
      <c r="F142" s="2" t="s">
        <v>57</v>
      </c>
      <c r="G142" s="2" t="s">
        <v>190</v>
      </c>
      <c r="H142" s="2" t="s">
        <v>79</v>
      </c>
      <c r="I142" s="2" t="s">
        <v>404</v>
      </c>
      <c r="J142" s="2" t="s">
        <v>48</v>
      </c>
      <c r="K142" s="2" t="s">
        <v>67</v>
      </c>
      <c r="L142" s="2" t="s">
        <v>68</v>
      </c>
      <c r="M142" s="2" t="s">
        <v>51</v>
      </c>
      <c r="N142" s="2" t="s">
        <v>60</v>
      </c>
      <c r="O142" s="2">
        <v>36406.050000000003</v>
      </c>
      <c r="P142" s="2">
        <v>40.4</v>
      </c>
      <c r="Q142" s="2">
        <v>28900.1</v>
      </c>
      <c r="R142" s="2" t="s">
        <v>97</v>
      </c>
      <c r="S142" s="2">
        <v>446</v>
      </c>
      <c r="T142" s="2">
        <v>196</v>
      </c>
      <c r="U142" s="2" t="s">
        <v>122</v>
      </c>
      <c r="V142" s="2" t="s">
        <v>122</v>
      </c>
      <c r="W142" s="2">
        <v>4</v>
      </c>
      <c r="X142" s="2">
        <v>5.6</v>
      </c>
    </row>
    <row r="143" spans="1:24" ht="15" customHeight="1">
      <c r="A143" s="2" t="s">
        <v>618</v>
      </c>
      <c r="B143" s="2" t="s">
        <v>619</v>
      </c>
      <c r="C143" s="2">
        <v>14</v>
      </c>
      <c r="D143" s="2" t="s">
        <v>93</v>
      </c>
      <c r="E143" s="2" t="s">
        <v>620</v>
      </c>
      <c r="F143" s="2" t="s">
        <v>184</v>
      </c>
      <c r="G143" s="2" t="s">
        <v>179</v>
      </c>
      <c r="H143" s="2" t="s">
        <v>79</v>
      </c>
      <c r="I143" s="2" t="s">
        <v>621</v>
      </c>
      <c r="J143" s="2" t="s">
        <v>81</v>
      </c>
      <c r="K143" s="2" t="s">
        <v>114</v>
      </c>
      <c r="L143" s="2" t="s">
        <v>115</v>
      </c>
      <c r="M143" s="2" t="s">
        <v>51</v>
      </c>
      <c r="N143" s="2" t="s">
        <v>36</v>
      </c>
      <c r="O143" s="2">
        <v>77982.740000000005</v>
      </c>
      <c r="P143" s="2">
        <v>41.2</v>
      </c>
      <c r="Q143" s="2">
        <v>7819.73</v>
      </c>
      <c r="R143" s="2"/>
      <c r="S143" s="2">
        <v>301</v>
      </c>
      <c r="T143" s="2">
        <v>198</v>
      </c>
      <c r="U143" s="2" t="s">
        <v>73</v>
      </c>
      <c r="V143" s="2" t="s">
        <v>72</v>
      </c>
      <c r="W143" s="2">
        <v>5</v>
      </c>
      <c r="X143" s="2">
        <v>4.0999999999999996</v>
      </c>
    </row>
    <row r="144" spans="1:24" ht="15" customHeight="1">
      <c r="A144" s="2" t="s">
        <v>622</v>
      </c>
      <c r="B144" s="2" t="s">
        <v>623</v>
      </c>
      <c r="C144" s="2">
        <v>30</v>
      </c>
      <c r="D144" s="2" t="s">
        <v>171</v>
      </c>
      <c r="E144" s="2" t="s">
        <v>452</v>
      </c>
      <c r="F144" s="2" t="s">
        <v>120</v>
      </c>
      <c r="G144" s="2" t="s">
        <v>31</v>
      </c>
      <c r="H144" s="2" t="s">
        <v>58</v>
      </c>
      <c r="I144" s="2" t="s">
        <v>624</v>
      </c>
      <c r="J144" s="2" t="s">
        <v>90</v>
      </c>
      <c r="K144" s="2" t="s">
        <v>67</v>
      </c>
      <c r="L144" s="2" t="s">
        <v>68</v>
      </c>
      <c r="M144" s="2" t="s">
        <v>35</v>
      </c>
      <c r="N144" s="2" t="s">
        <v>70</v>
      </c>
      <c r="O144" s="2"/>
      <c r="P144" s="2">
        <v>60.8</v>
      </c>
      <c r="Q144" s="2">
        <v>426.84</v>
      </c>
      <c r="R144" s="2" t="s">
        <v>82</v>
      </c>
      <c r="S144" s="2" t="s">
        <v>195</v>
      </c>
      <c r="T144" s="2">
        <v>167</v>
      </c>
      <c r="U144" s="2" t="s">
        <v>122</v>
      </c>
      <c r="V144" s="2" t="s">
        <v>38</v>
      </c>
      <c r="W144" s="2">
        <v>1</v>
      </c>
      <c r="X144" s="2">
        <v>1.8</v>
      </c>
    </row>
    <row r="145" spans="1:24" ht="15" customHeight="1">
      <c r="A145" s="2" t="s">
        <v>625</v>
      </c>
      <c r="B145" s="2" t="s">
        <v>626</v>
      </c>
      <c r="C145" s="2">
        <v>40</v>
      </c>
      <c r="D145" s="2" t="s">
        <v>171</v>
      </c>
      <c r="E145" s="2" t="s">
        <v>627</v>
      </c>
      <c r="F145" s="2" t="s">
        <v>77</v>
      </c>
      <c r="G145" s="2" t="s">
        <v>179</v>
      </c>
      <c r="H145" s="2" t="s">
        <v>104</v>
      </c>
      <c r="I145" s="2" t="s">
        <v>628</v>
      </c>
      <c r="J145" s="2" t="s">
        <v>34</v>
      </c>
      <c r="K145" s="2" t="s">
        <v>67</v>
      </c>
      <c r="L145" s="2" t="s">
        <v>68</v>
      </c>
      <c r="M145" s="2" t="s">
        <v>51</v>
      </c>
      <c r="N145" s="2" t="s">
        <v>70</v>
      </c>
      <c r="O145" s="2">
        <v>148333.70000000001</v>
      </c>
      <c r="P145" s="2">
        <v>63.1</v>
      </c>
      <c r="Q145" s="2">
        <v>23887.79</v>
      </c>
      <c r="R145" s="2" t="s">
        <v>71</v>
      </c>
      <c r="S145" s="2">
        <v>535</v>
      </c>
      <c r="T145" s="2">
        <v>179</v>
      </c>
      <c r="U145" s="2" t="s">
        <v>108</v>
      </c>
      <c r="V145" s="2" t="s">
        <v>98</v>
      </c>
      <c r="W145" s="2">
        <v>3</v>
      </c>
      <c r="X145" s="2">
        <v>7.3</v>
      </c>
    </row>
    <row r="146" spans="1:24" ht="15" customHeight="1">
      <c r="A146" s="2" t="s">
        <v>629</v>
      </c>
      <c r="B146" s="2" t="s">
        <v>630</v>
      </c>
      <c r="C146" s="2">
        <v>9</v>
      </c>
      <c r="D146" s="2" t="s">
        <v>118</v>
      </c>
      <c r="E146" s="2" t="s">
        <v>631</v>
      </c>
      <c r="F146" s="2" t="s">
        <v>44</v>
      </c>
      <c r="G146" s="2" t="s">
        <v>31</v>
      </c>
      <c r="H146" s="2" t="s">
        <v>79</v>
      </c>
      <c r="I146" s="2" t="s">
        <v>191</v>
      </c>
      <c r="J146" s="2" t="s">
        <v>90</v>
      </c>
      <c r="K146" s="2" t="s">
        <v>106</v>
      </c>
      <c r="L146" s="2" t="s">
        <v>50</v>
      </c>
      <c r="M146" s="2" t="s">
        <v>35</v>
      </c>
      <c r="N146" s="2" t="s">
        <v>36</v>
      </c>
      <c r="O146" s="2">
        <v>10474.52</v>
      </c>
      <c r="P146" s="2">
        <v>78.8</v>
      </c>
      <c r="Q146" s="2">
        <v>36837.94</v>
      </c>
      <c r="R146" s="2" t="s">
        <v>37</v>
      </c>
      <c r="S146" s="2">
        <v>358</v>
      </c>
      <c r="T146" s="2">
        <v>44</v>
      </c>
      <c r="U146" s="2" t="s">
        <v>73</v>
      </c>
      <c r="V146" s="2" t="s">
        <v>83</v>
      </c>
      <c r="W146" s="2">
        <v>5</v>
      </c>
      <c r="X146" s="2">
        <v>2.9</v>
      </c>
    </row>
    <row r="147" spans="1:24" ht="15" customHeight="1">
      <c r="A147" s="2" t="s">
        <v>632</v>
      </c>
      <c r="B147" s="2" t="s">
        <v>633</v>
      </c>
      <c r="C147" s="2">
        <v>39</v>
      </c>
      <c r="D147" s="2" t="s">
        <v>55</v>
      </c>
      <c r="E147" s="2" t="s">
        <v>156</v>
      </c>
      <c r="F147" s="2" t="s">
        <v>44</v>
      </c>
      <c r="G147" s="2" t="s">
        <v>96</v>
      </c>
      <c r="H147" s="2" t="s">
        <v>104</v>
      </c>
      <c r="I147" s="2" t="s">
        <v>634</v>
      </c>
      <c r="J147" s="2" t="s">
        <v>113</v>
      </c>
      <c r="K147" s="2" t="s">
        <v>67</v>
      </c>
      <c r="L147" s="2" t="s">
        <v>68</v>
      </c>
      <c r="M147" s="2" t="s">
        <v>51</v>
      </c>
      <c r="N147" s="2" t="s">
        <v>36</v>
      </c>
      <c r="O147" s="2"/>
      <c r="P147" s="2">
        <v>57.8</v>
      </c>
      <c r="Q147" s="2">
        <v>55150.65</v>
      </c>
      <c r="R147" s="2" t="s">
        <v>37</v>
      </c>
      <c r="S147" s="2">
        <v>872</v>
      </c>
      <c r="T147" s="2">
        <v>89</v>
      </c>
      <c r="U147" s="2" t="s">
        <v>38</v>
      </c>
      <c r="V147" s="2" t="s">
        <v>83</v>
      </c>
      <c r="W147" s="2">
        <v>4</v>
      </c>
      <c r="X147" s="2">
        <v>8.4</v>
      </c>
    </row>
    <row r="148" spans="1:24" ht="15" customHeight="1">
      <c r="A148" s="2" t="s">
        <v>635</v>
      </c>
      <c r="B148" s="2" t="s">
        <v>636</v>
      </c>
      <c r="C148" s="2">
        <v>32</v>
      </c>
      <c r="D148" s="2" t="s">
        <v>55</v>
      </c>
      <c r="E148" s="2" t="s">
        <v>637</v>
      </c>
      <c r="F148" s="2" t="s">
        <v>77</v>
      </c>
      <c r="G148" s="2" t="s">
        <v>96</v>
      </c>
      <c r="H148" s="2" t="s">
        <v>65</v>
      </c>
      <c r="I148" s="2" t="s">
        <v>638</v>
      </c>
      <c r="J148" s="2" t="s">
        <v>48</v>
      </c>
      <c r="K148" s="2" t="s">
        <v>67</v>
      </c>
      <c r="L148" s="2" t="s">
        <v>68</v>
      </c>
      <c r="M148" s="2" t="s">
        <v>51</v>
      </c>
      <c r="N148" s="2" t="s">
        <v>70</v>
      </c>
      <c r="O148" s="2">
        <v>116645.24</v>
      </c>
      <c r="P148" s="2">
        <v>77.099999999999994</v>
      </c>
      <c r="Q148" s="2">
        <v>27530.91</v>
      </c>
      <c r="R148" s="2" t="s">
        <v>129</v>
      </c>
      <c r="S148" s="2">
        <v>328</v>
      </c>
      <c r="T148" s="2">
        <v>66</v>
      </c>
      <c r="U148" s="2" t="s">
        <v>98</v>
      </c>
      <c r="V148" s="2" t="s">
        <v>83</v>
      </c>
      <c r="W148" s="2">
        <v>3</v>
      </c>
      <c r="X148" s="2">
        <v>4</v>
      </c>
    </row>
    <row r="149" spans="1:24" ht="15" customHeight="1">
      <c r="A149" s="2" t="s">
        <v>639</v>
      </c>
      <c r="B149" s="2" t="s">
        <v>640</v>
      </c>
      <c r="C149" s="2">
        <v>22</v>
      </c>
      <c r="D149" s="2" t="s">
        <v>86</v>
      </c>
      <c r="E149" s="2" t="s">
        <v>627</v>
      </c>
      <c r="F149" s="2" t="s">
        <v>88</v>
      </c>
      <c r="G149" s="2" t="s">
        <v>31</v>
      </c>
      <c r="H149" s="2" t="s">
        <v>46</v>
      </c>
      <c r="I149" s="2" t="s">
        <v>641</v>
      </c>
      <c r="J149" s="2" t="s">
        <v>34</v>
      </c>
      <c r="K149" s="2" t="s">
        <v>67</v>
      </c>
      <c r="L149" s="2" t="s">
        <v>68</v>
      </c>
      <c r="M149" s="2" t="s">
        <v>51</v>
      </c>
      <c r="N149" s="2" t="s">
        <v>36</v>
      </c>
      <c r="O149" s="2">
        <v>104050.56</v>
      </c>
      <c r="P149" s="2">
        <v>42.4</v>
      </c>
      <c r="Q149" s="2">
        <v>11979.99</v>
      </c>
      <c r="R149" s="2" t="s">
        <v>148</v>
      </c>
      <c r="S149" s="2">
        <v>571</v>
      </c>
      <c r="T149" s="2">
        <v>51</v>
      </c>
      <c r="U149" s="2" t="s">
        <v>122</v>
      </c>
      <c r="V149" s="2" t="s">
        <v>108</v>
      </c>
      <c r="W149" s="2">
        <v>1</v>
      </c>
      <c r="X149" s="2">
        <v>8.3000000000000007</v>
      </c>
    </row>
    <row r="150" spans="1:24" ht="15" customHeight="1">
      <c r="A150" s="2" t="s">
        <v>642</v>
      </c>
      <c r="B150" s="2" t="s">
        <v>643</v>
      </c>
      <c r="C150" s="2">
        <v>45</v>
      </c>
      <c r="D150" s="2" t="s">
        <v>55</v>
      </c>
      <c r="E150" s="2" t="s">
        <v>644</v>
      </c>
      <c r="F150" s="2" t="s">
        <v>103</v>
      </c>
      <c r="G150" s="2" t="s">
        <v>96</v>
      </c>
      <c r="H150" s="2" t="s">
        <v>32</v>
      </c>
      <c r="I150" s="2" t="s">
        <v>645</v>
      </c>
      <c r="J150" s="2" t="s">
        <v>113</v>
      </c>
      <c r="K150" s="2" t="s">
        <v>67</v>
      </c>
      <c r="L150" s="2" t="s">
        <v>68</v>
      </c>
      <c r="M150" s="2" t="s">
        <v>35</v>
      </c>
      <c r="N150" s="2" t="s">
        <v>36</v>
      </c>
      <c r="O150" s="2">
        <v>45638.66</v>
      </c>
      <c r="P150" s="2">
        <v>48.2</v>
      </c>
      <c r="Q150" s="2">
        <v>3248.89</v>
      </c>
      <c r="R150" s="2" t="s">
        <v>158</v>
      </c>
      <c r="S150" s="2">
        <v>853</v>
      </c>
      <c r="T150" s="2">
        <v>88</v>
      </c>
      <c r="U150" s="2" t="s">
        <v>39</v>
      </c>
      <c r="V150" s="2" t="s">
        <v>72</v>
      </c>
      <c r="W150" s="2">
        <v>5</v>
      </c>
      <c r="X150" s="2">
        <v>4.4000000000000004</v>
      </c>
    </row>
    <row r="151" spans="1:24" ht="15" customHeight="1">
      <c r="A151" s="2" t="s">
        <v>646</v>
      </c>
      <c r="B151" s="2" t="s">
        <v>647</v>
      </c>
      <c r="C151" s="2"/>
      <c r="D151" s="2" t="s">
        <v>118</v>
      </c>
      <c r="E151" s="2" t="s">
        <v>156</v>
      </c>
      <c r="F151" s="2" t="s">
        <v>88</v>
      </c>
      <c r="G151" s="2" t="s">
        <v>96</v>
      </c>
      <c r="H151" s="2" t="s">
        <v>32</v>
      </c>
      <c r="I151" s="2" t="s">
        <v>648</v>
      </c>
      <c r="J151" s="2" t="s">
        <v>34</v>
      </c>
      <c r="K151" s="2"/>
      <c r="L151" s="2"/>
      <c r="M151" s="2" t="s">
        <v>35</v>
      </c>
      <c r="N151" s="2" t="s">
        <v>70</v>
      </c>
      <c r="O151" s="2">
        <v>58059</v>
      </c>
      <c r="P151" s="2">
        <v>20.8</v>
      </c>
      <c r="Q151" s="2">
        <v>42042.76</v>
      </c>
      <c r="R151" s="2" t="s">
        <v>158</v>
      </c>
      <c r="S151" s="2">
        <v>710</v>
      </c>
      <c r="T151" s="2">
        <v>46</v>
      </c>
      <c r="U151" s="2" t="s">
        <v>83</v>
      </c>
      <c r="V151" s="2" t="s">
        <v>122</v>
      </c>
      <c r="W151" s="2">
        <v>2</v>
      </c>
      <c r="X151" s="2">
        <v>5.2</v>
      </c>
    </row>
    <row r="152" spans="1:24" ht="15" customHeight="1">
      <c r="A152" s="2" t="s">
        <v>649</v>
      </c>
      <c r="B152" s="2" t="s">
        <v>650</v>
      </c>
      <c r="C152" s="2">
        <v>15</v>
      </c>
      <c r="D152" s="2" t="s">
        <v>188</v>
      </c>
      <c r="E152" s="2" t="s">
        <v>651</v>
      </c>
      <c r="F152" s="2" t="s">
        <v>103</v>
      </c>
      <c r="G152" s="2" t="s">
        <v>217</v>
      </c>
      <c r="H152" s="2" t="s">
        <v>46</v>
      </c>
      <c r="I152" s="2" t="s">
        <v>652</v>
      </c>
      <c r="J152" s="2" t="s">
        <v>128</v>
      </c>
      <c r="K152" s="2" t="s">
        <v>114</v>
      </c>
      <c r="L152" s="2" t="s">
        <v>115</v>
      </c>
      <c r="M152" s="2" t="s">
        <v>35</v>
      </c>
      <c r="N152" s="2" t="s">
        <v>60</v>
      </c>
      <c r="O152" s="2">
        <v>62768.28</v>
      </c>
      <c r="P152" s="2">
        <v>9.5</v>
      </c>
      <c r="Q152" s="2">
        <v>48829.08</v>
      </c>
      <c r="R152" s="2" t="s">
        <v>129</v>
      </c>
      <c r="S152" s="2">
        <v>398</v>
      </c>
      <c r="T152" s="2">
        <v>85</v>
      </c>
      <c r="U152" s="2" t="s">
        <v>38</v>
      </c>
      <c r="V152" s="2" t="s">
        <v>38</v>
      </c>
      <c r="W152" s="2">
        <v>3</v>
      </c>
      <c r="X152" s="2">
        <v>0.7</v>
      </c>
    </row>
    <row r="153" spans="1:24" ht="15" customHeight="1">
      <c r="A153" s="2" t="s">
        <v>653</v>
      </c>
      <c r="B153" s="2" t="s">
        <v>654</v>
      </c>
      <c r="C153" s="2">
        <v>44</v>
      </c>
      <c r="D153" s="2" t="s">
        <v>55</v>
      </c>
      <c r="E153" s="2" t="s">
        <v>655</v>
      </c>
      <c r="F153" s="2" t="s">
        <v>184</v>
      </c>
      <c r="G153" s="2" t="s">
        <v>217</v>
      </c>
      <c r="H153" s="2" t="s">
        <v>126</v>
      </c>
      <c r="I153" s="2" t="s">
        <v>656</v>
      </c>
      <c r="J153" s="2" t="s">
        <v>48</v>
      </c>
      <c r="K153" s="2" t="s">
        <v>67</v>
      </c>
      <c r="L153" s="2" t="s">
        <v>68</v>
      </c>
      <c r="M153" s="2" t="s">
        <v>69</v>
      </c>
      <c r="N153" s="2" t="s">
        <v>36</v>
      </c>
      <c r="O153" s="2">
        <v>46545.919999999998</v>
      </c>
      <c r="P153" s="2">
        <v>15.9</v>
      </c>
      <c r="Q153" s="2">
        <v>10054.530000000001</v>
      </c>
      <c r="R153" s="2" t="s">
        <v>158</v>
      </c>
      <c r="S153" s="2">
        <v>885</v>
      </c>
      <c r="T153" s="2">
        <v>18</v>
      </c>
      <c r="U153" s="2" t="s">
        <v>83</v>
      </c>
      <c r="V153" s="2" t="s">
        <v>39</v>
      </c>
      <c r="W153" s="2">
        <v>3</v>
      </c>
      <c r="X153" s="2">
        <v>3.2</v>
      </c>
    </row>
    <row r="154" spans="1:24" ht="15" customHeight="1">
      <c r="A154" s="2" t="s">
        <v>657</v>
      </c>
      <c r="B154" s="2" t="s">
        <v>658</v>
      </c>
      <c r="C154" s="2">
        <v>31</v>
      </c>
      <c r="D154" s="2" t="s">
        <v>177</v>
      </c>
      <c r="E154" s="2" t="s">
        <v>659</v>
      </c>
      <c r="F154" s="2" t="s">
        <v>88</v>
      </c>
      <c r="G154" s="2" t="s">
        <v>45</v>
      </c>
      <c r="H154" s="2" t="s">
        <v>58</v>
      </c>
      <c r="I154" s="2" t="s">
        <v>271</v>
      </c>
      <c r="J154" s="2" t="s">
        <v>34</v>
      </c>
      <c r="K154" s="2" t="s">
        <v>67</v>
      </c>
      <c r="L154" s="2" t="s">
        <v>68</v>
      </c>
      <c r="M154" s="2" t="s">
        <v>51</v>
      </c>
      <c r="N154" s="2" t="s">
        <v>36</v>
      </c>
      <c r="O154" s="2">
        <v>106601.05</v>
      </c>
      <c r="P154" s="2">
        <v>17.5</v>
      </c>
      <c r="Q154" s="2">
        <v>6180.56</v>
      </c>
      <c r="R154" s="2" t="s">
        <v>97</v>
      </c>
      <c r="S154" s="2">
        <v>861</v>
      </c>
      <c r="T154" s="2">
        <v>197</v>
      </c>
      <c r="U154" s="2" t="s">
        <v>72</v>
      </c>
      <c r="V154" s="2" t="s">
        <v>122</v>
      </c>
      <c r="W154" s="2">
        <v>5</v>
      </c>
      <c r="X154" s="2">
        <v>1.8</v>
      </c>
    </row>
    <row r="155" spans="1:24" ht="15" customHeight="1">
      <c r="A155" s="2" t="s">
        <v>660</v>
      </c>
      <c r="B155" s="2" t="s">
        <v>661</v>
      </c>
      <c r="C155" s="2">
        <v>25</v>
      </c>
      <c r="D155" s="2" t="s">
        <v>101</v>
      </c>
      <c r="E155" s="2" t="s">
        <v>662</v>
      </c>
      <c r="F155" s="2" t="s">
        <v>103</v>
      </c>
      <c r="G155" s="2" t="s">
        <v>217</v>
      </c>
      <c r="H155" s="2" t="s">
        <v>79</v>
      </c>
      <c r="I155" s="2" t="s">
        <v>404</v>
      </c>
      <c r="J155" s="2" t="s">
        <v>48</v>
      </c>
      <c r="K155" s="2" t="s">
        <v>67</v>
      </c>
      <c r="L155" s="2" t="s">
        <v>68</v>
      </c>
      <c r="M155" s="2" t="s">
        <v>51</v>
      </c>
      <c r="N155" s="2" t="s">
        <v>70</v>
      </c>
      <c r="O155" s="2">
        <v>72743.05</v>
      </c>
      <c r="P155" s="2">
        <v>75.099999999999994</v>
      </c>
      <c r="Q155" s="2">
        <v>32912.720000000001</v>
      </c>
      <c r="R155" s="2" t="s">
        <v>52</v>
      </c>
      <c r="S155" s="2">
        <v>767</v>
      </c>
      <c r="T155" s="2">
        <v>162</v>
      </c>
      <c r="U155" s="2" t="s">
        <v>38</v>
      </c>
      <c r="V155" s="2" t="s">
        <v>73</v>
      </c>
      <c r="W155" s="2">
        <v>5</v>
      </c>
      <c r="X155" s="2">
        <v>2.4</v>
      </c>
    </row>
    <row r="156" spans="1:24" ht="15" customHeight="1">
      <c r="A156" s="2" t="s">
        <v>663</v>
      </c>
      <c r="B156" s="2" t="s">
        <v>664</v>
      </c>
      <c r="C156" s="2">
        <v>32</v>
      </c>
      <c r="D156" s="2" t="s">
        <v>28</v>
      </c>
      <c r="E156" s="2" t="s">
        <v>334</v>
      </c>
      <c r="F156" s="2" t="s">
        <v>44</v>
      </c>
      <c r="G156" s="2" t="s">
        <v>217</v>
      </c>
      <c r="H156" s="2" t="s">
        <v>173</v>
      </c>
      <c r="I156" s="2" t="s">
        <v>380</v>
      </c>
      <c r="J156" s="2" t="s">
        <v>48</v>
      </c>
      <c r="K156" s="2" t="s">
        <v>67</v>
      </c>
      <c r="L156" s="2" t="s">
        <v>68</v>
      </c>
      <c r="M156" s="2" t="s">
        <v>51</v>
      </c>
      <c r="N156" s="2" t="s">
        <v>70</v>
      </c>
      <c r="O156" s="2">
        <v>48443.53</v>
      </c>
      <c r="P156" s="2">
        <v>64.8</v>
      </c>
      <c r="Q156" s="2">
        <v>35820.230000000003</v>
      </c>
      <c r="R156" s="2" t="s">
        <v>61</v>
      </c>
      <c r="S156" s="2">
        <v>493</v>
      </c>
      <c r="T156" s="2">
        <v>143</v>
      </c>
      <c r="U156" s="2" t="s">
        <v>73</v>
      </c>
      <c r="V156" s="2" t="s">
        <v>83</v>
      </c>
      <c r="W156" s="2">
        <v>4</v>
      </c>
      <c r="X156" s="2">
        <v>7.5</v>
      </c>
    </row>
    <row r="157" spans="1:24" ht="15" customHeight="1">
      <c r="A157" s="2" t="s">
        <v>665</v>
      </c>
      <c r="B157" s="2" t="s">
        <v>666</v>
      </c>
      <c r="C157" s="2">
        <v>21</v>
      </c>
      <c r="D157" s="2" t="s">
        <v>42</v>
      </c>
      <c r="E157" s="2" t="s">
        <v>441</v>
      </c>
      <c r="F157" s="2" t="s">
        <v>184</v>
      </c>
      <c r="G157" s="2" t="s">
        <v>190</v>
      </c>
      <c r="H157" s="2" t="s">
        <v>58</v>
      </c>
      <c r="I157" s="2" t="s">
        <v>667</v>
      </c>
      <c r="J157" s="2" t="s">
        <v>128</v>
      </c>
      <c r="K157" s="2" t="s">
        <v>67</v>
      </c>
      <c r="L157" s="2" t="s">
        <v>68</v>
      </c>
      <c r="M157" s="2" t="s">
        <v>35</v>
      </c>
      <c r="N157" s="2" t="s">
        <v>70</v>
      </c>
      <c r="O157" s="2">
        <v>44459.45</v>
      </c>
      <c r="P157" s="2">
        <v>19.100000000000001</v>
      </c>
      <c r="Q157" s="2">
        <v>1163.72</v>
      </c>
      <c r="R157" s="2" t="s">
        <v>71</v>
      </c>
      <c r="S157" s="2">
        <v>490</v>
      </c>
      <c r="T157" s="2">
        <v>72</v>
      </c>
      <c r="U157" s="2" t="s">
        <v>39</v>
      </c>
      <c r="V157" s="2" t="s">
        <v>72</v>
      </c>
      <c r="W157" s="2">
        <v>2</v>
      </c>
      <c r="X157" s="2">
        <v>1.3</v>
      </c>
    </row>
    <row r="158" spans="1:24" ht="15" customHeight="1">
      <c r="A158" s="2" t="s">
        <v>668</v>
      </c>
      <c r="B158" s="2" t="s">
        <v>669</v>
      </c>
      <c r="C158" s="2">
        <v>32</v>
      </c>
      <c r="D158" s="2" t="s">
        <v>177</v>
      </c>
      <c r="E158" s="2" t="s">
        <v>517</v>
      </c>
      <c r="F158" s="2" t="s">
        <v>103</v>
      </c>
      <c r="G158" s="2" t="s">
        <v>162</v>
      </c>
      <c r="H158" s="2" t="s">
        <v>173</v>
      </c>
      <c r="I158" s="2" t="s">
        <v>670</v>
      </c>
      <c r="J158" s="2" t="s">
        <v>113</v>
      </c>
      <c r="K158" s="2" t="s">
        <v>67</v>
      </c>
      <c r="L158" s="2" t="s">
        <v>68</v>
      </c>
      <c r="M158" s="2" t="s">
        <v>35</v>
      </c>
      <c r="N158" s="2" t="s">
        <v>60</v>
      </c>
      <c r="O158" s="2">
        <v>134876.35</v>
      </c>
      <c r="P158" s="2">
        <v>33.6</v>
      </c>
      <c r="Q158" s="2">
        <v>756.93</v>
      </c>
      <c r="R158" s="2" t="s">
        <v>148</v>
      </c>
      <c r="S158" s="2">
        <v>694</v>
      </c>
      <c r="T158" s="2">
        <v>113</v>
      </c>
      <c r="U158" s="2" t="s">
        <v>108</v>
      </c>
      <c r="V158" s="2" t="s">
        <v>98</v>
      </c>
      <c r="W158" s="2">
        <v>1</v>
      </c>
      <c r="X158" s="2">
        <v>4.9000000000000004</v>
      </c>
    </row>
    <row r="159" spans="1:24" ht="15" customHeight="1">
      <c r="A159" s="2" t="s">
        <v>671</v>
      </c>
      <c r="B159" s="2" t="s">
        <v>672</v>
      </c>
      <c r="C159" s="2">
        <v>25</v>
      </c>
      <c r="D159" s="2" t="s">
        <v>28</v>
      </c>
      <c r="E159" s="2" t="s">
        <v>577</v>
      </c>
      <c r="F159" s="2" t="s">
        <v>44</v>
      </c>
      <c r="G159" s="2" t="s">
        <v>31</v>
      </c>
      <c r="H159" s="2" t="s">
        <v>126</v>
      </c>
      <c r="I159" s="2" t="s">
        <v>673</v>
      </c>
      <c r="J159" s="2" t="s">
        <v>128</v>
      </c>
      <c r="K159" s="2" t="s">
        <v>67</v>
      </c>
      <c r="L159" s="2" t="s">
        <v>68</v>
      </c>
      <c r="M159" s="2" t="s">
        <v>51</v>
      </c>
      <c r="N159" s="2" t="s">
        <v>60</v>
      </c>
      <c r="O159" s="2">
        <v>146124.74</v>
      </c>
      <c r="P159" s="2">
        <v>37.6</v>
      </c>
      <c r="Q159" s="2">
        <v>904.06</v>
      </c>
      <c r="R159" s="2" t="s">
        <v>129</v>
      </c>
      <c r="S159" s="2">
        <v>422</v>
      </c>
      <c r="T159" s="2">
        <v>62</v>
      </c>
      <c r="U159" s="2" t="s">
        <v>108</v>
      </c>
      <c r="V159" s="2" t="s">
        <v>39</v>
      </c>
      <c r="W159" s="2">
        <v>3</v>
      </c>
      <c r="X159" s="2">
        <v>7.1</v>
      </c>
    </row>
    <row r="160" spans="1:24" ht="15" customHeight="1">
      <c r="A160" s="2" t="s">
        <v>674</v>
      </c>
      <c r="B160" s="2" t="s">
        <v>675</v>
      </c>
      <c r="C160" s="2">
        <v>45</v>
      </c>
      <c r="D160" s="2" t="s">
        <v>188</v>
      </c>
      <c r="E160" s="2" t="s">
        <v>676</v>
      </c>
      <c r="F160" s="2" t="s">
        <v>57</v>
      </c>
      <c r="G160" s="2" t="s">
        <v>31</v>
      </c>
      <c r="H160" s="2" t="s">
        <v>79</v>
      </c>
      <c r="I160" s="2" t="s">
        <v>677</v>
      </c>
      <c r="J160" s="2" t="s">
        <v>113</v>
      </c>
      <c r="K160" s="2" t="s">
        <v>67</v>
      </c>
      <c r="L160" s="2" t="s">
        <v>68</v>
      </c>
      <c r="M160" s="2" t="s">
        <v>69</v>
      </c>
      <c r="N160" s="2" t="s">
        <v>70</v>
      </c>
      <c r="O160" s="2">
        <v>56934.29</v>
      </c>
      <c r="P160" s="2">
        <v>72.400000000000006</v>
      </c>
      <c r="Q160" s="2">
        <v>29118.13</v>
      </c>
      <c r="R160" s="2" t="s">
        <v>129</v>
      </c>
      <c r="S160" s="2">
        <v>601</v>
      </c>
      <c r="T160" s="2">
        <v>125</v>
      </c>
      <c r="U160" s="2" t="s">
        <v>83</v>
      </c>
      <c r="V160" s="2" t="s">
        <v>38</v>
      </c>
      <c r="W160" s="2">
        <v>4</v>
      </c>
      <c r="X160" s="2">
        <v>2.8</v>
      </c>
    </row>
    <row r="161" spans="1:24" ht="15" customHeight="1">
      <c r="A161" s="2" t="s">
        <v>678</v>
      </c>
      <c r="B161" s="2" t="s">
        <v>679</v>
      </c>
      <c r="C161" s="2">
        <v>41</v>
      </c>
      <c r="D161" s="2" t="s">
        <v>93</v>
      </c>
      <c r="E161" s="2" t="s">
        <v>372</v>
      </c>
      <c r="F161" s="2" t="s">
        <v>103</v>
      </c>
      <c r="G161" s="2" t="s">
        <v>190</v>
      </c>
      <c r="H161" s="2" t="s">
        <v>126</v>
      </c>
      <c r="I161" s="2" t="s">
        <v>404</v>
      </c>
      <c r="J161" s="2" t="s">
        <v>48</v>
      </c>
      <c r="K161" s="2" t="s">
        <v>67</v>
      </c>
      <c r="L161" s="2" t="s">
        <v>68</v>
      </c>
      <c r="M161" s="2" t="s">
        <v>51</v>
      </c>
      <c r="N161" s="2" t="s">
        <v>60</v>
      </c>
      <c r="O161" s="2">
        <v>94861.52</v>
      </c>
      <c r="P161" s="2">
        <v>51.5</v>
      </c>
      <c r="Q161" s="2">
        <v>19241.650000000001</v>
      </c>
      <c r="R161" s="2" t="s">
        <v>97</v>
      </c>
      <c r="S161" s="2">
        <v>494</v>
      </c>
      <c r="T161" s="2">
        <v>127</v>
      </c>
      <c r="U161" s="2" t="s">
        <v>122</v>
      </c>
      <c r="V161" s="2" t="s">
        <v>73</v>
      </c>
      <c r="W161" s="2">
        <v>3</v>
      </c>
      <c r="X161" s="2">
        <v>1.4</v>
      </c>
    </row>
    <row r="162" spans="1:24" ht="15" customHeight="1">
      <c r="A162" s="2" t="s">
        <v>680</v>
      </c>
      <c r="B162" s="2" t="s">
        <v>681</v>
      </c>
      <c r="C162" s="2">
        <v>14</v>
      </c>
      <c r="D162" s="2" t="s">
        <v>93</v>
      </c>
      <c r="E162" s="2" t="s">
        <v>589</v>
      </c>
      <c r="F162" s="2" t="s">
        <v>103</v>
      </c>
      <c r="G162" s="2" t="s">
        <v>78</v>
      </c>
      <c r="H162" s="2" t="s">
        <v>65</v>
      </c>
      <c r="I162" s="2" t="s">
        <v>682</v>
      </c>
      <c r="J162" s="2" t="s">
        <v>48</v>
      </c>
      <c r="K162" s="2" t="s">
        <v>114</v>
      </c>
      <c r="L162" s="2" t="s">
        <v>115</v>
      </c>
      <c r="M162" s="2" t="s">
        <v>51</v>
      </c>
      <c r="N162" s="2" t="s">
        <v>36</v>
      </c>
      <c r="O162" s="2">
        <v>42111.09</v>
      </c>
      <c r="P162" s="2">
        <v>50.4</v>
      </c>
      <c r="Q162" s="2">
        <v>4252.4399999999996</v>
      </c>
      <c r="R162" s="2" t="s">
        <v>97</v>
      </c>
      <c r="S162" s="2">
        <v>381</v>
      </c>
      <c r="T162" s="2">
        <v>163</v>
      </c>
      <c r="U162" s="2" t="s">
        <v>122</v>
      </c>
      <c r="V162" s="2" t="s">
        <v>38</v>
      </c>
      <c r="W162" s="2">
        <v>1</v>
      </c>
      <c r="X162" s="2">
        <v>7.5</v>
      </c>
    </row>
    <row r="163" spans="1:24" ht="15" customHeight="1">
      <c r="A163" s="2" t="s">
        <v>683</v>
      </c>
      <c r="B163" s="2" t="s">
        <v>684</v>
      </c>
      <c r="C163" s="2">
        <v>-5</v>
      </c>
      <c r="D163" s="2" t="s">
        <v>188</v>
      </c>
      <c r="E163" s="2" t="s">
        <v>330</v>
      </c>
      <c r="F163" s="2" t="s">
        <v>184</v>
      </c>
      <c r="G163" s="2" t="s">
        <v>31</v>
      </c>
      <c r="H163" s="2" t="s">
        <v>65</v>
      </c>
      <c r="I163" s="2" t="s">
        <v>685</v>
      </c>
      <c r="J163" s="2" t="s">
        <v>34</v>
      </c>
      <c r="K163" s="2" t="s">
        <v>106</v>
      </c>
      <c r="L163" s="2" t="s">
        <v>50</v>
      </c>
      <c r="M163" s="2" t="s">
        <v>51</v>
      </c>
      <c r="N163" s="2" t="s">
        <v>36</v>
      </c>
      <c r="O163" s="2">
        <v>142387.98000000001</v>
      </c>
      <c r="P163" s="2">
        <v>46.9</v>
      </c>
      <c r="Q163" s="2">
        <v>44766.5</v>
      </c>
      <c r="R163" s="2"/>
      <c r="S163" s="2">
        <v>666</v>
      </c>
      <c r="T163" s="2">
        <v>179</v>
      </c>
      <c r="U163" s="2" t="s">
        <v>72</v>
      </c>
      <c r="V163" s="2" t="s">
        <v>83</v>
      </c>
      <c r="W163" s="2">
        <v>5</v>
      </c>
      <c r="X163" s="2">
        <v>3.9</v>
      </c>
    </row>
    <row r="164" spans="1:24" ht="15" customHeight="1">
      <c r="A164" s="2" t="s">
        <v>686</v>
      </c>
      <c r="B164" s="2" t="s">
        <v>687</v>
      </c>
      <c r="C164" s="2">
        <v>44</v>
      </c>
      <c r="D164" s="2" t="s">
        <v>42</v>
      </c>
      <c r="E164" s="2" t="s">
        <v>688</v>
      </c>
      <c r="F164" s="2" t="s">
        <v>184</v>
      </c>
      <c r="G164" s="2" t="s">
        <v>96</v>
      </c>
      <c r="H164" s="2" t="s">
        <v>173</v>
      </c>
      <c r="I164" s="2" t="s">
        <v>689</v>
      </c>
      <c r="J164" s="2" t="s">
        <v>81</v>
      </c>
      <c r="K164" s="2" t="s">
        <v>67</v>
      </c>
      <c r="L164" s="2" t="s">
        <v>68</v>
      </c>
      <c r="M164" s="2" t="s">
        <v>35</v>
      </c>
      <c r="N164" s="2" t="s">
        <v>70</v>
      </c>
      <c r="O164" s="2">
        <v>116027.69</v>
      </c>
      <c r="P164" s="2">
        <v>24.1</v>
      </c>
      <c r="Q164" s="2">
        <v>57699.11</v>
      </c>
      <c r="R164" s="2" t="s">
        <v>158</v>
      </c>
      <c r="S164" s="2">
        <v>300</v>
      </c>
      <c r="T164" s="2">
        <v>72</v>
      </c>
      <c r="U164" s="2" t="s">
        <v>83</v>
      </c>
      <c r="V164" s="2" t="s">
        <v>72</v>
      </c>
      <c r="W164" s="2">
        <v>3</v>
      </c>
      <c r="X164" s="2">
        <v>8.9</v>
      </c>
    </row>
    <row r="165" spans="1:24" ht="15" customHeight="1">
      <c r="A165" s="2" t="s">
        <v>690</v>
      </c>
      <c r="B165" s="2" t="s">
        <v>691</v>
      </c>
      <c r="C165" s="2">
        <v>23</v>
      </c>
      <c r="D165" s="2" t="s">
        <v>93</v>
      </c>
      <c r="E165" s="2" t="s">
        <v>692</v>
      </c>
      <c r="F165" s="2" t="s">
        <v>88</v>
      </c>
      <c r="G165" s="2" t="s">
        <v>217</v>
      </c>
      <c r="H165" s="2" t="s">
        <v>79</v>
      </c>
      <c r="I165" s="2" t="s">
        <v>693</v>
      </c>
      <c r="J165" s="2" t="s">
        <v>34</v>
      </c>
      <c r="K165" s="2" t="s">
        <v>67</v>
      </c>
      <c r="L165" s="2" t="s">
        <v>68</v>
      </c>
      <c r="M165" s="2" t="s">
        <v>35</v>
      </c>
      <c r="N165" s="2" t="s">
        <v>36</v>
      </c>
      <c r="O165" s="2">
        <v>62970.75</v>
      </c>
      <c r="P165" s="2">
        <v>60.1</v>
      </c>
      <c r="Q165" s="2">
        <v>43414.83</v>
      </c>
      <c r="R165" s="2" t="s">
        <v>138</v>
      </c>
      <c r="S165" s="2">
        <v>799</v>
      </c>
      <c r="T165" s="2">
        <v>176</v>
      </c>
      <c r="U165" s="2" t="s">
        <v>122</v>
      </c>
      <c r="V165" s="2" t="s">
        <v>98</v>
      </c>
      <c r="W165" s="2">
        <v>1</v>
      </c>
      <c r="X165" s="2">
        <v>7.1</v>
      </c>
    </row>
    <row r="166" spans="1:24" ht="15" customHeight="1">
      <c r="A166" s="2" t="s">
        <v>694</v>
      </c>
      <c r="B166" s="2" t="s">
        <v>695</v>
      </c>
      <c r="C166" s="2">
        <v>33</v>
      </c>
      <c r="D166" s="2" t="s">
        <v>188</v>
      </c>
      <c r="E166" s="2" t="s">
        <v>696</v>
      </c>
      <c r="F166" s="2" t="s">
        <v>167</v>
      </c>
      <c r="G166" s="2" t="s">
        <v>162</v>
      </c>
      <c r="H166" s="2" t="s">
        <v>58</v>
      </c>
      <c r="I166" s="2" t="s">
        <v>415</v>
      </c>
      <c r="J166" s="2" t="s">
        <v>128</v>
      </c>
      <c r="K166" s="2" t="s">
        <v>67</v>
      </c>
      <c r="L166" s="2" t="s">
        <v>68</v>
      </c>
      <c r="M166" s="2" t="s">
        <v>51</v>
      </c>
      <c r="N166" s="2" t="s">
        <v>36</v>
      </c>
      <c r="O166" s="2">
        <v>106176.45</v>
      </c>
      <c r="P166" s="2">
        <v>55.5</v>
      </c>
      <c r="Q166" s="2">
        <v>59842.04</v>
      </c>
      <c r="R166" s="2" t="s">
        <v>129</v>
      </c>
      <c r="S166" s="2">
        <v>889</v>
      </c>
      <c r="T166" s="2">
        <v>56</v>
      </c>
      <c r="U166" s="2" t="s">
        <v>38</v>
      </c>
      <c r="V166" s="2" t="s">
        <v>39</v>
      </c>
      <c r="W166" s="2">
        <v>2</v>
      </c>
      <c r="X166" s="2">
        <v>3.4</v>
      </c>
    </row>
    <row r="167" spans="1:24" ht="15" customHeight="1">
      <c r="A167" s="2" t="s">
        <v>697</v>
      </c>
      <c r="B167" s="2" t="s">
        <v>698</v>
      </c>
      <c r="C167" s="2">
        <v>41</v>
      </c>
      <c r="D167" s="2" t="s">
        <v>42</v>
      </c>
      <c r="E167" s="2" t="s">
        <v>699</v>
      </c>
      <c r="F167" s="2" t="s">
        <v>184</v>
      </c>
      <c r="G167" s="2" t="s">
        <v>179</v>
      </c>
      <c r="H167" s="2" t="s">
        <v>79</v>
      </c>
      <c r="I167" s="2" t="s">
        <v>700</v>
      </c>
      <c r="J167" s="2" t="s">
        <v>113</v>
      </c>
      <c r="K167" s="2" t="s">
        <v>67</v>
      </c>
      <c r="L167" s="2" t="s">
        <v>68</v>
      </c>
      <c r="M167" s="2" t="s">
        <v>51</v>
      </c>
      <c r="N167" s="2" t="s">
        <v>36</v>
      </c>
      <c r="O167" s="2">
        <v>94319.54</v>
      </c>
      <c r="P167" s="2">
        <v>23.5</v>
      </c>
      <c r="Q167" s="2">
        <v>4298.6400000000003</v>
      </c>
      <c r="R167" s="2" t="s">
        <v>158</v>
      </c>
      <c r="S167" s="2">
        <v>889</v>
      </c>
      <c r="T167" s="2">
        <v>171</v>
      </c>
      <c r="U167" s="2" t="s">
        <v>73</v>
      </c>
      <c r="V167" s="2" t="s">
        <v>38</v>
      </c>
      <c r="W167" s="2">
        <v>2</v>
      </c>
      <c r="X167" s="2">
        <v>3.2</v>
      </c>
    </row>
    <row r="168" spans="1:24" ht="15" customHeight="1">
      <c r="A168" s="2" t="s">
        <v>701</v>
      </c>
      <c r="B168" s="2" t="s">
        <v>702</v>
      </c>
      <c r="C168" s="2"/>
      <c r="D168" s="2" t="s">
        <v>28</v>
      </c>
      <c r="E168" s="2" t="s">
        <v>637</v>
      </c>
      <c r="F168" s="2" t="s">
        <v>120</v>
      </c>
      <c r="G168" s="2" t="s">
        <v>45</v>
      </c>
      <c r="H168" s="2" t="s">
        <v>32</v>
      </c>
      <c r="I168" s="2" t="s">
        <v>703</v>
      </c>
      <c r="J168" s="2" t="s">
        <v>34</v>
      </c>
      <c r="K168" s="2"/>
      <c r="L168" s="2"/>
      <c r="M168" s="2" t="s">
        <v>51</v>
      </c>
      <c r="N168" s="2" t="s">
        <v>36</v>
      </c>
      <c r="O168" s="2">
        <v>128650.8</v>
      </c>
      <c r="P168" s="2">
        <v>9.1</v>
      </c>
      <c r="Q168" s="2">
        <v>56936.45</v>
      </c>
      <c r="R168" s="2" t="s">
        <v>61</v>
      </c>
      <c r="S168" s="2">
        <v>314</v>
      </c>
      <c r="T168" s="2">
        <v>28</v>
      </c>
      <c r="U168" s="2" t="s">
        <v>73</v>
      </c>
      <c r="V168" s="2" t="s">
        <v>72</v>
      </c>
      <c r="W168" s="2">
        <v>3</v>
      </c>
      <c r="X168" s="2">
        <v>2.2999999999999998</v>
      </c>
    </row>
    <row r="169" spans="1:24" ht="15" customHeight="1">
      <c r="A169" s="2" t="s">
        <v>704</v>
      </c>
      <c r="B169" s="2" t="s">
        <v>705</v>
      </c>
      <c r="C169" s="2">
        <v>39</v>
      </c>
      <c r="D169" s="2" t="s">
        <v>171</v>
      </c>
      <c r="E169" s="2" t="s">
        <v>526</v>
      </c>
      <c r="F169" s="2" t="s">
        <v>57</v>
      </c>
      <c r="G169" s="2" t="s">
        <v>162</v>
      </c>
      <c r="H169" s="2" t="s">
        <v>58</v>
      </c>
      <c r="I169" s="2" t="s">
        <v>163</v>
      </c>
      <c r="J169" s="2" t="s">
        <v>128</v>
      </c>
      <c r="K169" s="2" t="s">
        <v>67</v>
      </c>
      <c r="L169" s="2" t="s">
        <v>68</v>
      </c>
      <c r="M169" s="2" t="s">
        <v>35</v>
      </c>
      <c r="N169" s="2" t="s">
        <v>36</v>
      </c>
      <c r="O169" s="2">
        <v>94604.89</v>
      </c>
      <c r="P169" s="2">
        <v>54.1</v>
      </c>
      <c r="Q169" s="2">
        <v>500.05</v>
      </c>
      <c r="R169" s="2" t="s">
        <v>129</v>
      </c>
      <c r="S169" s="2">
        <v>577</v>
      </c>
      <c r="T169" s="2">
        <v>168</v>
      </c>
      <c r="U169" s="2" t="s">
        <v>72</v>
      </c>
      <c r="V169" s="2" t="s">
        <v>122</v>
      </c>
      <c r="W169" s="2">
        <v>4</v>
      </c>
      <c r="X169" s="2">
        <v>2.5</v>
      </c>
    </row>
    <row r="170" spans="1:24" ht="15" customHeight="1">
      <c r="A170" s="2" t="s">
        <v>706</v>
      </c>
      <c r="B170" s="2" t="s">
        <v>707</v>
      </c>
      <c r="C170" s="2">
        <v>12</v>
      </c>
      <c r="D170" s="2" t="s">
        <v>177</v>
      </c>
      <c r="E170" s="2" t="s">
        <v>708</v>
      </c>
      <c r="F170" s="2" t="s">
        <v>184</v>
      </c>
      <c r="G170" s="2" t="s">
        <v>31</v>
      </c>
      <c r="H170" s="2" t="s">
        <v>79</v>
      </c>
      <c r="I170" s="2" t="s">
        <v>331</v>
      </c>
      <c r="J170" s="2" t="s">
        <v>90</v>
      </c>
      <c r="K170" s="2" t="s">
        <v>49</v>
      </c>
      <c r="L170" s="2" t="s">
        <v>50</v>
      </c>
      <c r="M170" s="2" t="s">
        <v>35</v>
      </c>
      <c r="N170" s="2" t="s">
        <v>70</v>
      </c>
      <c r="O170" s="2">
        <v>76040.259999999995</v>
      </c>
      <c r="P170" s="2">
        <v>6.4</v>
      </c>
      <c r="Q170" s="2">
        <v>41058.68</v>
      </c>
      <c r="R170" s="2" t="s">
        <v>129</v>
      </c>
      <c r="S170" s="2">
        <v>609</v>
      </c>
      <c r="T170" s="2">
        <v>128</v>
      </c>
      <c r="U170" s="2" t="s">
        <v>72</v>
      </c>
      <c r="V170" s="2" t="s">
        <v>73</v>
      </c>
      <c r="W170" s="2">
        <v>1</v>
      </c>
      <c r="X170" s="2">
        <v>8.5</v>
      </c>
    </row>
    <row r="171" spans="1:24" ht="15" customHeight="1">
      <c r="A171" s="2" t="s">
        <v>709</v>
      </c>
      <c r="B171" s="2" t="s">
        <v>710</v>
      </c>
      <c r="C171" s="2">
        <v>27</v>
      </c>
      <c r="D171" s="2" t="s">
        <v>28</v>
      </c>
      <c r="E171" s="2" t="s">
        <v>444</v>
      </c>
      <c r="F171" s="2" t="s">
        <v>95</v>
      </c>
      <c r="G171" s="2" t="s">
        <v>78</v>
      </c>
      <c r="H171" s="2" t="s">
        <v>58</v>
      </c>
      <c r="I171" s="2" t="s">
        <v>711</v>
      </c>
      <c r="J171" s="2" t="s">
        <v>128</v>
      </c>
      <c r="K171" s="2" t="s">
        <v>67</v>
      </c>
      <c r="L171" s="2" t="s">
        <v>68</v>
      </c>
      <c r="M171" s="2" t="s">
        <v>51</v>
      </c>
      <c r="N171" s="2" t="s">
        <v>36</v>
      </c>
      <c r="O171" s="2">
        <v>24106.959999999999</v>
      </c>
      <c r="P171" s="2">
        <v>48.6</v>
      </c>
      <c r="Q171" s="2">
        <v>41042.92</v>
      </c>
      <c r="R171" s="2" t="s">
        <v>52</v>
      </c>
      <c r="S171" s="2">
        <v>616</v>
      </c>
      <c r="T171" s="2">
        <v>134</v>
      </c>
      <c r="U171" s="2" t="s">
        <v>98</v>
      </c>
      <c r="V171" s="2" t="s">
        <v>83</v>
      </c>
      <c r="W171" s="2">
        <v>3</v>
      </c>
      <c r="X171" s="2">
        <v>1.1000000000000001</v>
      </c>
    </row>
    <row r="172" spans="1:24" ht="15" customHeight="1">
      <c r="A172" s="2" t="s">
        <v>712</v>
      </c>
      <c r="B172" s="2" t="s">
        <v>713</v>
      </c>
      <c r="C172" s="2">
        <v>17</v>
      </c>
      <c r="D172" s="2" t="s">
        <v>28</v>
      </c>
      <c r="E172" s="2" t="s">
        <v>714</v>
      </c>
      <c r="F172" s="2" t="s">
        <v>88</v>
      </c>
      <c r="G172" s="2" t="s">
        <v>179</v>
      </c>
      <c r="H172" s="2" t="s">
        <v>58</v>
      </c>
      <c r="I172" s="2" t="s">
        <v>715</v>
      </c>
      <c r="J172" s="2" t="s">
        <v>34</v>
      </c>
      <c r="K172" s="2" t="s">
        <v>147</v>
      </c>
      <c r="L172" s="2" t="s">
        <v>115</v>
      </c>
      <c r="M172" s="2" t="s">
        <v>51</v>
      </c>
      <c r="N172" s="2" t="s">
        <v>60</v>
      </c>
      <c r="O172" s="2">
        <v>8798.74</v>
      </c>
      <c r="P172" s="2">
        <v>51.3</v>
      </c>
      <c r="Q172" s="2">
        <v>36336.269999999997</v>
      </c>
      <c r="R172" s="2" t="s">
        <v>148</v>
      </c>
      <c r="S172" s="2">
        <v>537</v>
      </c>
      <c r="T172" s="2">
        <v>6</v>
      </c>
      <c r="U172" s="2" t="s">
        <v>72</v>
      </c>
      <c r="V172" s="2" t="s">
        <v>39</v>
      </c>
      <c r="W172" s="2">
        <v>5</v>
      </c>
      <c r="X172" s="2">
        <v>7.7</v>
      </c>
    </row>
    <row r="173" spans="1:24" ht="15" customHeight="1">
      <c r="A173" s="2" t="s">
        <v>716</v>
      </c>
      <c r="B173" s="2" t="s">
        <v>717</v>
      </c>
      <c r="C173" s="2">
        <v>17</v>
      </c>
      <c r="D173" s="2" t="s">
        <v>177</v>
      </c>
      <c r="E173" s="2" t="s">
        <v>76</v>
      </c>
      <c r="F173" s="2" t="s">
        <v>57</v>
      </c>
      <c r="G173" s="2" t="s">
        <v>78</v>
      </c>
      <c r="H173" s="2" t="s">
        <v>104</v>
      </c>
      <c r="I173" s="2" t="s">
        <v>415</v>
      </c>
      <c r="J173" s="2" t="s">
        <v>128</v>
      </c>
      <c r="K173" s="2" t="s">
        <v>147</v>
      </c>
      <c r="L173" s="2" t="s">
        <v>115</v>
      </c>
      <c r="M173" s="2" t="s">
        <v>51</v>
      </c>
      <c r="N173" s="2" t="s">
        <v>36</v>
      </c>
      <c r="O173" s="2">
        <v>148295.29999999999</v>
      </c>
      <c r="P173" s="2">
        <v>10</v>
      </c>
      <c r="Q173" s="2">
        <v>55626.19</v>
      </c>
      <c r="R173" s="2" t="s">
        <v>129</v>
      </c>
      <c r="S173" s="2">
        <v>801</v>
      </c>
      <c r="T173" s="2">
        <v>117</v>
      </c>
      <c r="U173" s="2" t="s">
        <v>98</v>
      </c>
      <c r="V173" s="2" t="s">
        <v>72</v>
      </c>
      <c r="W173" s="2">
        <v>5</v>
      </c>
      <c r="X173" s="2">
        <v>6.8</v>
      </c>
    </row>
    <row r="174" spans="1:24" ht="15" customHeight="1">
      <c r="A174" s="2" t="s">
        <v>718</v>
      </c>
      <c r="B174" s="2" t="s">
        <v>719</v>
      </c>
      <c r="C174" s="2">
        <v>45</v>
      </c>
      <c r="D174" s="2" t="s">
        <v>55</v>
      </c>
      <c r="E174" s="2" t="s">
        <v>720</v>
      </c>
      <c r="F174" s="2" t="s">
        <v>103</v>
      </c>
      <c r="G174" s="2" t="s">
        <v>162</v>
      </c>
      <c r="H174" s="2" t="s">
        <v>104</v>
      </c>
      <c r="I174" s="2" t="s">
        <v>404</v>
      </c>
      <c r="J174" s="2" t="s">
        <v>81</v>
      </c>
      <c r="K174" s="2" t="s">
        <v>67</v>
      </c>
      <c r="L174" s="2" t="s">
        <v>68</v>
      </c>
      <c r="M174" s="2" t="s">
        <v>51</v>
      </c>
      <c r="N174" s="2" t="s">
        <v>60</v>
      </c>
      <c r="O174" s="2">
        <v>32528.3</v>
      </c>
      <c r="P174" s="2">
        <v>71.3</v>
      </c>
      <c r="Q174" s="2">
        <v>46420.62</v>
      </c>
      <c r="R174" s="2" t="s">
        <v>158</v>
      </c>
      <c r="S174" s="2">
        <v>470</v>
      </c>
      <c r="T174" s="2">
        <v>156</v>
      </c>
      <c r="U174" s="2" t="s">
        <v>83</v>
      </c>
      <c r="V174" s="2" t="s">
        <v>73</v>
      </c>
      <c r="W174" s="2">
        <v>1</v>
      </c>
      <c r="X174" s="2">
        <v>6.6</v>
      </c>
    </row>
    <row r="175" spans="1:24" ht="15" customHeight="1">
      <c r="A175" s="2" t="s">
        <v>721</v>
      </c>
      <c r="B175" s="2" t="s">
        <v>722</v>
      </c>
      <c r="C175" s="2">
        <v>40</v>
      </c>
      <c r="D175" s="2" t="s">
        <v>118</v>
      </c>
      <c r="E175" s="2" t="s">
        <v>94</v>
      </c>
      <c r="F175" s="2" t="s">
        <v>103</v>
      </c>
      <c r="G175" s="2" t="s">
        <v>162</v>
      </c>
      <c r="H175" s="2" t="s">
        <v>79</v>
      </c>
      <c r="I175" s="2" t="s">
        <v>723</v>
      </c>
      <c r="J175" s="2" t="s">
        <v>113</v>
      </c>
      <c r="K175" s="2" t="s">
        <v>67</v>
      </c>
      <c r="L175" s="2" t="s">
        <v>68</v>
      </c>
      <c r="M175" s="2" t="s">
        <v>35</v>
      </c>
      <c r="N175" s="2" t="s">
        <v>36</v>
      </c>
      <c r="O175" s="2">
        <v>136538.56</v>
      </c>
      <c r="P175" s="2">
        <v>58.9</v>
      </c>
      <c r="Q175" s="2">
        <v>7412.65</v>
      </c>
      <c r="R175" s="2" t="s">
        <v>97</v>
      </c>
      <c r="S175" s="2">
        <v>671</v>
      </c>
      <c r="T175" s="2">
        <v>181</v>
      </c>
      <c r="U175" s="2" t="s">
        <v>39</v>
      </c>
      <c r="V175" s="2" t="s">
        <v>73</v>
      </c>
      <c r="W175" s="2">
        <v>1</v>
      </c>
      <c r="X175" s="2">
        <v>7</v>
      </c>
    </row>
    <row r="176" spans="1:24" ht="15" customHeight="1">
      <c r="A176" s="2" t="s">
        <v>724</v>
      </c>
      <c r="B176" s="2" t="s">
        <v>725</v>
      </c>
      <c r="C176" s="2">
        <v>15</v>
      </c>
      <c r="D176" s="2" t="s">
        <v>101</v>
      </c>
      <c r="E176" s="2" t="s">
        <v>726</v>
      </c>
      <c r="F176" s="2" t="s">
        <v>44</v>
      </c>
      <c r="G176" s="2" t="s">
        <v>179</v>
      </c>
      <c r="H176" s="2" t="s">
        <v>126</v>
      </c>
      <c r="I176" s="2" t="s">
        <v>727</v>
      </c>
      <c r="J176" s="2" t="s">
        <v>128</v>
      </c>
      <c r="K176" s="2" t="s">
        <v>114</v>
      </c>
      <c r="L176" s="2" t="s">
        <v>115</v>
      </c>
      <c r="M176" s="2" t="s">
        <v>51</v>
      </c>
      <c r="N176" s="2" t="s">
        <v>60</v>
      </c>
      <c r="O176" s="2"/>
      <c r="P176" s="2">
        <v>62.4</v>
      </c>
      <c r="Q176" s="2">
        <v>732.47</v>
      </c>
      <c r="R176" s="2" t="s">
        <v>158</v>
      </c>
      <c r="S176" s="2">
        <v>856</v>
      </c>
      <c r="T176" s="2">
        <v>155</v>
      </c>
      <c r="U176" s="2" t="s">
        <v>39</v>
      </c>
      <c r="V176" s="2" t="s">
        <v>98</v>
      </c>
      <c r="W176" s="2">
        <v>4</v>
      </c>
      <c r="X176" s="2">
        <v>4</v>
      </c>
    </row>
    <row r="177" spans="1:24" ht="15" customHeight="1">
      <c r="A177" s="2" t="s">
        <v>728</v>
      </c>
      <c r="B177" s="2" t="s">
        <v>729</v>
      </c>
      <c r="C177" s="2">
        <v>21</v>
      </c>
      <c r="D177" s="2" t="s">
        <v>171</v>
      </c>
      <c r="E177" s="2" t="s">
        <v>730</v>
      </c>
      <c r="F177" s="2" t="s">
        <v>167</v>
      </c>
      <c r="G177" s="2" t="s">
        <v>162</v>
      </c>
      <c r="H177" s="2" t="s">
        <v>79</v>
      </c>
      <c r="I177" s="2" t="s">
        <v>731</v>
      </c>
      <c r="J177" s="2" t="s">
        <v>90</v>
      </c>
      <c r="K177" s="2" t="s">
        <v>67</v>
      </c>
      <c r="L177" s="2" t="s">
        <v>68</v>
      </c>
      <c r="M177" s="2" t="s">
        <v>0</v>
      </c>
      <c r="N177" s="2" t="s">
        <v>36</v>
      </c>
      <c r="O177" s="2">
        <v>126512.09</v>
      </c>
      <c r="P177" s="2">
        <v>74</v>
      </c>
      <c r="Q177" s="2">
        <v>2941.88</v>
      </c>
      <c r="R177" s="2" t="s">
        <v>138</v>
      </c>
      <c r="S177" s="2">
        <v>465</v>
      </c>
      <c r="T177" s="2">
        <v>156</v>
      </c>
      <c r="U177" s="2" t="s">
        <v>98</v>
      </c>
      <c r="V177" s="2" t="s">
        <v>72</v>
      </c>
      <c r="W177" s="2">
        <v>1</v>
      </c>
      <c r="X177" s="2">
        <v>7</v>
      </c>
    </row>
    <row r="178" spans="1:24" ht="15" customHeight="1">
      <c r="A178" s="2" t="s">
        <v>732</v>
      </c>
      <c r="B178" s="2" t="s">
        <v>733</v>
      </c>
      <c r="C178" s="2">
        <v>10</v>
      </c>
      <c r="D178" s="2" t="s">
        <v>171</v>
      </c>
      <c r="E178" s="2" t="s">
        <v>734</v>
      </c>
      <c r="F178" s="2" t="s">
        <v>103</v>
      </c>
      <c r="G178" s="2" t="s">
        <v>217</v>
      </c>
      <c r="H178" s="2" t="s">
        <v>65</v>
      </c>
      <c r="I178" s="2" t="s">
        <v>735</v>
      </c>
      <c r="J178" s="2" t="s">
        <v>81</v>
      </c>
      <c r="K178" s="2" t="s">
        <v>49</v>
      </c>
      <c r="L178" s="2" t="s">
        <v>50</v>
      </c>
      <c r="M178" s="2" t="s">
        <v>35</v>
      </c>
      <c r="N178" s="2" t="s">
        <v>60</v>
      </c>
      <c r="O178" s="2">
        <v>20848.82</v>
      </c>
      <c r="P178" s="2">
        <v>52.2</v>
      </c>
      <c r="Q178" s="2">
        <v>59231.360000000001</v>
      </c>
      <c r="R178" s="2" t="s">
        <v>129</v>
      </c>
      <c r="S178" s="2">
        <v>594</v>
      </c>
      <c r="T178" s="2">
        <v>81</v>
      </c>
      <c r="U178" s="2" t="s">
        <v>38</v>
      </c>
      <c r="V178" s="2" t="s">
        <v>98</v>
      </c>
      <c r="W178" s="2">
        <v>5</v>
      </c>
      <c r="X178" s="2">
        <v>6.7</v>
      </c>
    </row>
    <row r="179" spans="1:24" ht="15" customHeight="1">
      <c r="A179" s="2" t="s">
        <v>736</v>
      </c>
      <c r="B179" s="2" t="s">
        <v>737</v>
      </c>
      <c r="C179" s="2">
        <v>45</v>
      </c>
      <c r="D179" s="2" t="s">
        <v>86</v>
      </c>
      <c r="E179" s="2" t="s">
        <v>598</v>
      </c>
      <c r="F179" s="2" t="s">
        <v>44</v>
      </c>
      <c r="G179" s="2" t="s">
        <v>31</v>
      </c>
      <c r="H179" s="2" t="s">
        <v>245</v>
      </c>
      <c r="I179" s="2" t="s">
        <v>191</v>
      </c>
      <c r="J179" s="2" t="s">
        <v>48</v>
      </c>
      <c r="K179" s="2" t="s">
        <v>67</v>
      </c>
      <c r="L179" s="2" t="s">
        <v>68</v>
      </c>
      <c r="M179" s="2" t="s">
        <v>51</v>
      </c>
      <c r="N179" s="2" t="s">
        <v>70</v>
      </c>
      <c r="O179" s="2">
        <v>65035.97</v>
      </c>
      <c r="P179" s="2">
        <v>47</v>
      </c>
      <c r="Q179" s="2">
        <v>38250.21</v>
      </c>
      <c r="R179" s="2" t="s">
        <v>52</v>
      </c>
      <c r="S179" s="2">
        <v>588</v>
      </c>
      <c r="T179" s="2">
        <v>17</v>
      </c>
      <c r="U179" s="2" t="s">
        <v>38</v>
      </c>
      <c r="V179" s="2" t="s">
        <v>72</v>
      </c>
      <c r="W179" s="2">
        <v>1</v>
      </c>
      <c r="X179" s="2">
        <v>6.3</v>
      </c>
    </row>
    <row r="180" spans="1:24" ht="15" customHeight="1">
      <c r="A180" s="2" t="s">
        <v>738</v>
      </c>
      <c r="B180" s="2" t="s">
        <v>739</v>
      </c>
      <c r="C180" s="2">
        <v>45</v>
      </c>
      <c r="D180" s="2" t="s">
        <v>101</v>
      </c>
      <c r="E180" s="2" t="s">
        <v>740</v>
      </c>
      <c r="F180" s="2" t="s">
        <v>88</v>
      </c>
      <c r="G180" s="2" t="s">
        <v>45</v>
      </c>
      <c r="H180" s="2" t="s">
        <v>152</v>
      </c>
      <c r="I180" s="2" t="s">
        <v>741</v>
      </c>
      <c r="J180" s="2" t="s">
        <v>34</v>
      </c>
      <c r="K180" s="2" t="s">
        <v>67</v>
      </c>
      <c r="L180" s="2" t="s">
        <v>68</v>
      </c>
      <c r="M180" s="2" t="s">
        <v>51</v>
      </c>
      <c r="N180" s="2" t="s">
        <v>36</v>
      </c>
      <c r="O180" s="2">
        <v>134909.65</v>
      </c>
      <c r="P180" s="2">
        <v>66.099999999999994</v>
      </c>
      <c r="Q180" s="2">
        <v>55667.4</v>
      </c>
      <c r="R180" s="2" t="s">
        <v>61</v>
      </c>
      <c r="S180" s="2">
        <v>878</v>
      </c>
      <c r="T180" s="2">
        <v>80</v>
      </c>
      <c r="U180" s="2" t="s">
        <v>83</v>
      </c>
      <c r="V180" s="2" t="s">
        <v>38</v>
      </c>
      <c r="W180" s="2">
        <v>1</v>
      </c>
      <c r="X180" s="2">
        <v>8.6999999999999993</v>
      </c>
    </row>
    <row r="181" spans="1:24" ht="15" customHeight="1">
      <c r="A181" s="2" t="s">
        <v>742</v>
      </c>
      <c r="B181" s="2" t="s">
        <v>743</v>
      </c>
      <c r="C181" s="2">
        <v>200</v>
      </c>
      <c r="D181" s="2" t="s">
        <v>55</v>
      </c>
      <c r="E181" s="2" t="s">
        <v>517</v>
      </c>
      <c r="F181" s="2" t="s">
        <v>57</v>
      </c>
      <c r="G181" s="2" t="s">
        <v>31</v>
      </c>
      <c r="H181" s="2" t="s">
        <v>126</v>
      </c>
      <c r="I181" s="2" t="s">
        <v>744</v>
      </c>
      <c r="J181" s="2" t="s">
        <v>113</v>
      </c>
      <c r="K181" s="2" t="s">
        <v>67</v>
      </c>
      <c r="L181" s="2" t="s">
        <v>68</v>
      </c>
      <c r="M181" s="2" t="s">
        <v>35</v>
      </c>
      <c r="N181" s="2" t="s">
        <v>70</v>
      </c>
      <c r="O181" s="2">
        <v>70526.42</v>
      </c>
      <c r="P181" s="2">
        <v>21.2</v>
      </c>
      <c r="Q181" s="2">
        <v>18139.099999999999</v>
      </c>
      <c r="R181" s="2" t="s">
        <v>61</v>
      </c>
      <c r="S181" s="2">
        <v>338</v>
      </c>
      <c r="T181" s="2">
        <v>23</v>
      </c>
      <c r="U181" s="2" t="s">
        <v>72</v>
      </c>
      <c r="V181" s="2" t="s">
        <v>39</v>
      </c>
      <c r="W181" s="2">
        <v>2</v>
      </c>
      <c r="X181" s="2">
        <v>3.4</v>
      </c>
    </row>
    <row r="182" spans="1:24" ht="15" customHeight="1">
      <c r="A182" s="2" t="s">
        <v>745</v>
      </c>
      <c r="B182" s="2" t="s">
        <v>746</v>
      </c>
      <c r="C182" s="2">
        <v>25</v>
      </c>
      <c r="D182" s="2" t="s">
        <v>28</v>
      </c>
      <c r="E182" s="2" t="s">
        <v>747</v>
      </c>
      <c r="F182" s="2" t="s">
        <v>30</v>
      </c>
      <c r="G182" s="2" t="s">
        <v>217</v>
      </c>
      <c r="H182" s="2" t="s">
        <v>104</v>
      </c>
      <c r="I182" s="2" t="s">
        <v>415</v>
      </c>
      <c r="J182" s="2" t="s">
        <v>90</v>
      </c>
      <c r="K182" s="2" t="s">
        <v>67</v>
      </c>
      <c r="L182" s="2" t="s">
        <v>68</v>
      </c>
      <c r="M182" s="2" t="s">
        <v>69</v>
      </c>
      <c r="N182" s="2" t="s">
        <v>36</v>
      </c>
      <c r="O182" s="2">
        <v>131421.89000000001</v>
      </c>
      <c r="P182" s="2">
        <v>71.7</v>
      </c>
      <c r="Q182" s="2">
        <v>6186.17</v>
      </c>
      <c r="R182" s="2" t="s">
        <v>37</v>
      </c>
      <c r="S182" s="2">
        <v>323</v>
      </c>
      <c r="T182" s="2">
        <v>79</v>
      </c>
      <c r="U182" s="2" t="s">
        <v>122</v>
      </c>
      <c r="V182" s="2" t="s">
        <v>83</v>
      </c>
      <c r="W182" s="2">
        <v>3</v>
      </c>
      <c r="X182" s="2">
        <v>2.9</v>
      </c>
    </row>
    <row r="183" spans="1:24" ht="15" customHeight="1">
      <c r="A183" s="2" t="s">
        <v>748</v>
      </c>
      <c r="B183" s="2" t="s">
        <v>749</v>
      </c>
      <c r="C183" s="2">
        <v>13</v>
      </c>
      <c r="D183" s="2" t="s">
        <v>28</v>
      </c>
      <c r="E183" s="2" t="s">
        <v>750</v>
      </c>
      <c r="F183" s="2" t="s">
        <v>30</v>
      </c>
      <c r="G183" s="2" t="s">
        <v>162</v>
      </c>
      <c r="H183" s="2" t="s">
        <v>32</v>
      </c>
      <c r="I183" s="2" t="s">
        <v>751</v>
      </c>
      <c r="J183" s="2" t="s">
        <v>81</v>
      </c>
      <c r="K183" s="2" t="s">
        <v>49</v>
      </c>
      <c r="L183" s="2" t="s">
        <v>50</v>
      </c>
      <c r="M183" s="2" t="s">
        <v>51</v>
      </c>
      <c r="N183" s="2" t="s">
        <v>60</v>
      </c>
      <c r="O183" s="2">
        <v>141775.28</v>
      </c>
      <c r="P183" s="2">
        <v>48.1</v>
      </c>
      <c r="Q183" s="2">
        <v>10276.5</v>
      </c>
      <c r="R183" s="2" t="s">
        <v>129</v>
      </c>
      <c r="S183" s="2">
        <v>646</v>
      </c>
      <c r="T183" s="2">
        <v>12</v>
      </c>
      <c r="U183" s="2" t="s">
        <v>108</v>
      </c>
      <c r="V183" s="2" t="s">
        <v>72</v>
      </c>
      <c r="W183" s="2">
        <v>1</v>
      </c>
      <c r="X183" s="2">
        <v>3.8</v>
      </c>
    </row>
    <row r="184" spans="1:24" ht="15" customHeight="1">
      <c r="A184" s="2" t="s">
        <v>752</v>
      </c>
      <c r="B184" s="2" t="s">
        <v>753</v>
      </c>
      <c r="C184" s="2">
        <v>44</v>
      </c>
      <c r="D184" s="2" t="s">
        <v>171</v>
      </c>
      <c r="E184" s="2" t="s">
        <v>754</v>
      </c>
      <c r="F184" s="2" t="s">
        <v>88</v>
      </c>
      <c r="G184" s="2" t="s">
        <v>78</v>
      </c>
      <c r="H184" s="2" t="s">
        <v>46</v>
      </c>
      <c r="I184" s="2" t="s">
        <v>755</v>
      </c>
      <c r="J184" s="2" t="s">
        <v>90</v>
      </c>
      <c r="K184" s="2" t="s">
        <v>67</v>
      </c>
      <c r="L184" s="2" t="s">
        <v>68</v>
      </c>
      <c r="M184" s="2" t="s">
        <v>51</v>
      </c>
      <c r="N184" s="2" t="s">
        <v>70</v>
      </c>
      <c r="O184" s="2">
        <v>19103.13</v>
      </c>
      <c r="P184" s="2">
        <v>53.3</v>
      </c>
      <c r="Q184" s="2">
        <v>45989.61</v>
      </c>
      <c r="R184" s="2" t="s">
        <v>138</v>
      </c>
      <c r="S184" s="2">
        <v>529</v>
      </c>
      <c r="T184" s="2">
        <v>157</v>
      </c>
      <c r="U184" s="2" t="s">
        <v>38</v>
      </c>
      <c r="V184" s="2" t="s">
        <v>39</v>
      </c>
      <c r="W184" s="2">
        <v>3</v>
      </c>
      <c r="X184" s="2">
        <v>7.2</v>
      </c>
    </row>
    <row r="185" spans="1:24" ht="15" customHeight="1">
      <c r="A185" s="2" t="s">
        <v>756</v>
      </c>
      <c r="B185" s="2" t="s">
        <v>757</v>
      </c>
      <c r="C185" s="2">
        <v>7</v>
      </c>
      <c r="D185" s="2" t="s">
        <v>118</v>
      </c>
      <c r="E185" s="2" t="s">
        <v>530</v>
      </c>
      <c r="F185" s="2" t="s">
        <v>103</v>
      </c>
      <c r="G185" s="2" t="s">
        <v>45</v>
      </c>
      <c r="H185" s="2" t="s">
        <v>79</v>
      </c>
      <c r="I185" s="2" t="s">
        <v>758</v>
      </c>
      <c r="J185" s="2" t="s">
        <v>81</v>
      </c>
      <c r="K185" s="2" t="s">
        <v>106</v>
      </c>
      <c r="L185" s="2" t="s">
        <v>50</v>
      </c>
      <c r="M185" s="2" t="s">
        <v>35</v>
      </c>
      <c r="N185" s="2" t="s">
        <v>60</v>
      </c>
      <c r="O185" s="2">
        <v>52251.11</v>
      </c>
      <c r="P185" s="2">
        <v>64.400000000000006</v>
      </c>
      <c r="Q185" s="2">
        <v>31964.73</v>
      </c>
      <c r="R185" s="2" t="s">
        <v>129</v>
      </c>
      <c r="S185" s="2">
        <v>723</v>
      </c>
      <c r="T185" s="2">
        <v>62</v>
      </c>
      <c r="U185" s="2" t="s">
        <v>98</v>
      </c>
      <c r="V185" s="2" t="s">
        <v>72</v>
      </c>
      <c r="W185" s="2">
        <v>3</v>
      </c>
      <c r="X185" s="2">
        <v>2.2999999999999998</v>
      </c>
    </row>
    <row r="186" spans="1:24" ht="15" customHeight="1">
      <c r="A186" s="2" t="s">
        <v>759</v>
      </c>
      <c r="B186" s="2" t="s">
        <v>760</v>
      </c>
      <c r="C186" s="2">
        <v>33</v>
      </c>
      <c r="D186" s="2" t="s">
        <v>171</v>
      </c>
      <c r="E186" s="2" t="s">
        <v>761</v>
      </c>
      <c r="F186" s="2" t="s">
        <v>57</v>
      </c>
      <c r="G186" s="2" t="s">
        <v>31</v>
      </c>
      <c r="H186" s="2" t="s">
        <v>32</v>
      </c>
      <c r="I186" s="2" t="s">
        <v>762</v>
      </c>
      <c r="J186" s="2" t="s">
        <v>128</v>
      </c>
      <c r="K186" s="2" t="s">
        <v>67</v>
      </c>
      <c r="L186" s="2" t="s">
        <v>68</v>
      </c>
      <c r="M186" s="2" t="s">
        <v>51</v>
      </c>
      <c r="N186" s="2" t="s">
        <v>60</v>
      </c>
      <c r="O186" s="2">
        <v>49665.18</v>
      </c>
      <c r="P186" s="2">
        <v>49.9</v>
      </c>
      <c r="Q186" s="2">
        <v>41130.519999999997</v>
      </c>
      <c r="R186" s="2" t="s">
        <v>107</v>
      </c>
      <c r="S186" s="2">
        <v>635</v>
      </c>
      <c r="T186" s="2">
        <v>169</v>
      </c>
      <c r="U186" s="2" t="s">
        <v>108</v>
      </c>
      <c r="V186" s="2" t="s">
        <v>83</v>
      </c>
      <c r="W186" s="2">
        <v>5</v>
      </c>
      <c r="X186" s="2">
        <v>8.1999999999999993</v>
      </c>
    </row>
    <row r="187" spans="1:24" ht="15" customHeight="1">
      <c r="A187" s="2" t="s">
        <v>763</v>
      </c>
      <c r="B187" s="2" t="s">
        <v>764</v>
      </c>
      <c r="C187" s="2"/>
      <c r="D187" s="2" t="s">
        <v>101</v>
      </c>
      <c r="E187" s="2" t="s">
        <v>765</v>
      </c>
      <c r="F187" s="2" t="s">
        <v>77</v>
      </c>
      <c r="G187" s="2" t="s">
        <v>179</v>
      </c>
      <c r="H187" s="2" t="s">
        <v>32</v>
      </c>
      <c r="I187" s="2" t="s">
        <v>766</v>
      </c>
      <c r="J187" s="2" t="s">
        <v>48</v>
      </c>
      <c r="K187" s="2"/>
      <c r="L187" s="2"/>
      <c r="M187" s="2" t="s">
        <v>51</v>
      </c>
      <c r="N187" s="2" t="s">
        <v>36</v>
      </c>
      <c r="O187" s="2">
        <v>49159.77</v>
      </c>
      <c r="P187" s="2">
        <v>37.6</v>
      </c>
      <c r="Q187" s="2">
        <v>58954.82</v>
      </c>
      <c r="R187" s="2" t="s">
        <v>138</v>
      </c>
      <c r="S187" s="2" t="s">
        <v>195</v>
      </c>
      <c r="T187" s="2">
        <v>130</v>
      </c>
      <c r="U187" s="2" t="s">
        <v>39</v>
      </c>
      <c r="V187" s="2" t="s">
        <v>72</v>
      </c>
      <c r="W187" s="2">
        <v>3</v>
      </c>
      <c r="X187" s="2">
        <v>8.1999999999999993</v>
      </c>
    </row>
    <row r="188" spans="1:24" ht="15" customHeight="1">
      <c r="A188" s="2" t="s">
        <v>767</v>
      </c>
      <c r="B188" s="2" t="s">
        <v>768</v>
      </c>
      <c r="C188" s="2"/>
      <c r="D188" s="2" t="s">
        <v>188</v>
      </c>
      <c r="E188" s="2" t="s">
        <v>769</v>
      </c>
      <c r="F188" s="2" t="s">
        <v>44</v>
      </c>
      <c r="G188" s="2" t="s">
        <v>78</v>
      </c>
      <c r="H188" s="2" t="s">
        <v>58</v>
      </c>
      <c r="I188" s="2" t="s">
        <v>770</v>
      </c>
      <c r="J188" s="2" t="s">
        <v>48</v>
      </c>
      <c r="K188" s="2"/>
      <c r="L188" s="2"/>
      <c r="M188" s="2" t="s">
        <v>51</v>
      </c>
      <c r="N188" s="2" t="s">
        <v>36</v>
      </c>
      <c r="O188" s="2">
        <v>35626.33</v>
      </c>
      <c r="P188" s="2">
        <v>15.4</v>
      </c>
      <c r="Q188" s="2">
        <v>33325.29</v>
      </c>
      <c r="R188" s="2" t="s">
        <v>158</v>
      </c>
      <c r="S188" s="2">
        <v>457</v>
      </c>
      <c r="T188" s="2">
        <v>171</v>
      </c>
      <c r="U188" s="2" t="s">
        <v>83</v>
      </c>
      <c r="V188" s="2" t="s">
        <v>108</v>
      </c>
      <c r="W188" s="2">
        <v>1</v>
      </c>
      <c r="X188" s="2">
        <v>1.7</v>
      </c>
    </row>
    <row r="189" spans="1:24" ht="15" customHeight="1">
      <c r="A189" s="2" t="s">
        <v>771</v>
      </c>
      <c r="B189" s="2" t="s">
        <v>772</v>
      </c>
      <c r="C189" s="2">
        <v>14</v>
      </c>
      <c r="D189" s="2" t="s">
        <v>101</v>
      </c>
      <c r="E189" s="2" t="s">
        <v>773</v>
      </c>
      <c r="F189" s="2" t="s">
        <v>95</v>
      </c>
      <c r="G189" s="2" t="s">
        <v>45</v>
      </c>
      <c r="H189" s="2" t="s">
        <v>32</v>
      </c>
      <c r="I189" s="2" t="s">
        <v>774</v>
      </c>
      <c r="J189" s="2" t="s">
        <v>81</v>
      </c>
      <c r="K189" s="2" t="s">
        <v>114</v>
      </c>
      <c r="L189" s="2" t="s">
        <v>115</v>
      </c>
      <c r="M189" s="2" t="s">
        <v>51</v>
      </c>
      <c r="N189" s="2" t="s">
        <v>70</v>
      </c>
      <c r="O189" s="2">
        <v>56519.55</v>
      </c>
      <c r="P189" s="2">
        <v>50.3</v>
      </c>
      <c r="Q189" s="2">
        <v>34676.31</v>
      </c>
      <c r="R189" s="2" t="s">
        <v>148</v>
      </c>
      <c r="S189" s="2">
        <v>813</v>
      </c>
      <c r="T189" s="2">
        <v>139</v>
      </c>
      <c r="U189" s="2" t="s">
        <v>72</v>
      </c>
      <c r="V189" s="2" t="s">
        <v>98</v>
      </c>
      <c r="W189" s="2">
        <v>3</v>
      </c>
      <c r="X189" s="2">
        <v>1.5</v>
      </c>
    </row>
    <row r="190" spans="1:24" ht="15" customHeight="1">
      <c r="A190" s="2" t="s">
        <v>775</v>
      </c>
      <c r="B190" s="2" t="s">
        <v>776</v>
      </c>
      <c r="C190" s="2">
        <v>15</v>
      </c>
      <c r="D190" s="2" t="s">
        <v>177</v>
      </c>
      <c r="E190" s="2" t="s">
        <v>379</v>
      </c>
      <c r="F190" s="2" t="s">
        <v>184</v>
      </c>
      <c r="G190" s="2" t="s">
        <v>31</v>
      </c>
      <c r="H190" s="2" t="s">
        <v>104</v>
      </c>
      <c r="I190" s="2" t="s">
        <v>191</v>
      </c>
      <c r="J190" s="2" t="s">
        <v>48</v>
      </c>
      <c r="K190" s="2" t="s">
        <v>114</v>
      </c>
      <c r="L190" s="2" t="s">
        <v>115</v>
      </c>
      <c r="M190" s="2" t="s">
        <v>51</v>
      </c>
      <c r="N190" s="2" t="s">
        <v>70</v>
      </c>
      <c r="O190" s="2">
        <v>93890.67</v>
      </c>
      <c r="P190" s="2">
        <v>45.1</v>
      </c>
      <c r="Q190" s="2">
        <v>647</v>
      </c>
      <c r="R190" s="2" t="s">
        <v>129</v>
      </c>
      <c r="S190" s="2">
        <v>780</v>
      </c>
      <c r="T190" s="2">
        <v>84</v>
      </c>
      <c r="U190" s="2" t="s">
        <v>38</v>
      </c>
      <c r="V190" s="2" t="s">
        <v>38</v>
      </c>
      <c r="W190" s="2">
        <v>2</v>
      </c>
      <c r="X190" s="2">
        <v>0.8</v>
      </c>
    </row>
    <row r="191" spans="1:24" ht="15" customHeight="1">
      <c r="A191" s="2" t="s">
        <v>777</v>
      </c>
      <c r="B191" s="2" t="s">
        <v>778</v>
      </c>
      <c r="C191" s="2">
        <v>42</v>
      </c>
      <c r="D191" s="2" t="s">
        <v>188</v>
      </c>
      <c r="E191" s="2" t="s">
        <v>352</v>
      </c>
      <c r="F191" s="2" t="s">
        <v>120</v>
      </c>
      <c r="G191" s="2" t="s">
        <v>217</v>
      </c>
      <c r="H191" s="2" t="s">
        <v>32</v>
      </c>
      <c r="I191" s="2" t="s">
        <v>415</v>
      </c>
      <c r="J191" s="2" t="s">
        <v>128</v>
      </c>
      <c r="K191" s="2" t="s">
        <v>67</v>
      </c>
      <c r="L191" s="2" t="s">
        <v>68</v>
      </c>
      <c r="M191" s="2" t="s">
        <v>51</v>
      </c>
      <c r="N191" s="2" t="s">
        <v>60</v>
      </c>
      <c r="O191" s="2">
        <v>128459.56</v>
      </c>
      <c r="P191" s="2">
        <v>14.9</v>
      </c>
      <c r="Q191" s="2">
        <v>16858.32</v>
      </c>
      <c r="R191" s="2" t="s">
        <v>138</v>
      </c>
      <c r="S191" s="2">
        <v>414</v>
      </c>
      <c r="T191" s="2">
        <v>151</v>
      </c>
      <c r="U191" s="2" t="s">
        <v>98</v>
      </c>
      <c r="V191" s="2" t="s">
        <v>39</v>
      </c>
      <c r="W191" s="2">
        <v>3</v>
      </c>
      <c r="X191" s="2">
        <v>7.2</v>
      </c>
    </row>
    <row r="192" spans="1:24" ht="15" customHeight="1">
      <c r="A192" s="2" t="s">
        <v>779</v>
      </c>
      <c r="B192" s="2" t="s">
        <v>780</v>
      </c>
      <c r="C192" s="2">
        <v>39</v>
      </c>
      <c r="D192" s="2" t="s">
        <v>86</v>
      </c>
      <c r="E192" s="2" t="s">
        <v>720</v>
      </c>
      <c r="F192" s="2" t="s">
        <v>57</v>
      </c>
      <c r="G192" s="2" t="s">
        <v>217</v>
      </c>
      <c r="H192" s="2" t="s">
        <v>152</v>
      </c>
      <c r="I192" s="2" t="s">
        <v>781</v>
      </c>
      <c r="J192" s="2" t="s">
        <v>48</v>
      </c>
      <c r="K192" s="2" t="s">
        <v>67</v>
      </c>
      <c r="L192" s="2" t="s">
        <v>68</v>
      </c>
      <c r="M192" s="2" t="s">
        <v>51</v>
      </c>
      <c r="N192" s="2" t="s">
        <v>36</v>
      </c>
      <c r="O192" s="2">
        <v>127065.79</v>
      </c>
      <c r="P192" s="2">
        <v>24.8</v>
      </c>
      <c r="Q192" s="2">
        <v>49171.86</v>
      </c>
      <c r="R192" s="2" t="s">
        <v>52</v>
      </c>
      <c r="S192" s="2">
        <v>775</v>
      </c>
      <c r="T192" s="2">
        <v>77</v>
      </c>
      <c r="U192" s="2" t="s">
        <v>39</v>
      </c>
      <c r="V192" s="2" t="s">
        <v>73</v>
      </c>
      <c r="W192" s="2">
        <v>4</v>
      </c>
      <c r="X192" s="2">
        <v>2.7</v>
      </c>
    </row>
    <row r="193" spans="1:24" ht="15" customHeight="1">
      <c r="A193" s="2" t="s">
        <v>782</v>
      </c>
      <c r="B193" s="2" t="s">
        <v>783</v>
      </c>
      <c r="C193" s="2">
        <v>24</v>
      </c>
      <c r="D193" s="2" t="s">
        <v>177</v>
      </c>
      <c r="E193" s="2" t="s">
        <v>784</v>
      </c>
      <c r="F193" s="2" t="s">
        <v>184</v>
      </c>
      <c r="G193" s="2" t="s">
        <v>162</v>
      </c>
      <c r="H193" s="2" t="s">
        <v>65</v>
      </c>
      <c r="I193" s="2" t="s">
        <v>785</v>
      </c>
      <c r="J193" s="2" t="s">
        <v>81</v>
      </c>
      <c r="K193" s="2" t="s">
        <v>67</v>
      </c>
      <c r="L193" s="2" t="s">
        <v>68</v>
      </c>
      <c r="M193" s="2" t="s">
        <v>51</v>
      </c>
      <c r="N193" s="2" t="s">
        <v>70</v>
      </c>
      <c r="O193" s="2">
        <v>44197.29</v>
      </c>
      <c r="P193" s="2">
        <v>24.2</v>
      </c>
      <c r="Q193" s="2">
        <v>35050.61</v>
      </c>
      <c r="R193" s="2" t="s">
        <v>129</v>
      </c>
      <c r="S193" s="2">
        <v>547</v>
      </c>
      <c r="T193" s="2">
        <v>150</v>
      </c>
      <c r="U193" s="2" t="s">
        <v>122</v>
      </c>
      <c r="V193" s="2" t="s">
        <v>122</v>
      </c>
      <c r="W193" s="2">
        <v>5</v>
      </c>
      <c r="X193" s="2">
        <v>0.6</v>
      </c>
    </row>
    <row r="194" spans="1:24" ht="15" customHeight="1">
      <c r="A194" s="2" t="s">
        <v>786</v>
      </c>
      <c r="B194" s="2" t="s">
        <v>787</v>
      </c>
      <c r="C194" s="2">
        <v>32</v>
      </c>
      <c r="D194" s="2" t="s">
        <v>55</v>
      </c>
      <c r="E194" s="2" t="s">
        <v>788</v>
      </c>
      <c r="F194" s="2" t="s">
        <v>103</v>
      </c>
      <c r="G194" s="2" t="s">
        <v>96</v>
      </c>
      <c r="H194" s="2" t="s">
        <v>104</v>
      </c>
      <c r="I194" s="2" t="s">
        <v>380</v>
      </c>
      <c r="J194" s="2" t="s">
        <v>90</v>
      </c>
      <c r="K194" s="2" t="s">
        <v>67</v>
      </c>
      <c r="L194" s="2" t="s">
        <v>68</v>
      </c>
      <c r="M194" s="2" t="s">
        <v>69</v>
      </c>
      <c r="N194" s="2" t="s">
        <v>36</v>
      </c>
      <c r="O194" s="2">
        <v>100207.8</v>
      </c>
      <c r="P194" s="2">
        <v>76.3</v>
      </c>
      <c r="Q194" s="2">
        <v>38284.97</v>
      </c>
      <c r="R194" s="2" t="s">
        <v>82</v>
      </c>
      <c r="S194" s="2">
        <v>388</v>
      </c>
      <c r="T194" s="2">
        <v>33</v>
      </c>
      <c r="U194" s="2" t="s">
        <v>39</v>
      </c>
      <c r="V194" s="2" t="s">
        <v>83</v>
      </c>
      <c r="W194" s="2">
        <v>3</v>
      </c>
      <c r="X194" s="2">
        <v>3</v>
      </c>
    </row>
    <row r="195" spans="1:24" ht="15" customHeight="1">
      <c r="A195" s="2" t="s">
        <v>789</v>
      </c>
      <c r="B195" s="2" t="s">
        <v>790</v>
      </c>
      <c r="C195" s="2">
        <v>35</v>
      </c>
      <c r="D195" s="2" t="s">
        <v>177</v>
      </c>
      <c r="E195" s="2" t="s">
        <v>791</v>
      </c>
      <c r="F195" s="2" t="s">
        <v>88</v>
      </c>
      <c r="G195" s="2" t="s">
        <v>190</v>
      </c>
      <c r="H195" s="2" t="s">
        <v>79</v>
      </c>
      <c r="I195" s="2" t="s">
        <v>254</v>
      </c>
      <c r="J195" s="2" t="s">
        <v>113</v>
      </c>
      <c r="K195" s="2" t="s">
        <v>67</v>
      </c>
      <c r="L195" s="2" t="s">
        <v>68</v>
      </c>
      <c r="M195" s="2" t="s">
        <v>51</v>
      </c>
      <c r="N195" s="2" t="s">
        <v>70</v>
      </c>
      <c r="O195" s="2">
        <v>143562.82999999999</v>
      </c>
      <c r="P195" s="2">
        <v>38</v>
      </c>
      <c r="Q195" s="2">
        <v>29503.31</v>
      </c>
      <c r="R195" s="2" t="s">
        <v>97</v>
      </c>
      <c r="S195" s="2">
        <v>482</v>
      </c>
      <c r="T195" s="2">
        <v>27</v>
      </c>
      <c r="U195" s="2" t="s">
        <v>98</v>
      </c>
      <c r="V195" s="2" t="s">
        <v>108</v>
      </c>
      <c r="W195" s="2">
        <v>4</v>
      </c>
      <c r="X195" s="2">
        <v>6.6</v>
      </c>
    </row>
    <row r="196" spans="1:24" ht="15" customHeight="1">
      <c r="A196" s="2" t="s">
        <v>792</v>
      </c>
      <c r="B196" s="2" t="s">
        <v>793</v>
      </c>
      <c r="C196" s="2">
        <v>42</v>
      </c>
      <c r="D196" s="2" t="s">
        <v>177</v>
      </c>
      <c r="E196" s="2" t="s">
        <v>794</v>
      </c>
      <c r="F196" s="2" t="s">
        <v>103</v>
      </c>
      <c r="G196" s="2" t="s">
        <v>217</v>
      </c>
      <c r="H196" s="2" t="s">
        <v>245</v>
      </c>
      <c r="I196" s="2" t="s">
        <v>795</v>
      </c>
      <c r="J196" s="2" t="s">
        <v>34</v>
      </c>
      <c r="K196" s="2" t="s">
        <v>67</v>
      </c>
      <c r="L196" s="2" t="s">
        <v>68</v>
      </c>
      <c r="M196" s="2" t="s">
        <v>51</v>
      </c>
      <c r="N196" s="2" t="s">
        <v>36</v>
      </c>
      <c r="O196" s="2">
        <v>5537.04</v>
      </c>
      <c r="P196" s="2">
        <v>62.8</v>
      </c>
      <c r="Q196" s="2">
        <v>28688.37</v>
      </c>
      <c r="R196" s="2" t="s">
        <v>129</v>
      </c>
      <c r="S196" s="2">
        <v>371</v>
      </c>
      <c r="T196" s="2">
        <v>0</v>
      </c>
      <c r="U196" s="2" t="s">
        <v>73</v>
      </c>
      <c r="V196" s="2" t="s">
        <v>122</v>
      </c>
      <c r="W196" s="2">
        <v>3</v>
      </c>
      <c r="X196" s="2">
        <v>6.3</v>
      </c>
    </row>
    <row r="197" spans="1:24" ht="15" customHeight="1">
      <c r="A197" s="2" t="s">
        <v>796</v>
      </c>
      <c r="B197" s="2" t="s">
        <v>797</v>
      </c>
      <c r="C197" s="2">
        <v>11</v>
      </c>
      <c r="D197" s="2" t="s">
        <v>171</v>
      </c>
      <c r="E197" s="2" t="s">
        <v>448</v>
      </c>
      <c r="F197" s="2" t="s">
        <v>88</v>
      </c>
      <c r="G197" s="2" t="s">
        <v>31</v>
      </c>
      <c r="H197" s="2" t="s">
        <v>152</v>
      </c>
      <c r="I197" s="2" t="s">
        <v>798</v>
      </c>
      <c r="J197" s="2" t="s">
        <v>81</v>
      </c>
      <c r="K197" s="2" t="s">
        <v>49</v>
      </c>
      <c r="L197" s="2" t="s">
        <v>50</v>
      </c>
      <c r="M197" s="2" t="s">
        <v>35</v>
      </c>
      <c r="N197" s="2" t="s">
        <v>60</v>
      </c>
      <c r="O197" s="2">
        <v>48336.2</v>
      </c>
      <c r="P197" s="2">
        <v>13</v>
      </c>
      <c r="Q197" s="2">
        <v>41330.550000000003</v>
      </c>
      <c r="R197" s="2" t="s">
        <v>138</v>
      </c>
      <c r="S197" s="2">
        <v>748</v>
      </c>
      <c r="T197" s="2">
        <v>35</v>
      </c>
      <c r="U197" s="2" t="s">
        <v>83</v>
      </c>
      <c r="V197" s="2" t="s">
        <v>83</v>
      </c>
      <c r="W197" s="2">
        <v>4</v>
      </c>
      <c r="X197" s="2">
        <v>3.8</v>
      </c>
    </row>
    <row r="198" spans="1:24" ht="15" customHeight="1">
      <c r="A198" s="2" t="s">
        <v>799</v>
      </c>
      <c r="B198" s="2" t="s">
        <v>800</v>
      </c>
      <c r="C198" s="2">
        <v>37</v>
      </c>
      <c r="D198" s="2" t="s">
        <v>188</v>
      </c>
      <c r="E198" s="2" t="s">
        <v>801</v>
      </c>
      <c r="F198" s="2" t="s">
        <v>44</v>
      </c>
      <c r="G198" s="2" t="s">
        <v>96</v>
      </c>
      <c r="H198" s="2" t="s">
        <v>245</v>
      </c>
      <c r="I198" s="2" t="s">
        <v>802</v>
      </c>
      <c r="J198" s="2" t="s">
        <v>48</v>
      </c>
      <c r="K198" s="2" t="s">
        <v>67</v>
      </c>
      <c r="L198" s="2" t="s">
        <v>68</v>
      </c>
      <c r="M198" s="2" t="s">
        <v>51</v>
      </c>
      <c r="N198" s="2" t="s">
        <v>36</v>
      </c>
      <c r="O198" s="2">
        <v>89005.13</v>
      </c>
      <c r="P198" s="2">
        <v>7.8</v>
      </c>
      <c r="Q198" s="2">
        <v>8495.43</v>
      </c>
      <c r="R198" s="2" t="s">
        <v>82</v>
      </c>
      <c r="S198" s="2">
        <v>782</v>
      </c>
      <c r="T198" s="2">
        <v>158</v>
      </c>
      <c r="U198" s="2" t="s">
        <v>83</v>
      </c>
      <c r="V198" s="2" t="s">
        <v>108</v>
      </c>
      <c r="W198" s="2">
        <v>2</v>
      </c>
      <c r="X198" s="2">
        <v>5.9</v>
      </c>
    </row>
    <row r="199" spans="1:24" ht="15" customHeight="1">
      <c r="A199" s="2" t="s">
        <v>803</v>
      </c>
      <c r="B199" s="2" t="s">
        <v>804</v>
      </c>
      <c r="C199" s="2">
        <v>12</v>
      </c>
      <c r="D199" s="2" t="s">
        <v>171</v>
      </c>
      <c r="E199" s="2" t="s">
        <v>805</v>
      </c>
      <c r="F199" s="2" t="s">
        <v>120</v>
      </c>
      <c r="G199" s="2" t="s">
        <v>31</v>
      </c>
      <c r="H199" s="2" t="s">
        <v>65</v>
      </c>
      <c r="I199" s="2" t="s">
        <v>806</v>
      </c>
      <c r="J199" s="2" t="s">
        <v>90</v>
      </c>
      <c r="K199" s="2" t="s">
        <v>49</v>
      </c>
      <c r="L199" s="2" t="s">
        <v>50</v>
      </c>
      <c r="M199" s="2" t="s">
        <v>51</v>
      </c>
      <c r="N199" s="2" t="s">
        <v>36</v>
      </c>
      <c r="O199" s="2">
        <v>103367.69</v>
      </c>
      <c r="P199" s="2">
        <v>78.2</v>
      </c>
      <c r="Q199" s="2">
        <v>34558.019999999997</v>
      </c>
      <c r="R199" s="2" t="s">
        <v>61</v>
      </c>
      <c r="S199" s="2">
        <v>518</v>
      </c>
      <c r="T199" s="2">
        <v>151</v>
      </c>
      <c r="U199" s="2" t="s">
        <v>122</v>
      </c>
      <c r="V199" s="2" t="s">
        <v>108</v>
      </c>
      <c r="W199" s="2">
        <v>3</v>
      </c>
      <c r="X199" s="2">
        <v>1.7</v>
      </c>
    </row>
    <row r="200" spans="1:24" ht="15" customHeight="1">
      <c r="A200" s="2" t="s">
        <v>807</v>
      </c>
      <c r="B200" s="2" t="s">
        <v>808</v>
      </c>
      <c r="C200" s="2">
        <v>41</v>
      </c>
      <c r="D200" s="2" t="s">
        <v>118</v>
      </c>
      <c r="E200" s="2" t="s">
        <v>769</v>
      </c>
      <c r="F200" s="2" t="s">
        <v>120</v>
      </c>
      <c r="G200" s="2" t="s">
        <v>162</v>
      </c>
      <c r="H200" s="2" t="s">
        <v>79</v>
      </c>
      <c r="I200" s="2" t="s">
        <v>809</v>
      </c>
      <c r="J200" s="2" t="s">
        <v>34</v>
      </c>
      <c r="K200" s="2" t="s">
        <v>67</v>
      </c>
      <c r="L200" s="2" t="s">
        <v>68</v>
      </c>
      <c r="M200" s="2" t="s">
        <v>35</v>
      </c>
      <c r="N200" s="2" t="s">
        <v>60</v>
      </c>
      <c r="O200" s="2">
        <v>6047.48</v>
      </c>
      <c r="P200" s="2">
        <v>58</v>
      </c>
      <c r="Q200" s="2">
        <v>35623.83</v>
      </c>
      <c r="R200" s="2" t="s">
        <v>158</v>
      </c>
      <c r="S200" s="2">
        <v>787</v>
      </c>
      <c r="T200" s="2">
        <v>52</v>
      </c>
      <c r="U200" s="2" t="s">
        <v>122</v>
      </c>
      <c r="V200" s="2" t="s">
        <v>73</v>
      </c>
      <c r="W200" s="2">
        <v>2</v>
      </c>
      <c r="X200" s="2">
        <v>8.5</v>
      </c>
    </row>
    <row r="201" spans="1:24" ht="15" customHeight="1">
      <c r="A201" s="2" t="s">
        <v>810</v>
      </c>
      <c r="B201" s="2" t="s">
        <v>811</v>
      </c>
      <c r="C201" s="2">
        <v>0</v>
      </c>
      <c r="D201" s="2" t="s">
        <v>171</v>
      </c>
      <c r="E201" s="2" t="s">
        <v>812</v>
      </c>
      <c r="F201" s="2" t="s">
        <v>77</v>
      </c>
      <c r="G201" s="2" t="s">
        <v>96</v>
      </c>
      <c r="H201" s="2" t="s">
        <v>58</v>
      </c>
      <c r="I201" s="2" t="s">
        <v>813</v>
      </c>
      <c r="J201" s="2" t="s">
        <v>90</v>
      </c>
      <c r="K201" s="2" t="s">
        <v>106</v>
      </c>
      <c r="L201" s="2" t="s">
        <v>50</v>
      </c>
      <c r="M201" s="2" t="s">
        <v>51</v>
      </c>
      <c r="N201" s="2" t="s">
        <v>36</v>
      </c>
      <c r="O201" s="2">
        <v>57475.69</v>
      </c>
      <c r="P201" s="2">
        <v>45.5</v>
      </c>
      <c r="Q201" s="2">
        <v>13156.57</v>
      </c>
      <c r="R201" s="2" t="s">
        <v>148</v>
      </c>
      <c r="S201" s="2">
        <v>583</v>
      </c>
      <c r="T201" s="2">
        <v>28</v>
      </c>
      <c r="U201" s="2" t="s">
        <v>98</v>
      </c>
      <c r="V201" s="2" t="s">
        <v>39</v>
      </c>
      <c r="W201" s="2">
        <v>2</v>
      </c>
      <c r="X201" s="2">
        <v>6.2</v>
      </c>
    </row>
    <row r="202" spans="1:24" ht="15" customHeight="1">
      <c r="A202" s="2" t="s">
        <v>814</v>
      </c>
      <c r="B202" s="2" t="s">
        <v>815</v>
      </c>
      <c r="C202" s="2">
        <v>24</v>
      </c>
      <c r="D202" s="2" t="s">
        <v>118</v>
      </c>
      <c r="E202" s="2" t="s">
        <v>816</v>
      </c>
      <c r="F202" s="2" t="s">
        <v>120</v>
      </c>
      <c r="G202" s="2" t="s">
        <v>45</v>
      </c>
      <c r="H202" s="2" t="s">
        <v>245</v>
      </c>
      <c r="I202" s="2" t="s">
        <v>817</v>
      </c>
      <c r="J202" s="2" t="s">
        <v>34</v>
      </c>
      <c r="K202" s="2" t="s">
        <v>67</v>
      </c>
      <c r="L202" s="2" t="s">
        <v>68</v>
      </c>
      <c r="M202" s="2" t="s">
        <v>51</v>
      </c>
      <c r="N202" s="2" t="s">
        <v>60</v>
      </c>
      <c r="O202" s="2">
        <v>15274.63</v>
      </c>
      <c r="P202" s="2">
        <v>38.4</v>
      </c>
      <c r="Q202" s="2">
        <v>34785.71</v>
      </c>
      <c r="R202" s="2" t="s">
        <v>138</v>
      </c>
      <c r="S202" s="2">
        <v>633</v>
      </c>
      <c r="T202" s="2">
        <v>28</v>
      </c>
      <c r="U202" s="2" t="s">
        <v>39</v>
      </c>
      <c r="V202" s="2" t="s">
        <v>83</v>
      </c>
      <c r="W202" s="2">
        <v>4</v>
      </c>
      <c r="X202" s="2">
        <v>7.9</v>
      </c>
    </row>
    <row r="203" spans="1:24" ht="15" customHeight="1">
      <c r="A203" s="2" t="s">
        <v>818</v>
      </c>
      <c r="B203" s="2" t="s">
        <v>819</v>
      </c>
      <c r="C203" s="2">
        <v>36</v>
      </c>
      <c r="D203" s="2" t="s">
        <v>188</v>
      </c>
      <c r="E203" s="2" t="s">
        <v>820</v>
      </c>
      <c r="F203" s="2" t="s">
        <v>57</v>
      </c>
      <c r="G203" s="2" t="s">
        <v>78</v>
      </c>
      <c r="H203" s="2" t="s">
        <v>32</v>
      </c>
      <c r="I203" s="2" t="s">
        <v>821</v>
      </c>
      <c r="J203" s="2" t="s">
        <v>34</v>
      </c>
      <c r="K203" s="2" t="s">
        <v>67</v>
      </c>
      <c r="L203" s="2" t="s">
        <v>68</v>
      </c>
      <c r="M203" s="2" t="s">
        <v>51</v>
      </c>
      <c r="N203" s="2" t="s">
        <v>70</v>
      </c>
      <c r="O203" s="2">
        <v>146455.6</v>
      </c>
      <c r="P203" s="2">
        <v>14.5</v>
      </c>
      <c r="Q203" s="2">
        <v>41532.629999999997</v>
      </c>
      <c r="R203" s="2" t="s">
        <v>61</v>
      </c>
      <c r="S203" s="2">
        <v>439</v>
      </c>
      <c r="T203" s="2">
        <v>119</v>
      </c>
      <c r="U203" s="2" t="s">
        <v>73</v>
      </c>
      <c r="V203" s="2" t="s">
        <v>122</v>
      </c>
      <c r="W203" s="2">
        <v>2</v>
      </c>
      <c r="X203" s="2">
        <v>8</v>
      </c>
    </row>
    <row r="204" spans="1:24" ht="15" customHeight="1">
      <c r="A204" s="2" t="s">
        <v>822</v>
      </c>
      <c r="B204" s="2" t="s">
        <v>823</v>
      </c>
      <c r="C204" s="2">
        <v>45</v>
      </c>
      <c r="D204" s="2" t="s">
        <v>55</v>
      </c>
      <c r="E204" s="2" t="s">
        <v>307</v>
      </c>
      <c r="F204" s="2" t="s">
        <v>167</v>
      </c>
      <c r="G204" s="2" t="s">
        <v>31</v>
      </c>
      <c r="H204" s="2" t="s">
        <v>58</v>
      </c>
      <c r="I204" s="2" t="s">
        <v>824</v>
      </c>
      <c r="J204" s="2" t="s">
        <v>81</v>
      </c>
      <c r="K204" s="2" t="s">
        <v>67</v>
      </c>
      <c r="L204" s="2" t="s">
        <v>68</v>
      </c>
      <c r="M204" s="2" t="s">
        <v>51</v>
      </c>
      <c r="N204" s="2" t="s">
        <v>60</v>
      </c>
      <c r="O204" s="2">
        <v>110852.57</v>
      </c>
      <c r="P204" s="2">
        <v>23.5</v>
      </c>
      <c r="Q204" s="2">
        <v>19637.759999999998</v>
      </c>
      <c r="R204" s="2" t="s">
        <v>148</v>
      </c>
      <c r="S204" s="2">
        <v>452</v>
      </c>
      <c r="T204" s="2">
        <v>1</v>
      </c>
      <c r="U204" s="2" t="s">
        <v>72</v>
      </c>
      <c r="V204" s="2" t="s">
        <v>98</v>
      </c>
      <c r="W204" s="2">
        <v>5</v>
      </c>
      <c r="X204" s="2">
        <v>0.8</v>
      </c>
    </row>
    <row r="205" spans="1:24" ht="15" customHeight="1">
      <c r="A205" s="2" t="s">
        <v>825</v>
      </c>
      <c r="B205" s="2" t="s">
        <v>826</v>
      </c>
      <c r="C205" s="2">
        <v>12</v>
      </c>
      <c r="D205" s="2" t="s">
        <v>177</v>
      </c>
      <c r="E205" s="2" t="s">
        <v>589</v>
      </c>
      <c r="F205" s="2" t="s">
        <v>184</v>
      </c>
      <c r="G205" s="2" t="s">
        <v>162</v>
      </c>
      <c r="H205" s="2" t="s">
        <v>58</v>
      </c>
      <c r="I205" s="2" t="s">
        <v>827</v>
      </c>
      <c r="J205" s="2" t="s">
        <v>34</v>
      </c>
      <c r="K205" s="2" t="s">
        <v>49</v>
      </c>
      <c r="L205" s="2" t="s">
        <v>50</v>
      </c>
      <c r="M205" s="2" t="s">
        <v>69</v>
      </c>
      <c r="N205" s="2" t="s">
        <v>70</v>
      </c>
      <c r="O205" s="2">
        <v>102010.16</v>
      </c>
      <c r="P205" s="2">
        <v>39.4</v>
      </c>
      <c r="Q205" s="2">
        <v>34222.85</v>
      </c>
      <c r="R205" s="2" t="s">
        <v>82</v>
      </c>
      <c r="S205" s="2">
        <v>765</v>
      </c>
      <c r="T205" s="2">
        <v>35</v>
      </c>
      <c r="U205" s="2" t="s">
        <v>39</v>
      </c>
      <c r="V205" s="2" t="s">
        <v>73</v>
      </c>
      <c r="W205" s="2">
        <v>1</v>
      </c>
      <c r="X205" s="2">
        <v>7.8</v>
      </c>
    </row>
    <row r="206" spans="1:24" ht="15" customHeight="1">
      <c r="A206" s="2" t="s">
        <v>828</v>
      </c>
      <c r="B206" s="2" t="s">
        <v>829</v>
      </c>
      <c r="C206" s="2">
        <v>27</v>
      </c>
      <c r="D206" s="2" t="s">
        <v>86</v>
      </c>
      <c r="E206" s="2" t="s">
        <v>830</v>
      </c>
      <c r="F206" s="2" t="s">
        <v>77</v>
      </c>
      <c r="G206" s="2" t="s">
        <v>78</v>
      </c>
      <c r="H206" s="2" t="s">
        <v>65</v>
      </c>
      <c r="I206" s="2" t="s">
        <v>163</v>
      </c>
      <c r="J206" s="2" t="s">
        <v>81</v>
      </c>
      <c r="K206" s="2" t="s">
        <v>67</v>
      </c>
      <c r="L206" s="2" t="s">
        <v>68</v>
      </c>
      <c r="M206" s="2" t="s">
        <v>51</v>
      </c>
      <c r="N206" s="2" t="s">
        <v>60</v>
      </c>
      <c r="O206" s="2">
        <v>21090.15</v>
      </c>
      <c r="P206" s="2">
        <v>51.4</v>
      </c>
      <c r="Q206" s="2">
        <v>21934.27</v>
      </c>
      <c r="R206" s="2" t="s">
        <v>71</v>
      </c>
      <c r="S206" s="2">
        <v>874</v>
      </c>
      <c r="T206" s="2">
        <v>52</v>
      </c>
      <c r="U206" s="2" t="s">
        <v>122</v>
      </c>
      <c r="V206" s="2" t="s">
        <v>108</v>
      </c>
      <c r="W206" s="2">
        <v>4</v>
      </c>
      <c r="X206" s="2">
        <v>6.8</v>
      </c>
    </row>
    <row r="207" spans="1:24" ht="15" customHeight="1">
      <c r="A207" s="2" t="s">
        <v>831</v>
      </c>
      <c r="B207" s="2" t="s">
        <v>832</v>
      </c>
      <c r="C207" s="2">
        <v>19</v>
      </c>
      <c r="D207" s="2" t="s">
        <v>86</v>
      </c>
      <c r="E207" s="2" t="s">
        <v>833</v>
      </c>
      <c r="F207" s="2" t="s">
        <v>77</v>
      </c>
      <c r="G207" s="2" t="s">
        <v>179</v>
      </c>
      <c r="H207" s="2" t="s">
        <v>126</v>
      </c>
      <c r="I207" s="2" t="s">
        <v>834</v>
      </c>
      <c r="J207" s="2" t="s">
        <v>113</v>
      </c>
      <c r="K207" s="2" t="s">
        <v>147</v>
      </c>
      <c r="L207" s="2" t="s">
        <v>115</v>
      </c>
      <c r="M207" s="2" t="s">
        <v>51</v>
      </c>
      <c r="N207" s="2" t="s">
        <v>60</v>
      </c>
      <c r="O207" s="2">
        <v>73173.759999999995</v>
      </c>
      <c r="P207" s="2">
        <v>66.900000000000006</v>
      </c>
      <c r="Q207" s="2">
        <v>53967.07</v>
      </c>
      <c r="R207" s="2" t="s">
        <v>129</v>
      </c>
      <c r="S207" s="2">
        <v>676</v>
      </c>
      <c r="T207" s="2">
        <v>177</v>
      </c>
      <c r="U207" s="2" t="s">
        <v>83</v>
      </c>
      <c r="V207" s="2" t="s">
        <v>72</v>
      </c>
      <c r="W207" s="2">
        <v>1</v>
      </c>
      <c r="X207" s="2">
        <v>3.8</v>
      </c>
    </row>
    <row r="208" spans="1:24" ht="15" customHeight="1">
      <c r="A208" s="2" t="s">
        <v>835</v>
      </c>
      <c r="B208" s="2" t="s">
        <v>836</v>
      </c>
      <c r="C208" s="2">
        <v>10</v>
      </c>
      <c r="D208" s="2" t="s">
        <v>101</v>
      </c>
      <c r="E208" s="2" t="s">
        <v>410</v>
      </c>
      <c r="F208" s="2" t="s">
        <v>57</v>
      </c>
      <c r="G208" s="2" t="s">
        <v>45</v>
      </c>
      <c r="H208" s="2" t="s">
        <v>79</v>
      </c>
      <c r="I208" s="2" t="s">
        <v>331</v>
      </c>
      <c r="J208" s="2" t="s">
        <v>128</v>
      </c>
      <c r="K208" s="2" t="s">
        <v>49</v>
      </c>
      <c r="L208" s="2" t="s">
        <v>50</v>
      </c>
      <c r="M208" s="2" t="s">
        <v>51</v>
      </c>
      <c r="N208" s="2" t="s">
        <v>60</v>
      </c>
      <c r="O208" s="2">
        <v>73716.210000000006</v>
      </c>
      <c r="P208" s="2">
        <v>60.3</v>
      </c>
      <c r="Q208" s="2">
        <v>1288.94</v>
      </c>
      <c r="R208" s="2" t="s">
        <v>71</v>
      </c>
      <c r="S208" s="2">
        <v>322</v>
      </c>
      <c r="T208" s="2">
        <v>59</v>
      </c>
      <c r="U208" s="2" t="s">
        <v>73</v>
      </c>
      <c r="V208" s="2" t="s">
        <v>38</v>
      </c>
      <c r="W208" s="2">
        <v>4</v>
      </c>
      <c r="X208" s="2">
        <v>5.5</v>
      </c>
    </row>
    <row r="209" spans="1:24" ht="15" customHeight="1">
      <c r="A209" s="2" t="s">
        <v>837</v>
      </c>
      <c r="B209" s="2" t="s">
        <v>838</v>
      </c>
      <c r="C209" s="2">
        <v>34</v>
      </c>
      <c r="D209" s="2" t="s">
        <v>42</v>
      </c>
      <c r="E209" s="2" t="s">
        <v>839</v>
      </c>
      <c r="F209" s="2" t="s">
        <v>77</v>
      </c>
      <c r="G209" s="2" t="s">
        <v>217</v>
      </c>
      <c r="H209" s="2" t="s">
        <v>126</v>
      </c>
      <c r="I209" s="2" t="s">
        <v>840</v>
      </c>
      <c r="J209" s="2" t="s">
        <v>90</v>
      </c>
      <c r="K209" s="2" t="s">
        <v>67</v>
      </c>
      <c r="L209" s="2" t="s">
        <v>68</v>
      </c>
      <c r="M209" s="2" t="s">
        <v>35</v>
      </c>
      <c r="N209" s="2" t="s">
        <v>60</v>
      </c>
      <c r="O209" s="2">
        <v>94701.38</v>
      </c>
      <c r="P209" s="2">
        <v>45.1</v>
      </c>
      <c r="Q209" s="2">
        <v>10936.83</v>
      </c>
      <c r="R209" s="2" t="s">
        <v>52</v>
      </c>
      <c r="S209" s="2">
        <v>465</v>
      </c>
      <c r="T209" s="2">
        <v>10</v>
      </c>
      <c r="U209" s="2" t="s">
        <v>39</v>
      </c>
      <c r="V209" s="2" t="s">
        <v>38</v>
      </c>
      <c r="W209" s="2">
        <v>3</v>
      </c>
      <c r="X209" s="2">
        <v>2.1</v>
      </c>
    </row>
    <row r="210" spans="1:24" ht="15" customHeight="1">
      <c r="A210" s="2" t="s">
        <v>841</v>
      </c>
      <c r="B210" s="2" t="s">
        <v>842</v>
      </c>
      <c r="C210" s="2">
        <v>150</v>
      </c>
      <c r="D210" s="2" t="s">
        <v>28</v>
      </c>
      <c r="E210" s="2" t="s">
        <v>315</v>
      </c>
      <c r="F210" s="2" t="s">
        <v>184</v>
      </c>
      <c r="G210" s="2" t="s">
        <v>217</v>
      </c>
      <c r="H210" s="2" t="s">
        <v>46</v>
      </c>
      <c r="I210" s="2" t="s">
        <v>843</v>
      </c>
      <c r="J210" s="2" t="s">
        <v>113</v>
      </c>
      <c r="K210" s="2" t="s">
        <v>67</v>
      </c>
      <c r="L210" s="2" t="s">
        <v>68</v>
      </c>
      <c r="M210" s="2" t="s">
        <v>51</v>
      </c>
      <c r="N210" s="2" t="s">
        <v>70</v>
      </c>
      <c r="O210" s="2">
        <v>27627.72</v>
      </c>
      <c r="P210" s="2">
        <v>46</v>
      </c>
      <c r="Q210" s="2">
        <v>30444.54</v>
      </c>
      <c r="R210" s="2" t="s">
        <v>37</v>
      </c>
      <c r="S210" s="2">
        <v>785</v>
      </c>
      <c r="T210" s="2">
        <v>193</v>
      </c>
      <c r="U210" s="2" t="s">
        <v>98</v>
      </c>
      <c r="V210" s="2" t="s">
        <v>72</v>
      </c>
      <c r="W210" s="2">
        <v>4</v>
      </c>
      <c r="X210" s="2">
        <v>8.1999999999999993</v>
      </c>
    </row>
    <row r="211" spans="1:24" ht="15" customHeight="1">
      <c r="A211" s="2" t="s">
        <v>844</v>
      </c>
      <c r="B211" s="2" t="s">
        <v>845</v>
      </c>
      <c r="C211" s="2">
        <v>25</v>
      </c>
      <c r="D211" s="2" t="s">
        <v>118</v>
      </c>
      <c r="E211" s="2" t="s">
        <v>202</v>
      </c>
      <c r="F211" s="2" t="s">
        <v>167</v>
      </c>
      <c r="G211" s="2" t="s">
        <v>45</v>
      </c>
      <c r="H211" s="2" t="s">
        <v>173</v>
      </c>
      <c r="I211" s="2" t="s">
        <v>846</v>
      </c>
      <c r="J211" s="2" t="s">
        <v>81</v>
      </c>
      <c r="K211" s="2" t="s">
        <v>67</v>
      </c>
      <c r="L211" s="2" t="s">
        <v>68</v>
      </c>
      <c r="M211" s="2" t="s">
        <v>51</v>
      </c>
      <c r="N211" s="2" t="s">
        <v>70</v>
      </c>
      <c r="O211" s="2">
        <v>33378.769999999997</v>
      </c>
      <c r="P211" s="2">
        <v>68.7</v>
      </c>
      <c r="Q211" s="2">
        <v>40623.800000000003</v>
      </c>
      <c r="R211" s="2" t="s">
        <v>97</v>
      </c>
      <c r="S211" s="2">
        <v>499</v>
      </c>
      <c r="T211" s="2">
        <v>154</v>
      </c>
      <c r="U211" s="2" t="s">
        <v>122</v>
      </c>
      <c r="V211" s="2" t="s">
        <v>39</v>
      </c>
      <c r="W211" s="2">
        <v>4</v>
      </c>
      <c r="X211" s="2">
        <v>3.6</v>
      </c>
    </row>
    <row r="212" spans="1:24" ht="15" customHeight="1">
      <c r="A212" s="2" t="s">
        <v>847</v>
      </c>
      <c r="B212" s="2" t="s">
        <v>848</v>
      </c>
      <c r="C212" s="2">
        <v>28</v>
      </c>
      <c r="D212" s="2" t="s">
        <v>177</v>
      </c>
      <c r="E212" s="2" t="s">
        <v>849</v>
      </c>
      <c r="F212" s="2" t="s">
        <v>30</v>
      </c>
      <c r="G212" s="2" t="s">
        <v>78</v>
      </c>
      <c r="H212" s="2" t="s">
        <v>152</v>
      </c>
      <c r="I212" s="2" t="s">
        <v>850</v>
      </c>
      <c r="J212" s="2" t="s">
        <v>48</v>
      </c>
      <c r="K212" s="2" t="s">
        <v>67</v>
      </c>
      <c r="L212" s="2" t="s">
        <v>68</v>
      </c>
      <c r="M212" s="2" t="s">
        <v>51</v>
      </c>
      <c r="N212" s="2" t="s">
        <v>70</v>
      </c>
      <c r="O212" s="2">
        <v>25237.31</v>
      </c>
      <c r="P212" s="2">
        <v>11.5</v>
      </c>
      <c r="Q212" s="2">
        <v>12467.03</v>
      </c>
      <c r="R212" s="2" t="s">
        <v>129</v>
      </c>
      <c r="S212" s="2">
        <v>643</v>
      </c>
      <c r="T212" s="2">
        <v>151</v>
      </c>
      <c r="U212" s="2" t="s">
        <v>72</v>
      </c>
      <c r="V212" s="2" t="s">
        <v>98</v>
      </c>
      <c r="W212" s="2">
        <v>3</v>
      </c>
      <c r="X212" s="2">
        <v>4</v>
      </c>
    </row>
    <row r="213" spans="1:24" ht="15" customHeight="1">
      <c r="A213" s="2" t="s">
        <v>851</v>
      </c>
      <c r="B213" s="2" t="s">
        <v>852</v>
      </c>
      <c r="C213" s="2">
        <v>14</v>
      </c>
      <c r="D213" s="2" t="s">
        <v>101</v>
      </c>
      <c r="E213" s="2" t="s">
        <v>853</v>
      </c>
      <c r="F213" s="2" t="s">
        <v>77</v>
      </c>
      <c r="G213" s="2" t="s">
        <v>45</v>
      </c>
      <c r="H213" s="2" t="s">
        <v>245</v>
      </c>
      <c r="I213" s="2" t="s">
        <v>854</v>
      </c>
      <c r="J213" s="2" t="s">
        <v>81</v>
      </c>
      <c r="K213" s="2" t="s">
        <v>114</v>
      </c>
      <c r="L213" s="2" t="s">
        <v>115</v>
      </c>
      <c r="M213" s="2" t="s">
        <v>51</v>
      </c>
      <c r="N213" s="2" t="s">
        <v>60</v>
      </c>
      <c r="O213" s="2">
        <v>27333.48</v>
      </c>
      <c r="P213" s="2">
        <v>53</v>
      </c>
      <c r="Q213" s="2">
        <v>38193.65</v>
      </c>
      <c r="R213" s="2" t="s">
        <v>61</v>
      </c>
      <c r="S213" s="2">
        <v>727</v>
      </c>
      <c r="T213" s="2">
        <v>176</v>
      </c>
      <c r="U213" s="2" t="s">
        <v>108</v>
      </c>
      <c r="V213" s="2" t="s">
        <v>122</v>
      </c>
      <c r="W213" s="2">
        <v>4</v>
      </c>
      <c r="X213" s="2">
        <v>9</v>
      </c>
    </row>
    <row r="214" spans="1:24" ht="15" customHeight="1">
      <c r="A214" s="2" t="s">
        <v>855</v>
      </c>
      <c r="B214" s="2" t="s">
        <v>856</v>
      </c>
      <c r="C214" s="2">
        <v>43</v>
      </c>
      <c r="D214" s="2" t="s">
        <v>171</v>
      </c>
      <c r="E214" s="2" t="s">
        <v>253</v>
      </c>
      <c r="F214" s="2" t="s">
        <v>77</v>
      </c>
      <c r="G214" s="2" t="s">
        <v>45</v>
      </c>
      <c r="H214" s="2" t="s">
        <v>65</v>
      </c>
      <c r="I214" s="2" t="s">
        <v>80</v>
      </c>
      <c r="J214" s="2" t="s">
        <v>128</v>
      </c>
      <c r="K214" s="2" t="s">
        <v>67</v>
      </c>
      <c r="L214" s="2" t="s">
        <v>68</v>
      </c>
      <c r="M214" s="2" t="s">
        <v>0</v>
      </c>
      <c r="N214" s="2" t="s">
        <v>70</v>
      </c>
      <c r="O214" s="2">
        <v>71851.38</v>
      </c>
      <c r="P214" s="2">
        <v>31.8</v>
      </c>
      <c r="Q214" s="2">
        <v>3173.3</v>
      </c>
      <c r="R214" s="2" t="s">
        <v>158</v>
      </c>
      <c r="S214" s="2">
        <v>664</v>
      </c>
      <c r="T214" s="2">
        <v>74</v>
      </c>
      <c r="U214" s="2" t="s">
        <v>83</v>
      </c>
      <c r="V214" s="2" t="s">
        <v>108</v>
      </c>
      <c r="W214" s="2">
        <v>5</v>
      </c>
      <c r="X214" s="2">
        <v>6.9</v>
      </c>
    </row>
    <row r="215" spans="1:24" ht="15" customHeight="1">
      <c r="A215" s="2" t="s">
        <v>857</v>
      </c>
      <c r="B215" s="2" t="s">
        <v>858</v>
      </c>
      <c r="C215" s="2">
        <v>25</v>
      </c>
      <c r="D215" s="2" t="s">
        <v>42</v>
      </c>
      <c r="E215" s="2" t="s">
        <v>859</v>
      </c>
      <c r="F215" s="2" t="s">
        <v>120</v>
      </c>
      <c r="G215" s="2" t="s">
        <v>96</v>
      </c>
      <c r="H215" s="2" t="s">
        <v>79</v>
      </c>
      <c r="I215" s="2" t="s">
        <v>860</v>
      </c>
      <c r="J215" s="2" t="s">
        <v>128</v>
      </c>
      <c r="K215" s="2" t="s">
        <v>67</v>
      </c>
      <c r="L215" s="2" t="s">
        <v>68</v>
      </c>
      <c r="M215" s="2" t="s">
        <v>51</v>
      </c>
      <c r="N215" s="2" t="s">
        <v>60</v>
      </c>
      <c r="O215" s="2">
        <v>19850.59</v>
      </c>
      <c r="P215" s="2">
        <v>21.6</v>
      </c>
      <c r="Q215" s="2">
        <v>11305.01</v>
      </c>
      <c r="R215" s="2"/>
      <c r="S215" s="2">
        <v>838</v>
      </c>
      <c r="T215" s="2">
        <v>182</v>
      </c>
      <c r="U215" s="2" t="s">
        <v>98</v>
      </c>
      <c r="V215" s="2" t="s">
        <v>72</v>
      </c>
      <c r="W215" s="2">
        <v>1</v>
      </c>
      <c r="X215" s="2">
        <v>7.5</v>
      </c>
    </row>
    <row r="216" spans="1:24" ht="15" customHeight="1">
      <c r="A216" s="2" t="s">
        <v>861</v>
      </c>
      <c r="B216" s="2" t="s">
        <v>862</v>
      </c>
      <c r="C216" s="2">
        <v>25</v>
      </c>
      <c r="D216" s="2" t="s">
        <v>28</v>
      </c>
      <c r="E216" s="2" t="s">
        <v>151</v>
      </c>
      <c r="F216" s="2" t="s">
        <v>120</v>
      </c>
      <c r="G216" s="2" t="s">
        <v>96</v>
      </c>
      <c r="H216" s="2" t="s">
        <v>79</v>
      </c>
      <c r="I216" s="2" t="s">
        <v>380</v>
      </c>
      <c r="J216" s="2" t="s">
        <v>34</v>
      </c>
      <c r="K216" s="2" t="s">
        <v>67</v>
      </c>
      <c r="L216" s="2" t="s">
        <v>68</v>
      </c>
      <c r="M216" s="2" t="s">
        <v>35</v>
      </c>
      <c r="N216" s="2" t="s">
        <v>36</v>
      </c>
      <c r="O216" s="2">
        <v>37853.29</v>
      </c>
      <c r="P216" s="2">
        <v>14.8</v>
      </c>
      <c r="Q216" s="2">
        <v>4716.3</v>
      </c>
      <c r="R216" s="2" t="s">
        <v>82</v>
      </c>
      <c r="S216" s="2" t="s">
        <v>195</v>
      </c>
      <c r="T216" s="2">
        <v>123</v>
      </c>
      <c r="U216" s="2" t="s">
        <v>72</v>
      </c>
      <c r="V216" s="2" t="s">
        <v>108</v>
      </c>
      <c r="W216" s="2">
        <v>1</v>
      </c>
      <c r="X216" s="2">
        <v>7.2</v>
      </c>
    </row>
    <row r="217" spans="1:24" ht="15" customHeight="1">
      <c r="A217" s="2" t="s">
        <v>863</v>
      </c>
      <c r="B217" s="2" t="s">
        <v>864</v>
      </c>
      <c r="C217" s="2">
        <v>13</v>
      </c>
      <c r="D217" s="2" t="s">
        <v>188</v>
      </c>
      <c r="E217" s="2" t="s">
        <v>865</v>
      </c>
      <c r="F217" s="2" t="s">
        <v>44</v>
      </c>
      <c r="G217" s="2" t="s">
        <v>31</v>
      </c>
      <c r="H217" s="2" t="s">
        <v>65</v>
      </c>
      <c r="I217" s="2" t="s">
        <v>866</v>
      </c>
      <c r="J217" s="2" t="s">
        <v>34</v>
      </c>
      <c r="K217" s="2" t="s">
        <v>49</v>
      </c>
      <c r="L217" s="2" t="s">
        <v>50</v>
      </c>
      <c r="M217" s="2" t="s">
        <v>69</v>
      </c>
      <c r="N217" s="2" t="s">
        <v>60</v>
      </c>
      <c r="O217" s="2">
        <v>127649.92</v>
      </c>
      <c r="P217" s="2">
        <v>76.2</v>
      </c>
      <c r="Q217" s="2">
        <v>20870.189999999999</v>
      </c>
      <c r="R217" s="2" t="s">
        <v>52</v>
      </c>
      <c r="S217" s="2">
        <v>817</v>
      </c>
      <c r="T217" s="2">
        <v>25</v>
      </c>
      <c r="U217" s="2" t="s">
        <v>83</v>
      </c>
      <c r="V217" s="2" t="s">
        <v>122</v>
      </c>
      <c r="W217" s="2">
        <v>2</v>
      </c>
      <c r="X217" s="2">
        <v>8.1999999999999993</v>
      </c>
    </row>
    <row r="218" spans="1:24" ht="15" customHeight="1">
      <c r="A218" s="2" t="s">
        <v>867</v>
      </c>
      <c r="B218" s="2" t="s">
        <v>868</v>
      </c>
      <c r="C218" s="2">
        <v>12</v>
      </c>
      <c r="D218" s="2" t="s">
        <v>55</v>
      </c>
      <c r="E218" s="2" t="s">
        <v>119</v>
      </c>
      <c r="F218" s="2" t="s">
        <v>103</v>
      </c>
      <c r="G218" s="2" t="s">
        <v>96</v>
      </c>
      <c r="H218" s="2" t="s">
        <v>32</v>
      </c>
      <c r="I218" s="2" t="s">
        <v>271</v>
      </c>
      <c r="J218" s="2" t="s">
        <v>34</v>
      </c>
      <c r="K218" s="2" t="s">
        <v>49</v>
      </c>
      <c r="L218" s="2" t="s">
        <v>50</v>
      </c>
      <c r="M218" s="2" t="s">
        <v>51</v>
      </c>
      <c r="N218" s="2" t="s">
        <v>70</v>
      </c>
      <c r="O218" s="2">
        <v>36069.730000000003</v>
      </c>
      <c r="P218" s="2">
        <v>13.5</v>
      </c>
      <c r="Q218" s="2">
        <v>59076.77</v>
      </c>
      <c r="R218" s="2" t="s">
        <v>97</v>
      </c>
      <c r="S218" s="2">
        <v>412</v>
      </c>
      <c r="T218" s="2">
        <v>126</v>
      </c>
      <c r="U218" s="2" t="s">
        <v>38</v>
      </c>
      <c r="V218" s="2" t="s">
        <v>108</v>
      </c>
      <c r="W218" s="2">
        <v>3</v>
      </c>
      <c r="X218" s="2">
        <v>4.7</v>
      </c>
    </row>
    <row r="219" spans="1:24" ht="15" customHeight="1">
      <c r="A219" s="2" t="s">
        <v>869</v>
      </c>
      <c r="B219" s="2" t="s">
        <v>870</v>
      </c>
      <c r="C219" s="2">
        <v>25</v>
      </c>
      <c r="D219" s="2" t="s">
        <v>28</v>
      </c>
      <c r="E219" s="2" t="s">
        <v>765</v>
      </c>
      <c r="F219" s="2" t="s">
        <v>77</v>
      </c>
      <c r="G219" s="2" t="s">
        <v>179</v>
      </c>
      <c r="H219" s="2" t="s">
        <v>104</v>
      </c>
      <c r="I219" s="2" t="s">
        <v>871</v>
      </c>
      <c r="J219" s="2" t="s">
        <v>34</v>
      </c>
      <c r="K219" s="2" t="s">
        <v>67</v>
      </c>
      <c r="L219" s="2" t="s">
        <v>68</v>
      </c>
      <c r="M219" s="2" t="s">
        <v>35</v>
      </c>
      <c r="N219" s="2" t="s">
        <v>36</v>
      </c>
      <c r="O219" s="2">
        <v>20249.919999999998</v>
      </c>
      <c r="P219" s="2">
        <v>54.4</v>
      </c>
      <c r="Q219" s="2">
        <v>5100.3500000000004</v>
      </c>
      <c r="R219" s="2" t="s">
        <v>97</v>
      </c>
      <c r="S219" s="2">
        <v>710</v>
      </c>
      <c r="T219" s="2">
        <v>26</v>
      </c>
      <c r="U219" s="2" t="s">
        <v>108</v>
      </c>
      <c r="V219" s="2" t="s">
        <v>39</v>
      </c>
      <c r="W219" s="2">
        <v>3</v>
      </c>
      <c r="X219" s="2">
        <v>2.2000000000000002</v>
      </c>
    </row>
    <row r="220" spans="1:24" ht="15" customHeight="1">
      <c r="A220" s="2" t="s">
        <v>872</v>
      </c>
      <c r="B220" s="2" t="s">
        <v>873</v>
      </c>
      <c r="C220" s="2">
        <v>20</v>
      </c>
      <c r="D220" s="2" t="s">
        <v>177</v>
      </c>
      <c r="E220" s="2" t="s">
        <v>874</v>
      </c>
      <c r="F220" s="2" t="s">
        <v>120</v>
      </c>
      <c r="G220" s="2" t="s">
        <v>190</v>
      </c>
      <c r="H220" s="2" t="s">
        <v>58</v>
      </c>
      <c r="I220" s="2" t="s">
        <v>875</v>
      </c>
      <c r="J220" s="2" t="s">
        <v>113</v>
      </c>
      <c r="K220" s="2" t="s">
        <v>67</v>
      </c>
      <c r="L220" s="2" t="s">
        <v>68</v>
      </c>
      <c r="M220" s="2" t="s">
        <v>51</v>
      </c>
      <c r="N220" s="2" t="s">
        <v>70</v>
      </c>
      <c r="O220" s="2">
        <v>20665.32</v>
      </c>
      <c r="P220" s="2">
        <v>42.3</v>
      </c>
      <c r="Q220" s="2">
        <v>37702.26</v>
      </c>
      <c r="R220" s="2" t="s">
        <v>71</v>
      </c>
      <c r="S220" s="2">
        <v>401</v>
      </c>
      <c r="T220" s="2">
        <v>17</v>
      </c>
      <c r="U220" s="2" t="s">
        <v>72</v>
      </c>
      <c r="V220" s="2" t="s">
        <v>98</v>
      </c>
      <c r="W220" s="2">
        <v>5</v>
      </c>
      <c r="X220" s="2">
        <v>6.3</v>
      </c>
    </row>
    <row r="221" spans="1:24" ht="15" customHeight="1">
      <c r="A221" s="2" t="s">
        <v>876</v>
      </c>
      <c r="B221" s="2" t="s">
        <v>877</v>
      </c>
      <c r="C221" s="2">
        <v>12</v>
      </c>
      <c r="D221" s="2" t="s">
        <v>55</v>
      </c>
      <c r="E221" s="2" t="s">
        <v>878</v>
      </c>
      <c r="F221" s="2" t="s">
        <v>103</v>
      </c>
      <c r="G221" s="2" t="s">
        <v>78</v>
      </c>
      <c r="H221" s="2" t="s">
        <v>126</v>
      </c>
      <c r="I221" s="2" t="s">
        <v>879</v>
      </c>
      <c r="J221" s="2" t="s">
        <v>81</v>
      </c>
      <c r="K221" s="2" t="s">
        <v>49</v>
      </c>
      <c r="L221" s="2" t="s">
        <v>50</v>
      </c>
      <c r="M221" s="2" t="s">
        <v>51</v>
      </c>
      <c r="N221" s="2" t="s">
        <v>36</v>
      </c>
      <c r="O221" s="2">
        <v>7562.21</v>
      </c>
      <c r="P221" s="2">
        <v>79.3</v>
      </c>
      <c r="Q221" s="2">
        <v>52807.54</v>
      </c>
      <c r="R221" s="2" t="s">
        <v>97</v>
      </c>
      <c r="S221" s="2">
        <v>760</v>
      </c>
      <c r="T221" s="2">
        <v>96</v>
      </c>
      <c r="U221" s="2" t="s">
        <v>73</v>
      </c>
      <c r="V221" s="2" t="s">
        <v>108</v>
      </c>
      <c r="W221" s="2">
        <v>2</v>
      </c>
      <c r="X221" s="2">
        <v>5.2</v>
      </c>
    </row>
    <row r="222" spans="1:24" ht="15" customHeight="1">
      <c r="A222" s="2" t="s">
        <v>880</v>
      </c>
      <c r="B222" s="2" t="s">
        <v>881</v>
      </c>
      <c r="C222" s="2">
        <v>16</v>
      </c>
      <c r="D222" s="2" t="s">
        <v>177</v>
      </c>
      <c r="E222" s="2" t="s">
        <v>882</v>
      </c>
      <c r="F222" s="2" t="s">
        <v>95</v>
      </c>
      <c r="G222" s="2" t="s">
        <v>45</v>
      </c>
      <c r="H222" s="2" t="s">
        <v>65</v>
      </c>
      <c r="I222" s="2" t="s">
        <v>357</v>
      </c>
      <c r="J222" s="2" t="s">
        <v>113</v>
      </c>
      <c r="K222" s="2" t="s">
        <v>114</v>
      </c>
      <c r="L222" s="2" t="s">
        <v>115</v>
      </c>
      <c r="M222" s="2" t="s">
        <v>51</v>
      </c>
      <c r="N222" s="2" t="s">
        <v>60</v>
      </c>
      <c r="O222" s="2">
        <v>61750.8</v>
      </c>
      <c r="P222" s="2">
        <v>77.8</v>
      </c>
      <c r="Q222" s="2">
        <v>37016.379999999997</v>
      </c>
      <c r="R222" s="2" t="s">
        <v>158</v>
      </c>
      <c r="S222" s="2">
        <v>628</v>
      </c>
      <c r="T222" s="2">
        <v>151</v>
      </c>
      <c r="U222" s="2" t="s">
        <v>83</v>
      </c>
      <c r="V222" s="2" t="s">
        <v>38</v>
      </c>
      <c r="W222" s="2">
        <v>5</v>
      </c>
      <c r="X222" s="2">
        <v>0.7</v>
      </c>
    </row>
    <row r="223" spans="1:24" ht="15" customHeight="1">
      <c r="A223" s="2" t="s">
        <v>883</v>
      </c>
      <c r="B223" s="2" t="s">
        <v>884</v>
      </c>
      <c r="C223" s="2">
        <v>12</v>
      </c>
      <c r="D223" s="2" t="s">
        <v>42</v>
      </c>
      <c r="E223" s="2" t="s">
        <v>885</v>
      </c>
      <c r="F223" s="2" t="s">
        <v>95</v>
      </c>
      <c r="G223" s="2" t="s">
        <v>96</v>
      </c>
      <c r="H223" s="2" t="s">
        <v>245</v>
      </c>
      <c r="I223" s="2" t="s">
        <v>886</v>
      </c>
      <c r="J223" s="2" t="s">
        <v>81</v>
      </c>
      <c r="K223" s="2" t="s">
        <v>49</v>
      </c>
      <c r="L223" s="2" t="s">
        <v>50</v>
      </c>
      <c r="M223" s="2" t="s">
        <v>35</v>
      </c>
      <c r="N223" s="2" t="s">
        <v>70</v>
      </c>
      <c r="O223" s="2">
        <v>21598.34</v>
      </c>
      <c r="P223" s="2">
        <v>45.4</v>
      </c>
      <c r="Q223" s="2">
        <v>2242.66</v>
      </c>
      <c r="R223" s="2" t="s">
        <v>107</v>
      </c>
      <c r="S223" s="2">
        <v>881</v>
      </c>
      <c r="T223" s="2">
        <v>107</v>
      </c>
      <c r="U223" s="2" t="s">
        <v>72</v>
      </c>
      <c r="V223" s="2" t="s">
        <v>72</v>
      </c>
      <c r="W223" s="2">
        <v>3</v>
      </c>
      <c r="X223" s="2">
        <v>3.7</v>
      </c>
    </row>
    <row r="224" spans="1:24" ht="15" customHeight="1">
      <c r="A224" s="2" t="s">
        <v>887</v>
      </c>
      <c r="B224" s="2" t="s">
        <v>888</v>
      </c>
      <c r="C224" s="2">
        <v>37</v>
      </c>
      <c r="D224" s="2" t="s">
        <v>101</v>
      </c>
      <c r="E224" s="2" t="s">
        <v>889</v>
      </c>
      <c r="F224" s="2" t="s">
        <v>184</v>
      </c>
      <c r="G224" s="2" t="s">
        <v>96</v>
      </c>
      <c r="H224" s="2" t="s">
        <v>79</v>
      </c>
      <c r="I224" s="2" t="s">
        <v>890</v>
      </c>
      <c r="J224" s="2" t="s">
        <v>34</v>
      </c>
      <c r="K224" s="2" t="s">
        <v>67</v>
      </c>
      <c r="L224" s="2" t="s">
        <v>68</v>
      </c>
      <c r="M224" s="2" t="s">
        <v>51</v>
      </c>
      <c r="N224" s="2" t="s">
        <v>60</v>
      </c>
      <c r="O224" s="2">
        <v>126855.17</v>
      </c>
      <c r="P224" s="2">
        <v>26.6</v>
      </c>
      <c r="Q224" s="2">
        <v>2851.88</v>
      </c>
      <c r="R224" s="2" t="s">
        <v>107</v>
      </c>
      <c r="S224" s="2">
        <v>531</v>
      </c>
      <c r="T224" s="2">
        <v>23</v>
      </c>
      <c r="U224" s="2" t="s">
        <v>122</v>
      </c>
      <c r="V224" s="2" t="s">
        <v>72</v>
      </c>
      <c r="W224" s="2">
        <v>5</v>
      </c>
      <c r="X224" s="2">
        <v>7.3</v>
      </c>
    </row>
    <row r="225" spans="1:24" ht="15" customHeight="1">
      <c r="A225" s="2" t="s">
        <v>891</v>
      </c>
      <c r="B225" s="2" t="s">
        <v>892</v>
      </c>
      <c r="C225" s="2">
        <v>10</v>
      </c>
      <c r="D225" s="2" t="s">
        <v>171</v>
      </c>
      <c r="E225" s="2" t="s">
        <v>893</v>
      </c>
      <c r="F225" s="2" t="s">
        <v>95</v>
      </c>
      <c r="G225" s="2" t="s">
        <v>96</v>
      </c>
      <c r="H225" s="2" t="s">
        <v>104</v>
      </c>
      <c r="I225" s="2" t="s">
        <v>781</v>
      </c>
      <c r="J225" s="2" t="s">
        <v>48</v>
      </c>
      <c r="K225" s="2" t="s">
        <v>49</v>
      </c>
      <c r="L225" s="2" t="s">
        <v>50</v>
      </c>
      <c r="M225" s="2" t="s">
        <v>51</v>
      </c>
      <c r="N225" s="2" t="s">
        <v>60</v>
      </c>
      <c r="O225" s="2">
        <v>96037.37</v>
      </c>
      <c r="P225" s="2">
        <v>19</v>
      </c>
      <c r="Q225" s="2">
        <v>29952.22</v>
      </c>
      <c r="R225" s="2" t="s">
        <v>107</v>
      </c>
      <c r="S225" s="2">
        <v>574</v>
      </c>
      <c r="T225" s="2">
        <v>136</v>
      </c>
      <c r="U225" s="2" t="s">
        <v>72</v>
      </c>
      <c r="V225" s="2" t="s">
        <v>122</v>
      </c>
      <c r="W225" s="2">
        <v>4</v>
      </c>
      <c r="X225" s="2">
        <v>1.8</v>
      </c>
    </row>
    <row r="226" spans="1:24" ht="15" customHeight="1">
      <c r="A226" s="2" t="s">
        <v>894</v>
      </c>
      <c r="B226" s="2" t="s">
        <v>895</v>
      </c>
      <c r="C226" s="2">
        <v>25</v>
      </c>
      <c r="D226" s="2" t="s">
        <v>177</v>
      </c>
      <c r="E226" s="2" t="s">
        <v>896</v>
      </c>
      <c r="F226" s="2" t="s">
        <v>30</v>
      </c>
      <c r="G226" s="2" t="s">
        <v>78</v>
      </c>
      <c r="H226" s="2" t="s">
        <v>58</v>
      </c>
      <c r="I226" s="2" t="s">
        <v>897</v>
      </c>
      <c r="J226" s="2" t="s">
        <v>128</v>
      </c>
      <c r="K226" s="2" t="s">
        <v>67</v>
      </c>
      <c r="L226" s="2" t="s">
        <v>68</v>
      </c>
      <c r="M226" s="2" t="s">
        <v>51</v>
      </c>
      <c r="N226" s="2" t="s">
        <v>60</v>
      </c>
      <c r="O226" s="2">
        <v>21465.99</v>
      </c>
      <c r="P226" s="2">
        <v>23.4</v>
      </c>
      <c r="Q226" s="2">
        <v>49633.73</v>
      </c>
      <c r="R226" s="2" t="s">
        <v>158</v>
      </c>
      <c r="S226" s="2">
        <v>873</v>
      </c>
      <c r="T226" s="2">
        <v>108</v>
      </c>
      <c r="U226" s="2" t="s">
        <v>83</v>
      </c>
      <c r="V226" s="2" t="s">
        <v>122</v>
      </c>
      <c r="W226" s="2">
        <v>2</v>
      </c>
      <c r="X226" s="2">
        <v>0.7</v>
      </c>
    </row>
    <row r="227" spans="1:24" ht="15" customHeight="1">
      <c r="A227" s="2" t="s">
        <v>898</v>
      </c>
      <c r="B227" s="2" t="s">
        <v>899</v>
      </c>
      <c r="C227" s="2">
        <v>41</v>
      </c>
      <c r="D227" s="2" t="s">
        <v>93</v>
      </c>
      <c r="E227" s="2" t="s">
        <v>900</v>
      </c>
      <c r="F227" s="2" t="s">
        <v>103</v>
      </c>
      <c r="G227" s="2" t="s">
        <v>162</v>
      </c>
      <c r="H227" s="2" t="s">
        <v>245</v>
      </c>
      <c r="I227" s="2" t="s">
        <v>901</v>
      </c>
      <c r="J227" s="2" t="s">
        <v>90</v>
      </c>
      <c r="K227" s="2" t="s">
        <v>67</v>
      </c>
      <c r="L227" s="2" t="s">
        <v>68</v>
      </c>
      <c r="M227" s="2" t="s">
        <v>51</v>
      </c>
      <c r="N227" s="2" t="s">
        <v>70</v>
      </c>
      <c r="O227" s="2">
        <v>102392.45</v>
      </c>
      <c r="P227" s="2">
        <v>34.799999999999997</v>
      </c>
      <c r="Q227" s="2">
        <v>50388.63</v>
      </c>
      <c r="R227" s="2" t="s">
        <v>52</v>
      </c>
      <c r="S227" s="2">
        <v>414</v>
      </c>
      <c r="T227" s="2">
        <v>128</v>
      </c>
      <c r="U227" s="2" t="s">
        <v>122</v>
      </c>
      <c r="V227" s="2" t="s">
        <v>72</v>
      </c>
      <c r="W227" s="2">
        <v>2</v>
      </c>
      <c r="X227" s="2">
        <v>5.6</v>
      </c>
    </row>
    <row r="228" spans="1:24" ht="15" customHeight="1">
      <c r="A228" s="2" t="s">
        <v>902</v>
      </c>
      <c r="B228" s="2" t="s">
        <v>903</v>
      </c>
      <c r="C228" s="2">
        <v>43</v>
      </c>
      <c r="D228" s="2" t="s">
        <v>28</v>
      </c>
      <c r="E228" s="2" t="s">
        <v>604</v>
      </c>
      <c r="F228" s="2" t="s">
        <v>167</v>
      </c>
      <c r="G228" s="2" t="s">
        <v>217</v>
      </c>
      <c r="H228" s="2" t="s">
        <v>65</v>
      </c>
      <c r="I228" s="2" t="s">
        <v>168</v>
      </c>
      <c r="J228" s="2" t="s">
        <v>113</v>
      </c>
      <c r="K228" s="2" t="s">
        <v>67</v>
      </c>
      <c r="L228" s="2" t="s">
        <v>68</v>
      </c>
      <c r="M228" s="2" t="s">
        <v>35</v>
      </c>
      <c r="N228" s="2" t="s">
        <v>70</v>
      </c>
      <c r="O228" s="2">
        <v>82353.149999999994</v>
      </c>
      <c r="P228" s="2">
        <v>13.5</v>
      </c>
      <c r="Q228" s="2">
        <v>32744.7</v>
      </c>
      <c r="R228" s="2" t="s">
        <v>129</v>
      </c>
      <c r="S228" s="2">
        <v>552</v>
      </c>
      <c r="T228" s="2">
        <v>200</v>
      </c>
      <c r="U228" s="2" t="s">
        <v>122</v>
      </c>
      <c r="V228" s="2" t="s">
        <v>38</v>
      </c>
      <c r="W228" s="2">
        <v>3</v>
      </c>
      <c r="X228" s="2">
        <v>0.7</v>
      </c>
    </row>
    <row r="229" spans="1:24" ht="15" customHeight="1">
      <c r="A229" s="2" t="s">
        <v>904</v>
      </c>
      <c r="B229" s="2" t="s">
        <v>905</v>
      </c>
      <c r="C229" s="2">
        <v>9</v>
      </c>
      <c r="D229" s="2" t="s">
        <v>86</v>
      </c>
      <c r="E229" s="2" t="s">
        <v>589</v>
      </c>
      <c r="F229" s="2" t="s">
        <v>77</v>
      </c>
      <c r="G229" s="2" t="s">
        <v>96</v>
      </c>
      <c r="H229" s="2" t="s">
        <v>65</v>
      </c>
      <c r="I229" s="2" t="s">
        <v>906</v>
      </c>
      <c r="J229" s="2" t="s">
        <v>113</v>
      </c>
      <c r="K229" s="2" t="s">
        <v>106</v>
      </c>
      <c r="L229" s="2" t="s">
        <v>50</v>
      </c>
      <c r="M229" s="2" t="s">
        <v>35</v>
      </c>
      <c r="N229" s="2" t="s">
        <v>70</v>
      </c>
      <c r="O229" s="2">
        <v>48628.78</v>
      </c>
      <c r="P229" s="2">
        <v>61.8</v>
      </c>
      <c r="Q229" s="2">
        <v>17845.37</v>
      </c>
      <c r="R229" s="2" t="s">
        <v>97</v>
      </c>
      <c r="S229" s="2">
        <v>624</v>
      </c>
      <c r="T229" s="2">
        <v>196</v>
      </c>
      <c r="U229" s="2" t="s">
        <v>72</v>
      </c>
      <c r="V229" s="2" t="s">
        <v>72</v>
      </c>
      <c r="W229" s="2">
        <v>4</v>
      </c>
      <c r="X229" s="2">
        <v>4.5</v>
      </c>
    </row>
    <row r="230" spans="1:24" ht="15" customHeight="1">
      <c r="A230" s="2" t="s">
        <v>907</v>
      </c>
      <c r="B230" s="2" t="s">
        <v>908</v>
      </c>
      <c r="C230" s="2">
        <v>33</v>
      </c>
      <c r="D230" s="2" t="s">
        <v>101</v>
      </c>
      <c r="E230" s="2" t="s">
        <v>422</v>
      </c>
      <c r="F230" s="2" t="s">
        <v>184</v>
      </c>
      <c r="G230" s="2" t="s">
        <v>31</v>
      </c>
      <c r="H230" s="2" t="s">
        <v>173</v>
      </c>
      <c r="I230" s="2" t="s">
        <v>909</v>
      </c>
      <c r="J230" s="2" t="s">
        <v>113</v>
      </c>
      <c r="K230" s="2" t="s">
        <v>67</v>
      </c>
      <c r="L230" s="2" t="s">
        <v>68</v>
      </c>
      <c r="M230" s="2" t="s">
        <v>51</v>
      </c>
      <c r="N230" s="2" t="s">
        <v>36</v>
      </c>
      <c r="O230" s="2">
        <v>98030.91</v>
      </c>
      <c r="P230" s="2">
        <v>64.3</v>
      </c>
      <c r="Q230" s="2">
        <v>8165.53</v>
      </c>
      <c r="R230" s="2" t="s">
        <v>138</v>
      </c>
      <c r="S230" s="2">
        <v>612</v>
      </c>
      <c r="T230" s="2">
        <v>21</v>
      </c>
      <c r="U230" s="2" t="s">
        <v>83</v>
      </c>
      <c r="V230" s="2" t="s">
        <v>83</v>
      </c>
      <c r="W230" s="2">
        <v>5</v>
      </c>
      <c r="X230" s="2">
        <v>6.3</v>
      </c>
    </row>
    <row r="231" spans="1:24" ht="15" customHeight="1">
      <c r="A231" s="2" t="s">
        <v>910</v>
      </c>
      <c r="B231" s="2" t="s">
        <v>911</v>
      </c>
      <c r="C231" s="2">
        <v>36</v>
      </c>
      <c r="D231" s="2" t="s">
        <v>86</v>
      </c>
      <c r="E231" s="2" t="s">
        <v>589</v>
      </c>
      <c r="F231" s="2" t="s">
        <v>120</v>
      </c>
      <c r="G231" s="2" t="s">
        <v>96</v>
      </c>
      <c r="H231" s="2" t="s">
        <v>126</v>
      </c>
      <c r="I231" s="2" t="s">
        <v>912</v>
      </c>
      <c r="J231" s="2" t="s">
        <v>34</v>
      </c>
      <c r="K231" s="2" t="s">
        <v>67</v>
      </c>
      <c r="L231" s="2" t="s">
        <v>68</v>
      </c>
      <c r="M231" s="2" t="s">
        <v>51</v>
      </c>
      <c r="N231" s="2" t="s">
        <v>36</v>
      </c>
      <c r="O231" s="2">
        <v>37550.629999999997</v>
      </c>
      <c r="P231" s="2">
        <v>74.2</v>
      </c>
      <c r="Q231" s="2">
        <v>38826.400000000001</v>
      </c>
      <c r="R231" s="2" t="s">
        <v>148</v>
      </c>
      <c r="S231" s="2">
        <v>391</v>
      </c>
      <c r="T231" s="2">
        <v>50</v>
      </c>
      <c r="U231" s="2" t="s">
        <v>39</v>
      </c>
      <c r="V231" s="2" t="s">
        <v>98</v>
      </c>
      <c r="W231" s="2">
        <v>5</v>
      </c>
      <c r="X231" s="2">
        <v>4.0999999999999996</v>
      </c>
    </row>
    <row r="232" spans="1:24" ht="15" customHeight="1">
      <c r="A232" s="2" t="s">
        <v>913</v>
      </c>
      <c r="B232" s="2" t="s">
        <v>914</v>
      </c>
      <c r="C232" s="2">
        <v>29</v>
      </c>
      <c r="D232" s="2" t="s">
        <v>55</v>
      </c>
      <c r="E232" s="2" t="s">
        <v>896</v>
      </c>
      <c r="F232" s="2" t="s">
        <v>184</v>
      </c>
      <c r="G232" s="2" t="s">
        <v>179</v>
      </c>
      <c r="H232" s="2" t="s">
        <v>152</v>
      </c>
      <c r="I232" s="2" t="s">
        <v>89</v>
      </c>
      <c r="J232" s="2" t="s">
        <v>34</v>
      </c>
      <c r="K232" s="2" t="s">
        <v>67</v>
      </c>
      <c r="L232" s="2" t="s">
        <v>68</v>
      </c>
      <c r="M232" s="2" t="s">
        <v>51</v>
      </c>
      <c r="N232" s="2" t="s">
        <v>70</v>
      </c>
      <c r="O232" s="2">
        <v>46754.49</v>
      </c>
      <c r="P232" s="2">
        <v>14.8</v>
      </c>
      <c r="Q232" s="2">
        <v>51380.26</v>
      </c>
      <c r="R232" s="2" t="s">
        <v>148</v>
      </c>
      <c r="S232" s="2">
        <v>589</v>
      </c>
      <c r="T232" s="2">
        <v>48</v>
      </c>
      <c r="U232" s="2" t="s">
        <v>39</v>
      </c>
      <c r="V232" s="2" t="s">
        <v>39</v>
      </c>
      <c r="W232" s="2">
        <v>1</v>
      </c>
      <c r="X232" s="2">
        <v>3</v>
      </c>
    </row>
    <row r="233" spans="1:24" ht="15" customHeight="1">
      <c r="A233" s="2" t="s">
        <v>915</v>
      </c>
      <c r="B233" s="2" t="s">
        <v>916</v>
      </c>
      <c r="C233" s="2">
        <v>21</v>
      </c>
      <c r="D233" s="2" t="s">
        <v>171</v>
      </c>
      <c r="E233" s="2" t="s">
        <v>585</v>
      </c>
      <c r="F233" s="2" t="s">
        <v>103</v>
      </c>
      <c r="G233" s="2" t="s">
        <v>31</v>
      </c>
      <c r="H233" s="2" t="s">
        <v>245</v>
      </c>
      <c r="I233" s="2" t="s">
        <v>917</v>
      </c>
      <c r="J233" s="2" t="s">
        <v>48</v>
      </c>
      <c r="K233" s="2" t="s">
        <v>67</v>
      </c>
      <c r="L233" s="2" t="s">
        <v>68</v>
      </c>
      <c r="M233" s="2" t="s">
        <v>51</v>
      </c>
      <c r="N233" s="2" t="s">
        <v>70</v>
      </c>
      <c r="O233" s="2">
        <v>107725.71</v>
      </c>
      <c r="P233" s="2">
        <v>24.2</v>
      </c>
      <c r="Q233" s="2">
        <v>5716.77</v>
      </c>
      <c r="R233" s="2" t="s">
        <v>71</v>
      </c>
      <c r="S233" s="2">
        <v>640</v>
      </c>
      <c r="T233" s="2">
        <v>120</v>
      </c>
      <c r="U233" s="2" t="s">
        <v>72</v>
      </c>
      <c r="V233" s="2" t="s">
        <v>122</v>
      </c>
      <c r="W233" s="2">
        <v>5</v>
      </c>
      <c r="X233" s="2">
        <v>5.8</v>
      </c>
    </row>
    <row r="234" spans="1:24" ht="15" customHeight="1">
      <c r="A234" s="2" t="s">
        <v>918</v>
      </c>
      <c r="B234" s="2" t="s">
        <v>919</v>
      </c>
      <c r="C234" s="2">
        <v>29</v>
      </c>
      <c r="D234" s="2" t="s">
        <v>55</v>
      </c>
      <c r="E234" s="2" t="s">
        <v>920</v>
      </c>
      <c r="F234" s="2" t="s">
        <v>57</v>
      </c>
      <c r="G234" s="2" t="s">
        <v>190</v>
      </c>
      <c r="H234" s="2" t="s">
        <v>79</v>
      </c>
      <c r="I234" s="2" t="s">
        <v>578</v>
      </c>
      <c r="J234" s="2" t="s">
        <v>34</v>
      </c>
      <c r="K234" s="2" t="s">
        <v>67</v>
      </c>
      <c r="L234" s="2" t="s">
        <v>68</v>
      </c>
      <c r="M234" s="2" t="s">
        <v>35</v>
      </c>
      <c r="N234" s="2" t="s">
        <v>70</v>
      </c>
      <c r="O234" s="2">
        <v>25560.38</v>
      </c>
      <c r="P234" s="2">
        <v>8.3000000000000007</v>
      </c>
      <c r="Q234" s="2">
        <v>7672.29</v>
      </c>
      <c r="R234" s="2" t="s">
        <v>129</v>
      </c>
      <c r="S234" s="2">
        <v>669</v>
      </c>
      <c r="T234" s="2">
        <v>72</v>
      </c>
      <c r="U234" s="2" t="s">
        <v>38</v>
      </c>
      <c r="V234" s="2" t="s">
        <v>73</v>
      </c>
      <c r="W234" s="2">
        <v>2</v>
      </c>
      <c r="X234" s="2">
        <v>3.2</v>
      </c>
    </row>
    <row r="235" spans="1:24" ht="15" customHeight="1">
      <c r="A235" s="2" t="s">
        <v>921</v>
      </c>
      <c r="B235" s="2" t="s">
        <v>922</v>
      </c>
      <c r="C235" s="2">
        <v>15</v>
      </c>
      <c r="D235" s="2" t="s">
        <v>188</v>
      </c>
      <c r="E235" s="2" t="s">
        <v>720</v>
      </c>
      <c r="F235" s="2" t="s">
        <v>44</v>
      </c>
      <c r="G235" s="2" t="s">
        <v>78</v>
      </c>
      <c r="H235" s="2" t="s">
        <v>79</v>
      </c>
      <c r="I235" s="2" t="s">
        <v>923</v>
      </c>
      <c r="J235" s="2" t="s">
        <v>48</v>
      </c>
      <c r="K235" s="2" t="s">
        <v>114</v>
      </c>
      <c r="L235" s="2" t="s">
        <v>115</v>
      </c>
      <c r="M235" s="2" t="s">
        <v>51</v>
      </c>
      <c r="N235" s="2" t="s">
        <v>70</v>
      </c>
      <c r="O235" s="2">
        <v>10914.8</v>
      </c>
      <c r="P235" s="2">
        <v>58.2</v>
      </c>
      <c r="Q235" s="2">
        <v>29111.97</v>
      </c>
      <c r="R235" s="2" t="s">
        <v>138</v>
      </c>
      <c r="S235" s="2">
        <v>451</v>
      </c>
      <c r="T235" s="2">
        <v>23</v>
      </c>
      <c r="U235" s="2" t="s">
        <v>122</v>
      </c>
      <c r="V235" s="2" t="s">
        <v>83</v>
      </c>
      <c r="W235" s="2">
        <v>5</v>
      </c>
      <c r="X235" s="2">
        <v>7.5</v>
      </c>
    </row>
    <row r="236" spans="1:24" ht="15" customHeight="1">
      <c r="A236" s="2" t="s">
        <v>924</v>
      </c>
      <c r="B236" s="2" t="s">
        <v>925</v>
      </c>
      <c r="C236" s="2">
        <v>19</v>
      </c>
      <c r="D236" s="2" t="s">
        <v>55</v>
      </c>
      <c r="E236" s="2" t="s">
        <v>341</v>
      </c>
      <c r="F236" s="2" t="s">
        <v>57</v>
      </c>
      <c r="G236" s="2" t="s">
        <v>179</v>
      </c>
      <c r="H236" s="2" t="s">
        <v>65</v>
      </c>
      <c r="I236" s="2" t="s">
        <v>331</v>
      </c>
      <c r="J236" s="2" t="s">
        <v>128</v>
      </c>
      <c r="K236" s="2" t="s">
        <v>147</v>
      </c>
      <c r="L236" s="2" t="s">
        <v>115</v>
      </c>
      <c r="M236" s="2" t="s">
        <v>35</v>
      </c>
      <c r="N236" s="2" t="s">
        <v>36</v>
      </c>
      <c r="O236" s="2">
        <v>22688.69</v>
      </c>
      <c r="P236" s="2">
        <v>74.7</v>
      </c>
      <c r="Q236" s="2">
        <v>6364.2</v>
      </c>
      <c r="R236" s="2" t="s">
        <v>138</v>
      </c>
      <c r="S236" s="2">
        <v>329</v>
      </c>
      <c r="T236" s="2">
        <v>181</v>
      </c>
      <c r="U236" s="2" t="s">
        <v>73</v>
      </c>
      <c r="V236" s="2" t="s">
        <v>72</v>
      </c>
      <c r="W236" s="2">
        <v>3</v>
      </c>
      <c r="X236" s="2">
        <v>8.6999999999999993</v>
      </c>
    </row>
    <row r="237" spans="1:24" ht="15" customHeight="1">
      <c r="A237" s="2" t="s">
        <v>926</v>
      </c>
      <c r="B237" s="2" t="s">
        <v>927</v>
      </c>
      <c r="C237" s="2">
        <v>26</v>
      </c>
      <c r="D237" s="2" t="s">
        <v>101</v>
      </c>
      <c r="E237" s="2" t="s">
        <v>928</v>
      </c>
      <c r="F237" s="2" t="s">
        <v>77</v>
      </c>
      <c r="G237" s="2" t="s">
        <v>96</v>
      </c>
      <c r="H237" s="2" t="s">
        <v>245</v>
      </c>
      <c r="I237" s="2" t="s">
        <v>929</v>
      </c>
      <c r="J237" s="2" t="s">
        <v>90</v>
      </c>
      <c r="K237" s="2" t="s">
        <v>67</v>
      </c>
      <c r="L237" s="2" t="s">
        <v>68</v>
      </c>
      <c r="M237" s="2" t="s">
        <v>51</v>
      </c>
      <c r="N237" s="2" t="s">
        <v>70</v>
      </c>
      <c r="O237" s="2">
        <v>17932.3</v>
      </c>
      <c r="P237" s="2">
        <v>17.2</v>
      </c>
      <c r="Q237" s="2">
        <v>46769.55</v>
      </c>
      <c r="R237" s="2" t="s">
        <v>129</v>
      </c>
      <c r="S237" s="2">
        <v>457</v>
      </c>
      <c r="T237" s="2">
        <v>125</v>
      </c>
      <c r="U237" s="2" t="s">
        <v>38</v>
      </c>
      <c r="V237" s="2" t="s">
        <v>122</v>
      </c>
      <c r="W237" s="2">
        <v>1</v>
      </c>
      <c r="X237" s="2">
        <v>7.6</v>
      </c>
    </row>
    <row r="238" spans="1:24" ht="15" customHeight="1">
      <c r="A238" s="2" t="s">
        <v>930</v>
      </c>
      <c r="B238" s="2" t="s">
        <v>931</v>
      </c>
      <c r="C238" s="2">
        <v>30</v>
      </c>
      <c r="D238" s="2" t="s">
        <v>42</v>
      </c>
      <c r="E238" s="2" t="s">
        <v>830</v>
      </c>
      <c r="F238" s="2" t="s">
        <v>95</v>
      </c>
      <c r="G238" s="2" t="s">
        <v>31</v>
      </c>
      <c r="H238" s="2" t="s">
        <v>58</v>
      </c>
      <c r="I238" s="2" t="s">
        <v>932</v>
      </c>
      <c r="J238" s="2" t="s">
        <v>48</v>
      </c>
      <c r="K238" s="2" t="s">
        <v>67</v>
      </c>
      <c r="L238" s="2" t="s">
        <v>68</v>
      </c>
      <c r="M238" s="2" t="s">
        <v>69</v>
      </c>
      <c r="N238" s="2" t="s">
        <v>70</v>
      </c>
      <c r="O238" s="2">
        <v>146124.41</v>
      </c>
      <c r="P238" s="2">
        <v>53.6</v>
      </c>
      <c r="Q238" s="2">
        <v>42818.13</v>
      </c>
      <c r="R238" s="2" t="s">
        <v>129</v>
      </c>
      <c r="S238" s="2">
        <v>837</v>
      </c>
      <c r="T238" s="2">
        <v>119</v>
      </c>
      <c r="U238" s="2" t="s">
        <v>72</v>
      </c>
      <c r="V238" s="2" t="s">
        <v>38</v>
      </c>
      <c r="W238" s="2">
        <v>2</v>
      </c>
      <c r="X238" s="2">
        <v>8.9</v>
      </c>
    </row>
    <row r="239" spans="1:24" ht="15" customHeight="1">
      <c r="A239" s="2" t="s">
        <v>933</v>
      </c>
      <c r="B239" s="2" t="s">
        <v>934</v>
      </c>
      <c r="C239" s="2">
        <v>21</v>
      </c>
      <c r="D239" s="2" t="s">
        <v>42</v>
      </c>
      <c r="E239" s="2" t="s">
        <v>935</v>
      </c>
      <c r="F239" s="2" t="s">
        <v>184</v>
      </c>
      <c r="G239" s="2" t="s">
        <v>31</v>
      </c>
      <c r="H239" s="2" t="s">
        <v>245</v>
      </c>
      <c r="I239" s="2" t="s">
        <v>936</v>
      </c>
      <c r="J239" s="2" t="s">
        <v>113</v>
      </c>
      <c r="K239" s="2" t="s">
        <v>67</v>
      </c>
      <c r="L239" s="2" t="s">
        <v>68</v>
      </c>
      <c r="M239" s="2" t="s">
        <v>35</v>
      </c>
      <c r="N239" s="2" t="s">
        <v>36</v>
      </c>
      <c r="O239" s="2">
        <v>122859.59</v>
      </c>
      <c r="P239" s="2">
        <v>48.9</v>
      </c>
      <c r="Q239" s="2">
        <v>46118.81</v>
      </c>
      <c r="R239" s="2" t="s">
        <v>71</v>
      </c>
      <c r="S239" s="2">
        <v>773</v>
      </c>
      <c r="T239" s="2">
        <v>46</v>
      </c>
      <c r="U239" s="2" t="s">
        <v>72</v>
      </c>
      <c r="V239" s="2" t="s">
        <v>98</v>
      </c>
      <c r="W239" s="2">
        <v>3</v>
      </c>
      <c r="X239" s="2">
        <v>3.2</v>
      </c>
    </row>
    <row r="240" spans="1:24" ht="15" customHeight="1">
      <c r="A240" s="2" t="s">
        <v>937</v>
      </c>
      <c r="B240" s="2" t="s">
        <v>938</v>
      </c>
      <c r="C240" s="2">
        <v>34</v>
      </c>
      <c r="D240" s="2" t="s">
        <v>42</v>
      </c>
      <c r="E240" s="2" t="s">
        <v>939</v>
      </c>
      <c r="F240" s="2" t="s">
        <v>57</v>
      </c>
      <c r="G240" s="2" t="s">
        <v>78</v>
      </c>
      <c r="H240" s="2" t="s">
        <v>79</v>
      </c>
      <c r="I240" s="2" t="s">
        <v>940</v>
      </c>
      <c r="J240" s="2" t="s">
        <v>48</v>
      </c>
      <c r="K240" s="2" t="s">
        <v>67</v>
      </c>
      <c r="L240" s="2" t="s">
        <v>68</v>
      </c>
      <c r="M240" s="2" t="s">
        <v>35</v>
      </c>
      <c r="N240" s="2" t="s">
        <v>60</v>
      </c>
      <c r="O240" s="2"/>
      <c r="P240" s="2">
        <v>54.2</v>
      </c>
      <c r="Q240" s="2">
        <v>27609.78</v>
      </c>
      <c r="R240" s="2" t="s">
        <v>129</v>
      </c>
      <c r="S240" s="2">
        <v>798</v>
      </c>
      <c r="T240" s="2">
        <v>157</v>
      </c>
      <c r="U240" s="2" t="s">
        <v>73</v>
      </c>
      <c r="V240" s="2" t="s">
        <v>72</v>
      </c>
      <c r="W240" s="2">
        <v>2</v>
      </c>
      <c r="X240" s="2">
        <v>1.6</v>
      </c>
    </row>
    <row r="241" spans="1:24" ht="15" customHeight="1">
      <c r="A241" s="2" t="s">
        <v>941</v>
      </c>
      <c r="B241" s="2" t="s">
        <v>942</v>
      </c>
      <c r="C241" s="2">
        <v>18</v>
      </c>
      <c r="D241" s="2" t="s">
        <v>101</v>
      </c>
      <c r="E241" s="2" t="s">
        <v>943</v>
      </c>
      <c r="F241" s="2" t="s">
        <v>57</v>
      </c>
      <c r="G241" s="2" t="s">
        <v>78</v>
      </c>
      <c r="H241" s="2" t="s">
        <v>58</v>
      </c>
      <c r="I241" s="2" t="s">
        <v>944</v>
      </c>
      <c r="J241" s="2" t="s">
        <v>113</v>
      </c>
      <c r="K241" s="2" t="s">
        <v>147</v>
      </c>
      <c r="L241" s="2" t="s">
        <v>115</v>
      </c>
      <c r="M241" s="2" t="s">
        <v>35</v>
      </c>
      <c r="N241" s="2" t="s">
        <v>60</v>
      </c>
      <c r="O241" s="2">
        <v>29085.3</v>
      </c>
      <c r="P241" s="2">
        <v>57.7</v>
      </c>
      <c r="Q241" s="2">
        <v>57832.01</v>
      </c>
      <c r="R241" s="2" t="s">
        <v>138</v>
      </c>
      <c r="S241" s="2">
        <v>760</v>
      </c>
      <c r="T241" s="2">
        <v>51</v>
      </c>
      <c r="U241" s="2" t="s">
        <v>73</v>
      </c>
      <c r="V241" s="2" t="s">
        <v>122</v>
      </c>
      <c r="W241" s="2">
        <v>1</v>
      </c>
      <c r="X241" s="2">
        <v>1.4</v>
      </c>
    </row>
    <row r="242" spans="1:24" ht="15" customHeight="1">
      <c r="A242" s="2" t="s">
        <v>945</v>
      </c>
      <c r="B242" s="2" t="s">
        <v>946</v>
      </c>
      <c r="C242" s="2">
        <v>32</v>
      </c>
      <c r="D242" s="2" t="s">
        <v>171</v>
      </c>
      <c r="E242" s="2" t="s">
        <v>111</v>
      </c>
      <c r="F242" s="2" t="s">
        <v>184</v>
      </c>
      <c r="G242" s="2" t="s">
        <v>190</v>
      </c>
      <c r="H242" s="2" t="s">
        <v>245</v>
      </c>
      <c r="I242" s="2" t="s">
        <v>947</v>
      </c>
      <c r="J242" s="2" t="s">
        <v>34</v>
      </c>
      <c r="K242" s="2" t="s">
        <v>67</v>
      </c>
      <c r="L242" s="2" t="s">
        <v>68</v>
      </c>
      <c r="M242" s="2" t="s">
        <v>51</v>
      </c>
      <c r="N242" s="2" t="s">
        <v>70</v>
      </c>
      <c r="O242" s="2">
        <v>88578.49</v>
      </c>
      <c r="P242" s="2">
        <v>25.1</v>
      </c>
      <c r="Q242" s="2">
        <v>38898.019999999997</v>
      </c>
      <c r="R242" s="2" t="s">
        <v>138</v>
      </c>
      <c r="S242" s="2">
        <v>806</v>
      </c>
      <c r="T242" s="2">
        <v>165</v>
      </c>
      <c r="U242" s="2" t="s">
        <v>73</v>
      </c>
      <c r="V242" s="2" t="s">
        <v>72</v>
      </c>
      <c r="W242" s="2">
        <v>2</v>
      </c>
      <c r="X242" s="2">
        <v>2.9</v>
      </c>
    </row>
    <row r="243" spans="1:24" ht="15" customHeight="1">
      <c r="A243" s="2" t="s">
        <v>948</v>
      </c>
      <c r="B243" s="2" t="s">
        <v>949</v>
      </c>
      <c r="C243" s="2">
        <v>20</v>
      </c>
      <c r="D243" s="2" t="s">
        <v>55</v>
      </c>
      <c r="E243" s="2" t="s">
        <v>950</v>
      </c>
      <c r="F243" s="2" t="s">
        <v>88</v>
      </c>
      <c r="G243" s="2" t="s">
        <v>45</v>
      </c>
      <c r="H243" s="2" t="s">
        <v>79</v>
      </c>
      <c r="I243" s="2" t="s">
        <v>727</v>
      </c>
      <c r="J243" s="2" t="s">
        <v>113</v>
      </c>
      <c r="K243" s="2" t="s">
        <v>67</v>
      </c>
      <c r="L243" s="2" t="s">
        <v>68</v>
      </c>
      <c r="M243" s="2" t="s">
        <v>51</v>
      </c>
      <c r="N243" s="2" t="s">
        <v>36</v>
      </c>
      <c r="O243" s="2">
        <v>57237.06</v>
      </c>
      <c r="P243" s="2">
        <v>77.8</v>
      </c>
      <c r="Q243" s="2">
        <v>9721.5499999999993</v>
      </c>
      <c r="R243" s="2" t="s">
        <v>61</v>
      </c>
      <c r="S243" s="2">
        <v>388</v>
      </c>
      <c r="T243" s="2">
        <v>33</v>
      </c>
      <c r="U243" s="2" t="s">
        <v>83</v>
      </c>
      <c r="V243" s="2" t="s">
        <v>98</v>
      </c>
      <c r="W243" s="2">
        <v>1</v>
      </c>
      <c r="X243" s="2">
        <v>7.2</v>
      </c>
    </row>
    <row r="244" spans="1:24" ht="15" customHeight="1">
      <c r="A244" s="2" t="s">
        <v>951</v>
      </c>
      <c r="B244" s="2" t="s">
        <v>952</v>
      </c>
      <c r="C244" s="2">
        <v>21</v>
      </c>
      <c r="D244" s="2" t="s">
        <v>55</v>
      </c>
      <c r="E244" s="2" t="s">
        <v>953</v>
      </c>
      <c r="F244" s="2" t="s">
        <v>44</v>
      </c>
      <c r="G244" s="2" t="s">
        <v>96</v>
      </c>
      <c r="H244" s="2" t="s">
        <v>126</v>
      </c>
      <c r="I244" s="2" t="s">
        <v>954</v>
      </c>
      <c r="J244" s="2" t="s">
        <v>81</v>
      </c>
      <c r="K244" s="2" t="s">
        <v>67</v>
      </c>
      <c r="L244" s="2" t="s">
        <v>68</v>
      </c>
      <c r="M244" s="2" t="s">
        <v>0</v>
      </c>
      <c r="N244" s="2" t="s">
        <v>70</v>
      </c>
      <c r="O244" s="2">
        <v>21525.55</v>
      </c>
      <c r="P244" s="2">
        <v>47.1</v>
      </c>
      <c r="Q244" s="2">
        <v>29181.919999999998</v>
      </c>
      <c r="R244" s="2" t="s">
        <v>158</v>
      </c>
      <c r="S244" s="2">
        <v>347</v>
      </c>
      <c r="T244" s="2">
        <v>142</v>
      </c>
      <c r="U244" s="2" t="s">
        <v>39</v>
      </c>
      <c r="V244" s="2" t="s">
        <v>108</v>
      </c>
      <c r="W244" s="2">
        <v>4</v>
      </c>
      <c r="X244" s="2">
        <v>7.3</v>
      </c>
    </row>
    <row r="245" spans="1:24" ht="15" customHeight="1">
      <c r="A245" s="2" t="s">
        <v>955</v>
      </c>
      <c r="B245" s="2" t="s">
        <v>956</v>
      </c>
      <c r="C245" s="2">
        <v>12</v>
      </c>
      <c r="D245" s="2" t="s">
        <v>55</v>
      </c>
      <c r="E245" s="2" t="s">
        <v>957</v>
      </c>
      <c r="F245" s="2" t="s">
        <v>30</v>
      </c>
      <c r="G245" s="2" t="s">
        <v>217</v>
      </c>
      <c r="H245" s="2" t="s">
        <v>65</v>
      </c>
      <c r="I245" s="2" t="s">
        <v>958</v>
      </c>
      <c r="J245" s="2" t="s">
        <v>48</v>
      </c>
      <c r="K245" s="2" t="s">
        <v>49</v>
      </c>
      <c r="L245" s="2" t="s">
        <v>50</v>
      </c>
      <c r="M245" s="2" t="s">
        <v>51</v>
      </c>
      <c r="N245" s="2" t="s">
        <v>36</v>
      </c>
      <c r="O245" s="2">
        <v>131221.44</v>
      </c>
      <c r="P245" s="2">
        <v>32.299999999999997</v>
      </c>
      <c r="Q245" s="2">
        <v>49149.65</v>
      </c>
      <c r="R245" s="2" t="s">
        <v>52</v>
      </c>
      <c r="S245" s="2">
        <v>749</v>
      </c>
      <c r="T245" s="2">
        <v>196</v>
      </c>
      <c r="U245" s="2" t="s">
        <v>83</v>
      </c>
      <c r="V245" s="2" t="s">
        <v>38</v>
      </c>
      <c r="W245" s="2">
        <v>3</v>
      </c>
      <c r="X245" s="2">
        <v>4.8</v>
      </c>
    </row>
    <row r="246" spans="1:24" ht="15" customHeight="1">
      <c r="A246" s="2" t="s">
        <v>959</v>
      </c>
      <c r="B246" s="2" t="s">
        <v>960</v>
      </c>
      <c r="C246" s="2">
        <v>32</v>
      </c>
      <c r="D246" s="2" t="s">
        <v>28</v>
      </c>
      <c r="E246" s="2" t="s">
        <v>961</v>
      </c>
      <c r="F246" s="2" t="s">
        <v>184</v>
      </c>
      <c r="G246" s="2" t="s">
        <v>179</v>
      </c>
      <c r="H246" s="2" t="s">
        <v>104</v>
      </c>
      <c r="I246" s="2" t="s">
        <v>962</v>
      </c>
      <c r="J246" s="2" t="s">
        <v>113</v>
      </c>
      <c r="K246" s="2" t="s">
        <v>67</v>
      </c>
      <c r="L246" s="2" t="s">
        <v>68</v>
      </c>
      <c r="M246" s="2" t="s">
        <v>51</v>
      </c>
      <c r="N246" s="2" t="s">
        <v>36</v>
      </c>
      <c r="O246" s="2">
        <v>57457.279999999999</v>
      </c>
      <c r="P246" s="2">
        <v>15.9</v>
      </c>
      <c r="Q246" s="2">
        <v>596.91999999999996</v>
      </c>
      <c r="R246" s="2" t="s">
        <v>82</v>
      </c>
      <c r="S246" s="2">
        <v>386</v>
      </c>
      <c r="T246" s="2">
        <v>102</v>
      </c>
      <c r="U246" s="2" t="s">
        <v>98</v>
      </c>
      <c r="V246" s="2" t="s">
        <v>98</v>
      </c>
      <c r="W246" s="2">
        <v>1</v>
      </c>
      <c r="X246" s="2">
        <v>6.1</v>
      </c>
    </row>
    <row r="247" spans="1:24" ht="15" customHeight="1">
      <c r="A247" s="2" t="s">
        <v>963</v>
      </c>
      <c r="B247" s="2" t="s">
        <v>964</v>
      </c>
      <c r="C247" s="2">
        <v>9</v>
      </c>
      <c r="D247" s="2" t="s">
        <v>177</v>
      </c>
      <c r="E247" s="2" t="s">
        <v>965</v>
      </c>
      <c r="F247" s="2" t="s">
        <v>184</v>
      </c>
      <c r="G247" s="2" t="s">
        <v>190</v>
      </c>
      <c r="H247" s="2" t="s">
        <v>173</v>
      </c>
      <c r="I247" s="2" t="s">
        <v>966</v>
      </c>
      <c r="J247" s="2" t="s">
        <v>81</v>
      </c>
      <c r="K247" s="2" t="s">
        <v>106</v>
      </c>
      <c r="L247" s="2" t="s">
        <v>50</v>
      </c>
      <c r="M247" s="2" t="s">
        <v>51</v>
      </c>
      <c r="N247" s="2" t="s">
        <v>70</v>
      </c>
      <c r="O247" s="2">
        <v>69697.41</v>
      </c>
      <c r="P247" s="2">
        <v>45.8</v>
      </c>
      <c r="Q247" s="2">
        <v>47300.49</v>
      </c>
      <c r="R247" s="2" t="s">
        <v>107</v>
      </c>
      <c r="S247" s="2">
        <v>653</v>
      </c>
      <c r="T247" s="2">
        <v>200</v>
      </c>
      <c r="U247" s="2" t="s">
        <v>39</v>
      </c>
      <c r="V247" s="2" t="s">
        <v>72</v>
      </c>
      <c r="W247" s="2">
        <v>1</v>
      </c>
      <c r="X247" s="2">
        <v>5.0999999999999996</v>
      </c>
    </row>
    <row r="248" spans="1:24" ht="15" customHeight="1">
      <c r="A248" s="2" t="s">
        <v>967</v>
      </c>
      <c r="B248" s="2" t="s">
        <v>968</v>
      </c>
      <c r="C248" s="2">
        <v>14</v>
      </c>
      <c r="D248" s="2" t="s">
        <v>28</v>
      </c>
      <c r="E248" s="2" t="s">
        <v>422</v>
      </c>
      <c r="F248" s="2" t="s">
        <v>184</v>
      </c>
      <c r="G248" s="2" t="s">
        <v>190</v>
      </c>
      <c r="H248" s="2" t="s">
        <v>46</v>
      </c>
      <c r="I248" s="2" t="s">
        <v>80</v>
      </c>
      <c r="J248" s="2" t="s">
        <v>90</v>
      </c>
      <c r="K248" s="2" t="s">
        <v>114</v>
      </c>
      <c r="L248" s="2" t="s">
        <v>115</v>
      </c>
      <c r="M248" s="2" t="s">
        <v>51</v>
      </c>
      <c r="N248" s="2" t="s">
        <v>70</v>
      </c>
      <c r="O248" s="2">
        <v>39994.269999999997</v>
      </c>
      <c r="P248" s="2">
        <v>59.5</v>
      </c>
      <c r="Q248" s="2">
        <v>59217.279999999999</v>
      </c>
      <c r="R248" s="2" t="s">
        <v>71</v>
      </c>
      <c r="S248" s="2">
        <v>681</v>
      </c>
      <c r="T248" s="2">
        <v>129</v>
      </c>
      <c r="U248" s="2" t="s">
        <v>72</v>
      </c>
      <c r="V248" s="2" t="s">
        <v>108</v>
      </c>
      <c r="W248" s="2">
        <v>4</v>
      </c>
      <c r="X248" s="2">
        <v>3</v>
      </c>
    </row>
    <row r="249" spans="1:24" ht="15" customHeight="1">
      <c r="A249" s="2" t="s">
        <v>969</v>
      </c>
      <c r="B249" s="2" t="s">
        <v>970</v>
      </c>
      <c r="C249" s="2">
        <v>21</v>
      </c>
      <c r="D249" s="2" t="s">
        <v>86</v>
      </c>
      <c r="E249" s="2" t="s">
        <v>971</v>
      </c>
      <c r="F249" s="2" t="s">
        <v>120</v>
      </c>
      <c r="G249" s="2" t="s">
        <v>217</v>
      </c>
      <c r="H249" s="2" t="s">
        <v>58</v>
      </c>
      <c r="I249" s="2" t="s">
        <v>404</v>
      </c>
      <c r="J249" s="2" t="s">
        <v>128</v>
      </c>
      <c r="K249" s="2" t="s">
        <v>67</v>
      </c>
      <c r="L249" s="2" t="s">
        <v>68</v>
      </c>
      <c r="M249" s="2" t="s">
        <v>51</v>
      </c>
      <c r="N249" s="2" t="s">
        <v>70</v>
      </c>
      <c r="O249" s="2">
        <v>70874.89</v>
      </c>
      <c r="P249" s="2">
        <v>36.9</v>
      </c>
      <c r="Q249" s="2">
        <v>24723.18</v>
      </c>
      <c r="R249" s="2" t="s">
        <v>71</v>
      </c>
      <c r="S249" s="2">
        <v>735</v>
      </c>
      <c r="T249" s="2">
        <v>121</v>
      </c>
      <c r="U249" s="2" t="s">
        <v>98</v>
      </c>
      <c r="V249" s="2" t="s">
        <v>122</v>
      </c>
      <c r="W249" s="2">
        <v>5</v>
      </c>
      <c r="X249" s="2">
        <v>3.9</v>
      </c>
    </row>
    <row r="250" spans="1:24" ht="15" customHeight="1">
      <c r="A250" s="2" t="s">
        <v>972</v>
      </c>
      <c r="B250" s="2" t="s">
        <v>973</v>
      </c>
      <c r="C250" s="2">
        <v>22</v>
      </c>
      <c r="D250" s="2" t="s">
        <v>177</v>
      </c>
      <c r="E250" s="2" t="s">
        <v>974</v>
      </c>
      <c r="F250" s="2" t="s">
        <v>103</v>
      </c>
      <c r="G250" s="2" t="s">
        <v>179</v>
      </c>
      <c r="H250" s="2" t="s">
        <v>79</v>
      </c>
      <c r="I250" s="2" t="s">
        <v>975</v>
      </c>
      <c r="J250" s="2" t="s">
        <v>48</v>
      </c>
      <c r="K250" s="2" t="s">
        <v>67</v>
      </c>
      <c r="L250" s="2" t="s">
        <v>68</v>
      </c>
      <c r="M250" s="2" t="s">
        <v>51</v>
      </c>
      <c r="N250" s="2" t="s">
        <v>36</v>
      </c>
      <c r="O250" s="2">
        <v>130174.39</v>
      </c>
      <c r="P250" s="2">
        <v>20.9</v>
      </c>
      <c r="Q250" s="2">
        <v>28401.33</v>
      </c>
      <c r="R250" s="2" t="s">
        <v>148</v>
      </c>
      <c r="S250" s="2">
        <v>872</v>
      </c>
      <c r="T250" s="2">
        <v>30</v>
      </c>
      <c r="U250" s="2" t="s">
        <v>72</v>
      </c>
      <c r="V250" s="2" t="s">
        <v>122</v>
      </c>
      <c r="W250" s="2">
        <v>5</v>
      </c>
      <c r="X250" s="2">
        <v>3</v>
      </c>
    </row>
    <row r="251" spans="1:24" ht="15" customHeight="1">
      <c r="A251" s="2" t="s">
        <v>976</v>
      </c>
      <c r="B251" s="2" t="s">
        <v>977</v>
      </c>
      <c r="C251" s="2">
        <v>25</v>
      </c>
      <c r="D251" s="2" t="s">
        <v>42</v>
      </c>
      <c r="E251" s="2" t="s">
        <v>978</v>
      </c>
      <c r="F251" s="2" t="s">
        <v>44</v>
      </c>
      <c r="G251" s="2" t="s">
        <v>217</v>
      </c>
      <c r="H251" s="2" t="s">
        <v>79</v>
      </c>
      <c r="I251" s="2" t="s">
        <v>979</v>
      </c>
      <c r="J251" s="2" t="s">
        <v>128</v>
      </c>
      <c r="K251" s="2" t="s">
        <v>67</v>
      </c>
      <c r="L251" s="2" t="s">
        <v>68</v>
      </c>
      <c r="M251" s="2" t="s">
        <v>35</v>
      </c>
      <c r="N251" s="2" t="s">
        <v>70</v>
      </c>
      <c r="O251" s="2">
        <v>5302.43</v>
      </c>
      <c r="P251" s="2">
        <v>10.1</v>
      </c>
      <c r="Q251" s="2">
        <v>2680.95</v>
      </c>
      <c r="R251" s="2" t="s">
        <v>129</v>
      </c>
      <c r="S251" s="2">
        <v>617</v>
      </c>
      <c r="T251" s="2">
        <v>86</v>
      </c>
      <c r="U251" s="2" t="s">
        <v>73</v>
      </c>
      <c r="V251" s="2" t="s">
        <v>83</v>
      </c>
      <c r="W251" s="2">
        <v>5</v>
      </c>
      <c r="X251" s="2">
        <v>5.9</v>
      </c>
    </row>
    <row r="252" spans="1:24" ht="15" customHeight="1">
      <c r="A252" s="2" t="s">
        <v>980</v>
      </c>
      <c r="B252" s="2" t="s">
        <v>981</v>
      </c>
      <c r="C252" s="2">
        <v>15</v>
      </c>
      <c r="D252" s="2" t="s">
        <v>188</v>
      </c>
      <c r="E252" s="2" t="s">
        <v>422</v>
      </c>
      <c r="F252" s="2" t="s">
        <v>120</v>
      </c>
      <c r="G252" s="2" t="s">
        <v>179</v>
      </c>
      <c r="H252" s="2" t="s">
        <v>58</v>
      </c>
      <c r="I252" s="2" t="s">
        <v>331</v>
      </c>
      <c r="J252" s="2" t="s">
        <v>48</v>
      </c>
      <c r="K252" s="2" t="s">
        <v>114</v>
      </c>
      <c r="L252" s="2" t="s">
        <v>115</v>
      </c>
      <c r="M252" s="2" t="s">
        <v>51</v>
      </c>
      <c r="N252" s="2" t="s">
        <v>36</v>
      </c>
      <c r="O252" s="2">
        <v>17836.830000000002</v>
      </c>
      <c r="P252" s="2">
        <v>6.9</v>
      </c>
      <c r="Q252" s="2">
        <v>37806.550000000003</v>
      </c>
      <c r="R252" s="2" t="s">
        <v>37</v>
      </c>
      <c r="S252" s="2">
        <v>874</v>
      </c>
      <c r="T252" s="2">
        <v>164</v>
      </c>
      <c r="U252" s="2" t="s">
        <v>83</v>
      </c>
      <c r="V252" s="2" t="s">
        <v>83</v>
      </c>
      <c r="W252" s="2">
        <v>4</v>
      </c>
      <c r="X252" s="2">
        <v>4.8</v>
      </c>
    </row>
    <row r="253" spans="1:24" ht="15" customHeight="1">
      <c r="A253" s="2" t="s">
        <v>982</v>
      </c>
      <c r="B253" s="2" t="s">
        <v>983</v>
      </c>
      <c r="C253" s="2">
        <v>40</v>
      </c>
      <c r="D253" s="2" t="s">
        <v>93</v>
      </c>
      <c r="E253" s="2" t="s">
        <v>194</v>
      </c>
      <c r="F253" s="2" t="s">
        <v>167</v>
      </c>
      <c r="G253" s="2" t="s">
        <v>78</v>
      </c>
      <c r="H253" s="2" t="s">
        <v>32</v>
      </c>
      <c r="I253" s="2" t="s">
        <v>984</v>
      </c>
      <c r="J253" s="2" t="s">
        <v>113</v>
      </c>
      <c r="K253" s="2" t="s">
        <v>67</v>
      </c>
      <c r="L253" s="2" t="s">
        <v>68</v>
      </c>
      <c r="M253" s="2" t="s">
        <v>51</v>
      </c>
      <c r="N253" s="2" t="s">
        <v>60</v>
      </c>
      <c r="O253" s="2">
        <v>54293.7</v>
      </c>
      <c r="P253" s="2">
        <v>6.8</v>
      </c>
      <c r="Q253" s="2">
        <v>31674.11</v>
      </c>
      <c r="R253" s="2" t="s">
        <v>158</v>
      </c>
      <c r="S253" s="2">
        <v>393</v>
      </c>
      <c r="T253" s="2">
        <v>25</v>
      </c>
      <c r="U253" s="2" t="s">
        <v>122</v>
      </c>
      <c r="V253" s="2" t="s">
        <v>83</v>
      </c>
      <c r="W253" s="2">
        <v>3</v>
      </c>
      <c r="X253" s="2">
        <v>7</v>
      </c>
    </row>
    <row r="254" spans="1:24" ht="15" customHeight="1">
      <c r="A254" s="2" t="s">
        <v>985</v>
      </c>
      <c r="B254" s="2" t="s">
        <v>986</v>
      </c>
      <c r="C254" s="2">
        <v>16</v>
      </c>
      <c r="D254" s="2" t="s">
        <v>55</v>
      </c>
      <c r="E254" s="2" t="s">
        <v>495</v>
      </c>
      <c r="F254" s="2" t="s">
        <v>57</v>
      </c>
      <c r="G254" s="2" t="s">
        <v>162</v>
      </c>
      <c r="H254" s="2" t="s">
        <v>245</v>
      </c>
      <c r="I254" s="2" t="s">
        <v>987</v>
      </c>
      <c r="J254" s="2" t="s">
        <v>34</v>
      </c>
      <c r="K254" s="2" t="s">
        <v>114</v>
      </c>
      <c r="L254" s="2" t="s">
        <v>115</v>
      </c>
      <c r="M254" s="2" t="s">
        <v>51</v>
      </c>
      <c r="N254" s="2" t="s">
        <v>70</v>
      </c>
      <c r="O254" s="2">
        <v>141528.74</v>
      </c>
      <c r="P254" s="2">
        <v>8.9</v>
      </c>
      <c r="Q254" s="2">
        <v>14377.38</v>
      </c>
      <c r="R254" s="2"/>
      <c r="S254" s="2">
        <v>542</v>
      </c>
      <c r="T254" s="2">
        <v>192</v>
      </c>
      <c r="U254" s="2" t="s">
        <v>72</v>
      </c>
      <c r="V254" s="2" t="s">
        <v>72</v>
      </c>
      <c r="W254" s="2">
        <v>3</v>
      </c>
      <c r="X254" s="2">
        <v>4.5</v>
      </c>
    </row>
    <row r="255" spans="1:24" ht="15" customHeight="1">
      <c r="A255" s="2" t="s">
        <v>988</v>
      </c>
      <c r="B255" s="2" t="s">
        <v>989</v>
      </c>
      <c r="C255" s="2">
        <v>32</v>
      </c>
      <c r="D255" s="2" t="s">
        <v>93</v>
      </c>
      <c r="E255" s="2" t="s">
        <v>441</v>
      </c>
      <c r="F255" s="2" t="s">
        <v>120</v>
      </c>
      <c r="G255" s="2" t="s">
        <v>31</v>
      </c>
      <c r="H255" s="2" t="s">
        <v>104</v>
      </c>
      <c r="I255" s="2" t="s">
        <v>990</v>
      </c>
      <c r="J255" s="2" t="s">
        <v>128</v>
      </c>
      <c r="K255" s="2" t="s">
        <v>67</v>
      </c>
      <c r="L255" s="2" t="s">
        <v>68</v>
      </c>
      <c r="M255" s="2" t="s">
        <v>51</v>
      </c>
      <c r="N255" s="2" t="s">
        <v>36</v>
      </c>
      <c r="O255" s="2">
        <v>77562.69</v>
      </c>
      <c r="P255" s="2">
        <v>15.7</v>
      </c>
      <c r="Q255" s="2">
        <v>32426.39</v>
      </c>
      <c r="R255" s="2" t="s">
        <v>52</v>
      </c>
      <c r="S255" s="2">
        <v>850</v>
      </c>
      <c r="T255" s="2">
        <v>142</v>
      </c>
      <c r="U255" s="2" t="s">
        <v>72</v>
      </c>
      <c r="V255" s="2" t="s">
        <v>98</v>
      </c>
      <c r="W255" s="2">
        <v>5</v>
      </c>
      <c r="X255" s="2">
        <v>3</v>
      </c>
    </row>
    <row r="256" spans="1:24" ht="15" customHeight="1">
      <c r="A256" s="2" t="s">
        <v>991</v>
      </c>
      <c r="B256" s="2" t="s">
        <v>992</v>
      </c>
      <c r="C256" s="2"/>
      <c r="D256" s="2" t="s">
        <v>42</v>
      </c>
      <c r="E256" s="2" t="s">
        <v>526</v>
      </c>
      <c r="F256" s="2" t="s">
        <v>95</v>
      </c>
      <c r="G256" s="2" t="s">
        <v>96</v>
      </c>
      <c r="H256" s="2" t="s">
        <v>104</v>
      </c>
      <c r="I256" s="2" t="s">
        <v>163</v>
      </c>
      <c r="J256" s="2" t="s">
        <v>34</v>
      </c>
      <c r="K256" s="2"/>
      <c r="L256" s="2"/>
      <c r="M256" s="2" t="s">
        <v>51</v>
      </c>
      <c r="N256" s="2" t="s">
        <v>70</v>
      </c>
      <c r="O256" s="2">
        <v>18008.689999999999</v>
      </c>
      <c r="P256" s="2">
        <v>67.3</v>
      </c>
      <c r="Q256" s="2">
        <v>43504.43</v>
      </c>
      <c r="R256" s="2" t="s">
        <v>158</v>
      </c>
      <c r="S256" s="2">
        <v>515</v>
      </c>
      <c r="T256" s="2">
        <v>81</v>
      </c>
      <c r="U256" s="2" t="s">
        <v>38</v>
      </c>
      <c r="V256" s="2" t="s">
        <v>38</v>
      </c>
      <c r="W256" s="2">
        <v>2</v>
      </c>
      <c r="X256" s="2">
        <v>6.1</v>
      </c>
    </row>
    <row r="257" spans="1:24" ht="15" customHeight="1">
      <c r="A257" s="2" t="s">
        <v>993</v>
      </c>
      <c r="B257" s="2" t="s">
        <v>994</v>
      </c>
      <c r="C257" s="2">
        <v>44</v>
      </c>
      <c r="D257" s="2" t="s">
        <v>188</v>
      </c>
      <c r="E257" s="2" t="s">
        <v>750</v>
      </c>
      <c r="F257" s="2" t="s">
        <v>57</v>
      </c>
      <c r="G257" s="2" t="s">
        <v>162</v>
      </c>
      <c r="H257" s="2" t="s">
        <v>32</v>
      </c>
      <c r="I257" s="2" t="s">
        <v>995</v>
      </c>
      <c r="J257" s="2" t="s">
        <v>113</v>
      </c>
      <c r="K257" s="2" t="s">
        <v>67</v>
      </c>
      <c r="L257" s="2" t="s">
        <v>68</v>
      </c>
      <c r="M257" s="2" t="s">
        <v>51</v>
      </c>
      <c r="N257" s="2" t="s">
        <v>70</v>
      </c>
      <c r="O257" s="2">
        <v>115557.46</v>
      </c>
      <c r="P257" s="2">
        <v>64</v>
      </c>
      <c r="Q257" s="2">
        <v>38945.839999999997</v>
      </c>
      <c r="R257" s="2" t="s">
        <v>71</v>
      </c>
      <c r="S257" s="2">
        <v>755</v>
      </c>
      <c r="T257" s="2">
        <v>90</v>
      </c>
      <c r="U257" s="2" t="s">
        <v>38</v>
      </c>
      <c r="V257" s="2" t="s">
        <v>39</v>
      </c>
      <c r="W257" s="2">
        <v>1</v>
      </c>
      <c r="X257" s="2">
        <v>1.6</v>
      </c>
    </row>
    <row r="258" spans="1:24" ht="15" customHeight="1">
      <c r="A258" s="2" t="s">
        <v>996</v>
      </c>
      <c r="B258" s="2" t="s">
        <v>997</v>
      </c>
      <c r="C258" s="2">
        <v>6</v>
      </c>
      <c r="D258" s="2" t="s">
        <v>93</v>
      </c>
      <c r="E258" s="2" t="s">
        <v>998</v>
      </c>
      <c r="F258" s="2" t="s">
        <v>88</v>
      </c>
      <c r="G258" s="2" t="s">
        <v>78</v>
      </c>
      <c r="H258" s="2" t="s">
        <v>65</v>
      </c>
      <c r="I258" s="2" t="s">
        <v>999</v>
      </c>
      <c r="J258" s="2" t="s">
        <v>34</v>
      </c>
      <c r="K258" s="2" t="s">
        <v>106</v>
      </c>
      <c r="L258" s="2" t="s">
        <v>50</v>
      </c>
      <c r="M258" s="2" t="s">
        <v>51</v>
      </c>
      <c r="N258" s="2" t="s">
        <v>60</v>
      </c>
      <c r="O258" s="2">
        <v>45709.67</v>
      </c>
      <c r="P258" s="2">
        <v>58</v>
      </c>
      <c r="Q258" s="2">
        <v>12545.18</v>
      </c>
      <c r="R258" s="2" t="s">
        <v>97</v>
      </c>
      <c r="S258" s="2">
        <v>413</v>
      </c>
      <c r="T258" s="2">
        <v>145</v>
      </c>
      <c r="U258" s="2" t="s">
        <v>39</v>
      </c>
      <c r="V258" s="2" t="s">
        <v>83</v>
      </c>
      <c r="W258" s="2">
        <v>1</v>
      </c>
      <c r="X258" s="2">
        <v>5.5</v>
      </c>
    </row>
    <row r="259" spans="1:24" ht="15" customHeight="1">
      <c r="A259" s="2" t="s">
        <v>1000</v>
      </c>
      <c r="B259" s="2" t="s">
        <v>1001</v>
      </c>
      <c r="C259" s="2">
        <v>42</v>
      </c>
      <c r="D259" s="2" t="s">
        <v>55</v>
      </c>
      <c r="E259" s="2" t="s">
        <v>307</v>
      </c>
      <c r="F259" s="2" t="s">
        <v>77</v>
      </c>
      <c r="G259" s="2" t="s">
        <v>78</v>
      </c>
      <c r="H259" s="2" t="s">
        <v>245</v>
      </c>
      <c r="I259" s="2" t="s">
        <v>1002</v>
      </c>
      <c r="J259" s="2" t="s">
        <v>90</v>
      </c>
      <c r="K259" s="2" t="s">
        <v>67</v>
      </c>
      <c r="L259" s="2" t="s">
        <v>68</v>
      </c>
      <c r="M259" s="2" t="s">
        <v>51</v>
      </c>
      <c r="N259" s="2" t="s">
        <v>36</v>
      </c>
      <c r="O259" s="2">
        <v>12520.11</v>
      </c>
      <c r="P259" s="2">
        <v>37.4</v>
      </c>
      <c r="Q259" s="2">
        <v>59706.39</v>
      </c>
      <c r="R259" s="2" t="s">
        <v>138</v>
      </c>
      <c r="S259" s="2">
        <v>830</v>
      </c>
      <c r="T259" s="2">
        <v>92</v>
      </c>
      <c r="U259" s="2" t="s">
        <v>83</v>
      </c>
      <c r="V259" s="2" t="s">
        <v>122</v>
      </c>
      <c r="W259" s="2">
        <v>4</v>
      </c>
      <c r="X259" s="2">
        <v>5</v>
      </c>
    </row>
    <row r="260" spans="1:24" ht="15" customHeight="1">
      <c r="A260" s="2" t="s">
        <v>1003</v>
      </c>
      <c r="B260" s="2" t="s">
        <v>1004</v>
      </c>
      <c r="C260" s="2">
        <v>27</v>
      </c>
      <c r="D260" s="2" t="s">
        <v>55</v>
      </c>
      <c r="E260" s="2" t="s">
        <v>1005</v>
      </c>
      <c r="F260" s="2" t="s">
        <v>167</v>
      </c>
      <c r="G260" s="2" t="s">
        <v>179</v>
      </c>
      <c r="H260" s="2" t="s">
        <v>65</v>
      </c>
      <c r="I260" s="2" t="s">
        <v>1006</v>
      </c>
      <c r="J260" s="2" t="s">
        <v>128</v>
      </c>
      <c r="K260" s="2" t="s">
        <v>67</v>
      </c>
      <c r="L260" s="2" t="s">
        <v>68</v>
      </c>
      <c r="M260" s="2" t="s">
        <v>35</v>
      </c>
      <c r="N260" s="2" t="s">
        <v>60</v>
      </c>
      <c r="O260" s="2">
        <v>74595.13</v>
      </c>
      <c r="P260" s="2">
        <v>49.4</v>
      </c>
      <c r="Q260" s="2">
        <v>37577.83</v>
      </c>
      <c r="R260" s="2" t="s">
        <v>158</v>
      </c>
      <c r="S260" s="2">
        <v>553</v>
      </c>
      <c r="T260" s="2">
        <v>61</v>
      </c>
      <c r="U260" s="2" t="s">
        <v>72</v>
      </c>
      <c r="V260" s="2" t="s">
        <v>39</v>
      </c>
      <c r="W260" s="2">
        <v>1</v>
      </c>
      <c r="X260" s="2">
        <v>7.1</v>
      </c>
    </row>
    <row r="261" spans="1:24" ht="15" customHeight="1">
      <c r="A261" s="2" t="s">
        <v>1007</v>
      </c>
      <c r="B261" s="2" t="s">
        <v>1008</v>
      </c>
      <c r="C261" s="2">
        <v>34</v>
      </c>
      <c r="D261" s="2" t="s">
        <v>93</v>
      </c>
      <c r="E261" s="2" t="s">
        <v>319</v>
      </c>
      <c r="F261" s="2" t="s">
        <v>44</v>
      </c>
      <c r="G261" s="2" t="s">
        <v>179</v>
      </c>
      <c r="H261" s="2" t="s">
        <v>173</v>
      </c>
      <c r="I261" s="2" t="s">
        <v>1009</v>
      </c>
      <c r="J261" s="2" t="s">
        <v>90</v>
      </c>
      <c r="K261" s="2" t="s">
        <v>67</v>
      </c>
      <c r="L261" s="2" t="s">
        <v>68</v>
      </c>
      <c r="M261" s="2" t="s">
        <v>51</v>
      </c>
      <c r="N261" s="2" t="s">
        <v>60</v>
      </c>
      <c r="O261" s="2">
        <v>19765</v>
      </c>
      <c r="P261" s="2">
        <v>8.9</v>
      </c>
      <c r="Q261" s="2">
        <v>50995.76</v>
      </c>
      <c r="R261" s="2" t="s">
        <v>138</v>
      </c>
      <c r="S261" s="2">
        <v>720</v>
      </c>
      <c r="T261" s="2">
        <v>153</v>
      </c>
      <c r="U261" s="2" t="s">
        <v>98</v>
      </c>
      <c r="V261" s="2" t="s">
        <v>73</v>
      </c>
      <c r="W261" s="2">
        <v>4</v>
      </c>
      <c r="X261" s="2">
        <v>8</v>
      </c>
    </row>
    <row r="262" spans="1:24" ht="15" customHeight="1">
      <c r="A262" s="2" t="s">
        <v>1010</v>
      </c>
      <c r="B262" s="2" t="s">
        <v>1011</v>
      </c>
      <c r="C262" s="2">
        <v>7</v>
      </c>
      <c r="D262" s="2" t="s">
        <v>171</v>
      </c>
      <c r="E262" s="2" t="s">
        <v>765</v>
      </c>
      <c r="F262" s="2" t="s">
        <v>167</v>
      </c>
      <c r="G262" s="2" t="s">
        <v>31</v>
      </c>
      <c r="H262" s="2" t="s">
        <v>65</v>
      </c>
      <c r="I262" s="2" t="s">
        <v>415</v>
      </c>
      <c r="J262" s="2" t="s">
        <v>81</v>
      </c>
      <c r="K262" s="2" t="s">
        <v>106</v>
      </c>
      <c r="L262" s="2" t="s">
        <v>50</v>
      </c>
      <c r="M262" s="2" t="s">
        <v>51</v>
      </c>
      <c r="N262" s="2" t="s">
        <v>36</v>
      </c>
      <c r="O262" s="2">
        <v>23267.34</v>
      </c>
      <c r="P262" s="2">
        <v>31.7</v>
      </c>
      <c r="Q262" s="2">
        <v>28883.96</v>
      </c>
      <c r="R262" s="2" t="s">
        <v>107</v>
      </c>
      <c r="S262" s="2">
        <v>490</v>
      </c>
      <c r="T262" s="2">
        <v>11</v>
      </c>
      <c r="U262" s="2" t="s">
        <v>83</v>
      </c>
      <c r="V262" s="2" t="s">
        <v>73</v>
      </c>
      <c r="W262" s="2">
        <v>5</v>
      </c>
      <c r="X262" s="2">
        <v>8.6999999999999993</v>
      </c>
    </row>
    <row r="263" spans="1:24" ht="15" customHeight="1">
      <c r="A263" s="2" t="s">
        <v>1012</v>
      </c>
      <c r="B263" s="2" t="s">
        <v>1013</v>
      </c>
      <c r="C263" s="2">
        <v>40</v>
      </c>
      <c r="D263" s="2" t="s">
        <v>101</v>
      </c>
      <c r="E263" s="2" t="s">
        <v>1014</v>
      </c>
      <c r="F263" s="2" t="s">
        <v>120</v>
      </c>
      <c r="G263" s="2" t="s">
        <v>96</v>
      </c>
      <c r="H263" s="2" t="s">
        <v>126</v>
      </c>
      <c r="I263" s="2" t="s">
        <v>523</v>
      </c>
      <c r="J263" s="2" t="s">
        <v>90</v>
      </c>
      <c r="K263" s="2" t="s">
        <v>67</v>
      </c>
      <c r="L263" s="2" t="s">
        <v>68</v>
      </c>
      <c r="M263" s="2" t="s">
        <v>35</v>
      </c>
      <c r="N263" s="2" t="s">
        <v>36</v>
      </c>
      <c r="O263" s="2">
        <v>129511.82</v>
      </c>
      <c r="P263" s="2">
        <v>19.7</v>
      </c>
      <c r="Q263" s="2">
        <v>12022.31</v>
      </c>
      <c r="R263" s="2" t="s">
        <v>71</v>
      </c>
      <c r="S263" s="2">
        <v>649</v>
      </c>
      <c r="T263" s="2">
        <v>121</v>
      </c>
      <c r="U263" s="2" t="s">
        <v>38</v>
      </c>
      <c r="V263" s="2" t="s">
        <v>38</v>
      </c>
      <c r="W263" s="2">
        <v>4</v>
      </c>
      <c r="X263" s="2">
        <v>3.3</v>
      </c>
    </row>
    <row r="264" spans="1:24" ht="15" customHeight="1">
      <c r="A264" s="2" t="s">
        <v>1015</v>
      </c>
      <c r="B264" s="2" t="s">
        <v>1016</v>
      </c>
      <c r="C264" s="2">
        <v>8</v>
      </c>
      <c r="D264" s="2" t="s">
        <v>28</v>
      </c>
      <c r="E264" s="2" t="s">
        <v>1017</v>
      </c>
      <c r="F264" s="2" t="s">
        <v>167</v>
      </c>
      <c r="G264" s="2" t="s">
        <v>78</v>
      </c>
      <c r="H264" s="2" t="s">
        <v>152</v>
      </c>
      <c r="I264" s="2" t="s">
        <v>258</v>
      </c>
      <c r="J264" s="2" t="s">
        <v>48</v>
      </c>
      <c r="K264" s="2" t="s">
        <v>106</v>
      </c>
      <c r="L264" s="2" t="s">
        <v>50</v>
      </c>
      <c r="M264" s="2" t="s">
        <v>51</v>
      </c>
      <c r="N264" s="2" t="s">
        <v>36</v>
      </c>
      <c r="O264" s="2">
        <v>59507.21</v>
      </c>
      <c r="P264" s="2">
        <v>67</v>
      </c>
      <c r="Q264" s="2">
        <v>403.52</v>
      </c>
      <c r="R264" s="2" t="s">
        <v>71</v>
      </c>
      <c r="S264" s="2">
        <v>666</v>
      </c>
      <c r="T264" s="2">
        <v>29</v>
      </c>
      <c r="U264" s="2" t="s">
        <v>122</v>
      </c>
      <c r="V264" s="2" t="s">
        <v>39</v>
      </c>
      <c r="W264" s="2">
        <v>5</v>
      </c>
      <c r="X264" s="2">
        <v>8.3000000000000007</v>
      </c>
    </row>
    <row r="265" spans="1:24" ht="15" customHeight="1">
      <c r="A265" s="2" t="s">
        <v>1018</v>
      </c>
      <c r="B265" s="2" t="s">
        <v>1019</v>
      </c>
      <c r="C265" s="2">
        <v>18</v>
      </c>
      <c r="D265" s="2" t="s">
        <v>86</v>
      </c>
      <c r="E265" s="2" t="s">
        <v>1020</v>
      </c>
      <c r="F265" s="2" t="s">
        <v>77</v>
      </c>
      <c r="G265" s="2" t="s">
        <v>217</v>
      </c>
      <c r="H265" s="2" t="s">
        <v>173</v>
      </c>
      <c r="I265" s="2" t="s">
        <v>1021</v>
      </c>
      <c r="J265" s="2" t="s">
        <v>90</v>
      </c>
      <c r="K265" s="2" t="s">
        <v>147</v>
      </c>
      <c r="L265" s="2" t="s">
        <v>115</v>
      </c>
      <c r="M265" s="2" t="s">
        <v>35</v>
      </c>
      <c r="N265" s="2" t="s">
        <v>60</v>
      </c>
      <c r="O265" s="2">
        <v>8044.1</v>
      </c>
      <c r="P265" s="2">
        <v>33.4</v>
      </c>
      <c r="Q265" s="2">
        <v>47244.84</v>
      </c>
      <c r="R265" s="2" t="s">
        <v>61</v>
      </c>
      <c r="S265" s="2">
        <v>515</v>
      </c>
      <c r="T265" s="2">
        <v>61</v>
      </c>
      <c r="U265" s="2" t="s">
        <v>38</v>
      </c>
      <c r="V265" s="2" t="s">
        <v>98</v>
      </c>
      <c r="W265" s="2">
        <v>1</v>
      </c>
      <c r="X265" s="2">
        <v>1.5</v>
      </c>
    </row>
    <row r="266" spans="1:24" ht="15" customHeight="1">
      <c r="A266" s="2" t="s">
        <v>1022</v>
      </c>
      <c r="B266" s="2" t="s">
        <v>1023</v>
      </c>
      <c r="C266" s="2">
        <v>18</v>
      </c>
      <c r="D266" s="2" t="s">
        <v>55</v>
      </c>
      <c r="E266" s="2" t="s">
        <v>1024</v>
      </c>
      <c r="F266" s="2" t="s">
        <v>88</v>
      </c>
      <c r="G266" s="2" t="s">
        <v>96</v>
      </c>
      <c r="H266" s="2" t="s">
        <v>32</v>
      </c>
      <c r="I266" s="2" t="s">
        <v>33</v>
      </c>
      <c r="J266" s="2" t="s">
        <v>81</v>
      </c>
      <c r="K266" s="2" t="s">
        <v>147</v>
      </c>
      <c r="L266" s="2" t="s">
        <v>115</v>
      </c>
      <c r="M266" s="2" t="s">
        <v>51</v>
      </c>
      <c r="N266" s="2" t="s">
        <v>70</v>
      </c>
      <c r="O266" s="2">
        <v>119490.23</v>
      </c>
      <c r="P266" s="2">
        <v>9</v>
      </c>
      <c r="Q266" s="2">
        <v>47736.72</v>
      </c>
      <c r="R266" s="2" t="s">
        <v>97</v>
      </c>
      <c r="S266" s="2">
        <v>514</v>
      </c>
      <c r="T266" s="2">
        <v>200</v>
      </c>
      <c r="U266" s="2" t="s">
        <v>72</v>
      </c>
      <c r="V266" s="2" t="s">
        <v>98</v>
      </c>
      <c r="W266" s="2">
        <v>5</v>
      </c>
      <c r="X266" s="2">
        <v>3.7</v>
      </c>
    </row>
    <row r="267" spans="1:24" ht="15" customHeight="1">
      <c r="A267" s="2" t="s">
        <v>1025</v>
      </c>
      <c r="B267" s="2" t="s">
        <v>1026</v>
      </c>
      <c r="C267" s="2">
        <v>29</v>
      </c>
      <c r="D267" s="2" t="s">
        <v>177</v>
      </c>
      <c r="E267" s="2" t="s">
        <v>1027</v>
      </c>
      <c r="F267" s="2" t="s">
        <v>120</v>
      </c>
      <c r="G267" s="2" t="s">
        <v>179</v>
      </c>
      <c r="H267" s="2" t="s">
        <v>32</v>
      </c>
      <c r="I267" s="2" t="s">
        <v>1028</v>
      </c>
      <c r="J267" s="2" t="s">
        <v>113</v>
      </c>
      <c r="K267" s="2" t="s">
        <v>67</v>
      </c>
      <c r="L267" s="2" t="s">
        <v>68</v>
      </c>
      <c r="M267" s="2" t="s">
        <v>51</v>
      </c>
      <c r="N267" s="2" t="s">
        <v>70</v>
      </c>
      <c r="O267" s="2">
        <v>66628.31</v>
      </c>
      <c r="P267" s="2">
        <v>16.8</v>
      </c>
      <c r="Q267" s="2">
        <v>50545.9</v>
      </c>
      <c r="R267" s="2" t="s">
        <v>129</v>
      </c>
      <c r="S267" s="2">
        <v>386</v>
      </c>
      <c r="T267" s="2">
        <v>21</v>
      </c>
      <c r="U267" s="2" t="s">
        <v>73</v>
      </c>
      <c r="V267" s="2" t="s">
        <v>39</v>
      </c>
      <c r="W267" s="2">
        <v>5</v>
      </c>
      <c r="X267" s="2">
        <v>0.8</v>
      </c>
    </row>
    <row r="268" spans="1:24" ht="15" customHeight="1">
      <c r="A268" s="2" t="s">
        <v>1029</v>
      </c>
      <c r="B268" s="2" t="s">
        <v>1030</v>
      </c>
      <c r="C268" s="2">
        <v>34</v>
      </c>
      <c r="D268" s="2" t="s">
        <v>177</v>
      </c>
      <c r="E268" s="2" t="s">
        <v>1031</v>
      </c>
      <c r="F268" s="2" t="s">
        <v>103</v>
      </c>
      <c r="G268" s="2" t="s">
        <v>96</v>
      </c>
      <c r="H268" s="2" t="s">
        <v>126</v>
      </c>
      <c r="I268" s="2" t="s">
        <v>105</v>
      </c>
      <c r="J268" s="2" t="s">
        <v>34</v>
      </c>
      <c r="K268" s="2" t="s">
        <v>67</v>
      </c>
      <c r="L268" s="2" t="s">
        <v>68</v>
      </c>
      <c r="M268" s="2" t="s">
        <v>0</v>
      </c>
      <c r="N268" s="2" t="s">
        <v>60</v>
      </c>
      <c r="O268" s="2">
        <v>47705.08</v>
      </c>
      <c r="P268" s="2">
        <v>46</v>
      </c>
      <c r="Q268" s="2">
        <v>4689.54</v>
      </c>
      <c r="R268" s="2" t="s">
        <v>138</v>
      </c>
      <c r="S268" s="2">
        <v>400</v>
      </c>
      <c r="T268" s="2">
        <v>92</v>
      </c>
      <c r="U268" s="2" t="s">
        <v>83</v>
      </c>
      <c r="V268" s="2" t="s">
        <v>39</v>
      </c>
      <c r="W268" s="2">
        <v>3</v>
      </c>
      <c r="X268" s="2">
        <v>2.6</v>
      </c>
    </row>
    <row r="269" spans="1:24" ht="15" customHeight="1">
      <c r="A269" s="2" t="s">
        <v>1032</v>
      </c>
      <c r="B269" s="2" t="s">
        <v>1033</v>
      </c>
      <c r="C269" s="2">
        <v>23</v>
      </c>
      <c r="D269" s="2" t="s">
        <v>55</v>
      </c>
      <c r="E269" s="2" t="s">
        <v>506</v>
      </c>
      <c r="F269" s="2" t="s">
        <v>184</v>
      </c>
      <c r="G269" s="2" t="s">
        <v>190</v>
      </c>
      <c r="H269" s="2" t="s">
        <v>245</v>
      </c>
      <c r="I269" s="2" t="s">
        <v>1034</v>
      </c>
      <c r="J269" s="2" t="s">
        <v>113</v>
      </c>
      <c r="K269" s="2" t="s">
        <v>67</v>
      </c>
      <c r="L269" s="2" t="s">
        <v>68</v>
      </c>
      <c r="M269" s="2" t="s">
        <v>51</v>
      </c>
      <c r="N269" s="2" t="s">
        <v>36</v>
      </c>
      <c r="O269" s="2">
        <v>6724.15</v>
      </c>
      <c r="P269" s="2">
        <v>79.2</v>
      </c>
      <c r="Q269" s="2">
        <v>57089.33</v>
      </c>
      <c r="R269" s="2" t="s">
        <v>138</v>
      </c>
      <c r="S269" s="2">
        <v>532</v>
      </c>
      <c r="T269" s="2">
        <v>53</v>
      </c>
      <c r="U269" s="2" t="s">
        <v>39</v>
      </c>
      <c r="V269" s="2" t="s">
        <v>73</v>
      </c>
      <c r="W269" s="2">
        <v>3</v>
      </c>
      <c r="X269" s="2">
        <v>7.2</v>
      </c>
    </row>
    <row r="270" spans="1:24" ht="15" customHeight="1">
      <c r="A270" s="2" t="s">
        <v>1035</v>
      </c>
      <c r="B270" s="2" t="s">
        <v>1036</v>
      </c>
      <c r="C270" s="2">
        <v>32</v>
      </c>
      <c r="D270" s="2" t="s">
        <v>118</v>
      </c>
      <c r="E270" s="2" t="s">
        <v>334</v>
      </c>
      <c r="F270" s="2" t="s">
        <v>184</v>
      </c>
      <c r="G270" s="2" t="s">
        <v>162</v>
      </c>
      <c r="H270" s="2" t="s">
        <v>173</v>
      </c>
      <c r="I270" s="2" t="s">
        <v>1037</v>
      </c>
      <c r="J270" s="2" t="s">
        <v>128</v>
      </c>
      <c r="K270" s="2" t="s">
        <v>67</v>
      </c>
      <c r="L270" s="2" t="s">
        <v>68</v>
      </c>
      <c r="M270" s="2" t="s">
        <v>69</v>
      </c>
      <c r="N270" s="2" t="s">
        <v>36</v>
      </c>
      <c r="O270" s="2">
        <v>125973.34</v>
      </c>
      <c r="P270" s="2">
        <v>36.4</v>
      </c>
      <c r="Q270" s="2">
        <v>41145.769999999997</v>
      </c>
      <c r="R270" s="2" t="s">
        <v>129</v>
      </c>
      <c r="S270" s="2">
        <v>850</v>
      </c>
      <c r="T270" s="2">
        <v>150</v>
      </c>
      <c r="U270" s="2" t="s">
        <v>108</v>
      </c>
      <c r="V270" s="2" t="s">
        <v>83</v>
      </c>
      <c r="W270" s="2">
        <v>3</v>
      </c>
      <c r="X270" s="2">
        <v>5.3</v>
      </c>
    </row>
    <row r="271" spans="1:24" ht="15" customHeight="1">
      <c r="A271" s="2" t="s">
        <v>1038</v>
      </c>
      <c r="B271" s="2" t="s">
        <v>1039</v>
      </c>
      <c r="C271" s="2">
        <v>42</v>
      </c>
      <c r="D271" s="2" t="s">
        <v>177</v>
      </c>
      <c r="E271" s="2" t="s">
        <v>627</v>
      </c>
      <c r="F271" s="2" t="s">
        <v>95</v>
      </c>
      <c r="G271" s="2" t="s">
        <v>31</v>
      </c>
      <c r="H271" s="2" t="s">
        <v>46</v>
      </c>
      <c r="I271" s="2" t="s">
        <v>33</v>
      </c>
      <c r="J271" s="2" t="s">
        <v>128</v>
      </c>
      <c r="K271" s="2" t="s">
        <v>67</v>
      </c>
      <c r="L271" s="2" t="s">
        <v>68</v>
      </c>
      <c r="M271" s="2" t="s">
        <v>51</v>
      </c>
      <c r="N271" s="2" t="s">
        <v>70</v>
      </c>
      <c r="O271" s="2">
        <v>18520.02</v>
      </c>
      <c r="P271" s="2">
        <v>46.5</v>
      </c>
      <c r="Q271" s="2">
        <v>1923.55</v>
      </c>
      <c r="R271" s="2"/>
      <c r="S271" s="2">
        <v>800</v>
      </c>
      <c r="T271" s="2">
        <v>50</v>
      </c>
      <c r="U271" s="2" t="s">
        <v>98</v>
      </c>
      <c r="V271" s="2" t="s">
        <v>39</v>
      </c>
      <c r="W271" s="2">
        <v>2</v>
      </c>
      <c r="X271" s="2">
        <v>3</v>
      </c>
    </row>
    <row r="272" spans="1:24" ht="15" customHeight="1">
      <c r="A272" s="2" t="s">
        <v>1040</v>
      </c>
      <c r="B272" s="2" t="s">
        <v>1041</v>
      </c>
      <c r="C272" s="2">
        <v>29</v>
      </c>
      <c r="D272" s="2" t="s">
        <v>101</v>
      </c>
      <c r="E272" s="2" t="s">
        <v>1042</v>
      </c>
      <c r="F272" s="2" t="s">
        <v>95</v>
      </c>
      <c r="G272" s="2" t="s">
        <v>179</v>
      </c>
      <c r="H272" s="2" t="s">
        <v>79</v>
      </c>
      <c r="I272" s="2" t="s">
        <v>1009</v>
      </c>
      <c r="J272" s="2" t="s">
        <v>113</v>
      </c>
      <c r="K272" s="2" t="s">
        <v>67</v>
      </c>
      <c r="L272" s="2" t="s">
        <v>68</v>
      </c>
      <c r="M272" s="2" t="s">
        <v>51</v>
      </c>
      <c r="N272" s="2" t="s">
        <v>60</v>
      </c>
      <c r="O272" s="2">
        <v>23840.18</v>
      </c>
      <c r="P272" s="2">
        <v>37.4</v>
      </c>
      <c r="Q272" s="2">
        <v>42580.3</v>
      </c>
      <c r="R272" s="2" t="s">
        <v>138</v>
      </c>
      <c r="S272" s="2">
        <v>888</v>
      </c>
      <c r="T272" s="2">
        <v>150</v>
      </c>
      <c r="U272" s="2" t="s">
        <v>98</v>
      </c>
      <c r="V272" s="2" t="s">
        <v>39</v>
      </c>
      <c r="W272" s="2">
        <v>1</v>
      </c>
      <c r="X272" s="2">
        <v>8.9</v>
      </c>
    </row>
    <row r="273" spans="1:24" ht="15" customHeight="1">
      <c r="A273" s="2" t="s">
        <v>1043</v>
      </c>
      <c r="B273" s="2" t="s">
        <v>1044</v>
      </c>
      <c r="C273" s="2">
        <v>44</v>
      </c>
      <c r="D273" s="2" t="s">
        <v>55</v>
      </c>
      <c r="E273" s="2" t="s">
        <v>125</v>
      </c>
      <c r="F273" s="2" t="s">
        <v>120</v>
      </c>
      <c r="G273" s="2" t="s">
        <v>45</v>
      </c>
      <c r="H273" s="2" t="s">
        <v>152</v>
      </c>
      <c r="I273" s="2" t="s">
        <v>191</v>
      </c>
      <c r="J273" s="2" t="s">
        <v>128</v>
      </c>
      <c r="K273" s="2" t="s">
        <v>67</v>
      </c>
      <c r="L273" s="2" t="s">
        <v>68</v>
      </c>
      <c r="M273" s="2" t="s">
        <v>51</v>
      </c>
      <c r="N273" s="2" t="s">
        <v>70</v>
      </c>
      <c r="O273" s="2">
        <v>106545.9</v>
      </c>
      <c r="P273" s="2">
        <v>27.3</v>
      </c>
      <c r="Q273" s="2">
        <v>36781.65</v>
      </c>
      <c r="R273" s="2" t="s">
        <v>97</v>
      </c>
      <c r="S273" s="2">
        <v>555</v>
      </c>
      <c r="T273" s="2">
        <v>158</v>
      </c>
      <c r="U273" s="2" t="s">
        <v>73</v>
      </c>
      <c r="V273" s="2" t="s">
        <v>39</v>
      </c>
      <c r="W273" s="2">
        <v>5</v>
      </c>
      <c r="X273" s="2">
        <v>1.3</v>
      </c>
    </row>
    <row r="274" spans="1:24" ht="15" customHeight="1">
      <c r="A274" s="2" t="s">
        <v>1045</v>
      </c>
      <c r="B274" s="2" t="s">
        <v>1046</v>
      </c>
      <c r="C274" s="2">
        <v>0</v>
      </c>
      <c r="D274" s="2" t="s">
        <v>171</v>
      </c>
      <c r="E274" s="2" t="s">
        <v>1047</v>
      </c>
      <c r="F274" s="2" t="s">
        <v>30</v>
      </c>
      <c r="G274" s="2" t="s">
        <v>78</v>
      </c>
      <c r="H274" s="2" t="s">
        <v>152</v>
      </c>
      <c r="I274" s="2" t="s">
        <v>1048</v>
      </c>
      <c r="J274" s="2" t="s">
        <v>90</v>
      </c>
      <c r="K274" s="2" t="s">
        <v>106</v>
      </c>
      <c r="L274" s="2" t="s">
        <v>50</v>
      </c>
      <c r="M274" s="2" t="s">
        <v>51</v>
      </c>
      <c r="N274" s="2" t="s">
        <v>70</v>
      </c>
      <c r="O274" s="2">
        <v>64463.93</v>
      </c>
      <c r="P274" s="2">
        <v>20.6</v>
      </c>
      <c r="Q274" s="2">
        <v>2678.11</v>
      </c>
      <c r="R274" s="2" t="s">
        <v>71</v>
      </c>
      <c r="S274" s="2">
        <v>772</v>
      </c>
      <c r="T274" s="2">
        <v>190</v>
      </c>
      <c r="U274" s="2" t="s">
        <v>39</v>
      </c>
      <c r="V274" s="2" t="s">
        <v>72</v>
      </c>
      <c r="W274" s="2">
        <v>1</v>
      </c>
      <c r="X274" s="2">
        <v>2.6</v>
      </c>
    </row>
    <row r="275" spans="1:24" ht="15" customHeight="1">
      <c r="A275" s="2" t="s">
        <v>1049</v>
      </c>
      <c r="B275" s="2" t="s">
        <v>1050</v>
      </c>
      <c r="C275" s="2">
        <v>35</v>
      </c>
      <c r="D275" s="2" t="s">
        <v>177</v>
      </c>
      <c r="E275" s="2" t="s">
        <v>1051</v>
      </c>
      <c r="F275" s="2" t="s">
        <v>184</v>
      </c>
      <c r="G275" s="2" t="s">
        <v>78</v>
      </c>
      <c r="H275" s="2" t="s">
        <v>152</v>
      </c>
      <c r="I275" s="2" t="s">
        <v>1052</v>
      </c>
      <c r="J275" s="2" t="s">
        <v>34</v>
      </c>
      <c r="K275" s="2" t="s">
        <v>67</v>
      </c>
      <c r="L275" s="2" t="s">
        <v>68</v>
      </c>
      <c r="M275" s="2" t="s">
        <v>0</v>
      </c>
      <c r="N275" s="2" t="s">
        <v>60</v>
      </c>
      <c r="O275" s="2">
        <v>30699.31</v>
      </c>
      <c r="P275" s="2">
        <v>60.6</v>
      </c>
      <c r="Q275" s="2">
        <v>10107.200000000001</v>
      </c>
      <c r="R275" s="2" t="s">
        <v>82</v>
      </c>
      <c r="S275" s="2">
        <v>579</v>
      </c>
      <c r="T275" s="2">
        <v>91</v>
      </c>
      <c r="U275" s="2" t="s">
        <v>83</v>
      </c>
      <c r="V275" s="2" t="s">
        <v>83</v>
      </c>
      <c r="W275" s="2">
        <v>4</v>
      </c>
      <c r="X275" s="2">
        <v>6.4</v>
      </c>
    </row>
    <row r="276" spans="1:24" ht="15" customHeight="1">
      <c r="A276" s="2" t="s">
        <v>1053</v>
      </c>
      <c r="B276" s="2" t="s">
        <v>1054</v>
      </c>
      <c r="C276" s="2">
        <v>12</v>
      </c>
      <c r="D276" s="2" t="s">
        <v>42</v>
      </c>
      <c r="E276" s="2" t="s">
        <v>676</v>
      </c>
      <c r="F276" s="2" t="s">
        <v>120</v>
      </c>
      <c r="G276" s="2" t="s">
        <v>162</v>
      </c>
      <c r="H276" s="2" t="s">
        <v>245</v>
      </c>
      <c r="I276" s="2" t="s">
        <v>1055</v>
      </c>
      <c r="J276" s="2" t="s">
        <v>34</v>
      </c>
      <c r="K276" s="2" t="s">
        <v>49</v>
      </c>
      <c r="L276" s="2" t="s">
        <v>50</v>
      </c>
      <c r="M276" s="2" t="s">
        <v>0</v>
      </c>
      <c r="N276" s="2" t="s">
        <v>60</v>
      </c>
      <c r="O276" s="2">
        <v>148447.14000000001</v>
      </c>
      <c r="P276" s="2">
        <v>19.399999999999999</v>
      </c>
      <c r="Q276" s="2">
        <v>40136.97</v>
      </c>
      <c r="R276" s="2" t="s">
        <v>71</v>
      </c>
      <c r="S276" s="2">
        <v>471</v>
      </c>
      <c r="T276" s="2">
        <v>11</v>
      </c>
      <c r="U276" s="2" t="s">
        <v>72</v>
      </c>
      <c r="V276" s="2" t="s">
        <v>38</v>
      </c>
      <c r="W276" s="2">
        <v>5</v>
      </c>
      <c r="X276" s="2">
        <v>5.8</v>
      </c>
    </row>
    <row r="277" spans="1:24" ht="15" customHeight="1">
      <c r="A277" s="2" t="s">
        <v>1056</v>
      </c>
      <c r="B277" s="2" t="s">
        <v>1057</v>
      </c>
      <c r="C277" s="2">
        <v>31</v>
      </c>
      <c r="D277" s="2" t="s">
        <v>188</v>
      </c>
      <c r="E277" s="2" t="s">
        <v>1058</v>
      </c>
      <c r="F277" s="2" t="s">
        <v>30</v>
      </c>
      <c r="G277" s="2" t="s">
        <v>96</v>
      </c>
      <c r="H277" s="2" t="s">
        <v>173</v>
      </c>
      <c r="I277" s="2" t="s">
        <v>1059</v>
      </c>
      <c r="J277" s="2" t="s">
        <v>90</v>
      </c>
      <c r="K277" s="2" t="s">
        <v>67</v>
      </c>
      <c r="L277" s="2" t="s">
        <v>68</v>
      </c>
      <c r="M277" s="2" t="s">
        <v>51</v>
      </c>
      <c r="N277" s="2" t="s">
        <v>60</v>
      </c>
      <c r="O277" s="2">
        <v>100404.45</v>
      </c>
      <c r="P277" s="2">
        <v>51.8</v>
      </c>
      <c r="Q277" s="2">
        <v>2636.34</v>
      </c>
      <c r="R277" s="2" t="s">
        <v>97</v>
      </c>
      <c r="S277" s="2">
        <v>608</v>
      </c>
      <c r="T277" s="2">
        <v>127</v>
      </c>
      <c r="U277" s="2" t="s">
        <v>83</v>
      </c>
      <c r="V277" s="2" t="s">
        <v>72</v>
      </c>
      <c r="W277" s="2">
        <v>5</v>
      </c>
      <c r="X277" s="2">
        <v>3.3</v>
      </c>
    </row>
    <row r="278" spans="1:24" ht="15" customHeight="1">
      <c r="A278" s="2" t="s">
        <v>1060</v>
      </c>
      <c r="B278" s="2" t="s">
        <v>1061</v>
      </c>
      <c r="C278" s="2">
        <v>14</v>
      </c>
      <c r="D278" s="2" t="s">
        <v>28</v>
      </c>
      <c r="E278" s="2" t="s">
        <v>747</v>
      </c>
      <c r="F278" s="2" t="s">
        <v>88</v>
      </c>
      <c r="G278" s="2" t="s">
        <v>45</v>
      </c>
      <c r="H278" s="2" t="s">
        <v>65</v>
      </c>
      <c r="I278" s="2" t="s">
        <v>1062</v>
      </c>
      <c r="J278" s="2" t="s">
        <v>113</v>
      </c>
      <c r="K278" s="2" t="s">
        <v>114</v>
      </c>
      <c r="L278" s="2" t="s">
        <v>115</v>
      </c>
      <c r="M278" s="2" t="s">
        <v>51</v>
      </c>
      <c r="N278" s="2" t="s">
        <v>36</v>
      </c>
      <c r="O278" s="2">
        <v>90182.94</v>
      </c>
      <c r="P278" s="2">
        <v>22.4</v>
      </c>
      <c r="Q278" s="2">
        <v>36980.92</v>
      </c>
      <c r="R278" s="2" t="s">
        <v>61</v>
      </c>
      <c r="S278" s="2">
        <v>542</v>
      </c>
      <c r="T278" s="2">
        <v>193</v>
      </c>
      <c r="U278" s="2" t="s">
        <v>108</v>
      </c>
      <c r="V278" s="2" t="s">
        <v>83</v>
      </c>
      <c r="W278" s="2">
        <v>3</v>
      </c>
      <c r="X278" s="2">
        <v>4.7</v>
      </c>
    </row>
    <row r="279" spans="1:24" ht="15" customHeight="1">
      <c r="A279" s="2" t="s">
        <v>1063</v>
      </c>
      <c r="B279" s="2" t="s">
        <v>1064</v>
      </c>
      <c r="C279" s="2">
        <v>8</v>
      </c>
      <c r="D279" s="2" t="s">
        <v>55</v>
      </c>
      <c r="E279" s="2" t="s">
        <v>1065</v>
      </c>
      <c r="F279" s="2" t="s">
        <v>103</v>
      </c>
      <c r="G279" s="2" t="s">
        <v>96</v>
      </c>
      <c r="H279" s="2" t="s">
        <v>79</v>
      </c>
      <c r="I279" s="2" t="s">
        <v>380</v>
      </c>
      <c r="J279" s="2" t="s">
        <v>81</v>
      </c>
      <c r="K279" s="2" t="s">
        <v>106</v>
      </c>
      <c r="L279" s="2" t="s">
        <v>50</v>
      </c>
      <c r="M279" s="2" t="s">
        <v>51</v>
      </c>
      <c r="N279" s="2" t="s">
        <v>70</v>
      </c>
      <c r="O279" s="2">
        <v>113829.88</v>
      </c>
      <c r="P279" s="2">
        <v>60</v>
      </c>
      <c r="Q279" s="2">
        <v>20563.7</v>
      </c>
      <c r="R279" s="2" t="s">
        <v>71</v>
      </c>
      <c r="S279" s="2">
        <v>554</v>
      </c>
      <c r="T279" s="2">
        <v>178</v>
      </c>
      <c r="U279" s="2" t="s">
        <v>98</v>
      </c>
      <c r="V279" s="2" t="s">
        <v>39</v>
      </c>
      <c r="W279" s="2">
        <v>4</v>
      </c>
      <c r="X279" s="2">
        <v>5.9</v>
      </c>
    </row>
    <row r="280" spans="1:24" ht="15" customHeight="1">
      <c r="A280" s="2" t="s">
        <v>1066</v>
      </c>
      <c r="B280" s="2" t="s">
        <v>1067</v>
      </c>
      <c r="C280" s="2">
        <v>18</v>
      </c>
      <c r="D280" s="2" t="s">
        <v>101</v>
      </c>
      <c r="E280" s="2" t="s">
        <v>76</v>
      </c>
      <c r="F280" s="2" t="s">
        <v>57</v>
      </c>
      <c r="G280" s="2" t="s">
        <v>31</v>
      </c>
      <c r="H280" s="2" t="s">
        <v>79</v>
      </c>
      <c r="I280" s="2" t="s">
        <v>1068</v>
      </c>
      <c r="J280" s="2" t="s">
        <v>34</v>
      </c>
      <c r="K280" s="2" t="s">
        <v>147</v>
      </c>
      <c r="L280" s="2" t="s">
        <v>115</v>
      </c>
      <c r="M280" s="2" t="s">
        <v>51</v>
      </c>
      <c r="N280" s="2" t="s">
        <v>70</v>
      </c>
      <c r="O280" s="2">
        <v>50162.13</v>
      </c>
      <c r="P280" s="2">
        <v>23.4</v>
      </c>
      <c r="Q280" s="2">
        <v>10586.13</v>
      </c>
      <c r="R280" s="2" t="s">
        <v>61</v>
      </c>
      <c r="S280" s="2">
        <v>592</v>
      </c>
      <c r="T280" s="2">
        <v>162</v>
      </c>
      <c r="U280" s="2" t="s">
        <v>122</v>
      </c>
      <c r="V280" s="2" t="s">
        <v>72</v>
      </c>
      <c r="W280" s="2">
        <v>3</v>
      </c>
      <c r="X280" s="2">
        <v>3.9</v>
      </c>
    </row>
    <row r="281" spans="1:24" ht="15" customHeight="1">
      <c r="A281" s="2" t="s">
        <v>1069</v>
      </c>
      <c r="B281" s="2" t="s">
        <v>1070</v>
      </c>
      <c r="C281" s="2">
        <v>38</v>
      </c>
      <c r="D281" s="2" t="s">
        <v>28</v>
      </c>
      <c r="E281" s="2" t="s">
        <v>280</v>
      </c>
      <c r="F281" s="2" t="s">
        <v>103</v>
      </c>
      <c r="G281" s="2" t="s">
        <v>162</v>
      </c>
      <c r="H281" s="2" t="s">
        <v>58</v>
      </c>
      <c r="I281" s="2" t="s">
        <v>1071</v>
      </c>
      <c r="J281" s="2" t="s">
        <v>81</v>
      </c>
      <c r="K281" s="2" t="s">
        <v>67</v>
      </c>
      <c r="L281" s="2" t="s">
        <v>68</v>
      </c>
      <c r="M281" s="2" t="s">
        <v>51</v>
      </c>
      <c r="N281" s="2" t="s">
        <v>60</v>
      </c>
      <c r="O281" s="2">
        <v>42307.3</v>
      </c>
      <c r="P281" s="2">
        <v>39</v>
      </c>
      <c r="Q281" s="2">
        <v>22508.81</v>
      </c>
      <c r="R281" s="2" t="s">
        <v>107</v>
      </c>
      <c r="S281" s="2">
        <v>373</v>
      </c>
      <c r="T281" s="2">
        <v>183</v>
      </c>
      <c r="U281" s="2" t="s">
        <v>39</v>
      </c>
      <c r="V281" s="2" t="s">
        <v>83</v>
      </c>
      <c r="W281" s="2">
        <v>1</v>
      </c>
      <c r="X281" s="2">
        <v>0.6</v>
      </c>
    </row>
    <row r="282" spans="1:24" ht="15" customHeight="1">
      <c r="A282" s="2" t="s">
        <v>1072</v>
      </c>
      <c r="B282" s="2" t="s">
        <v>1073</v>
      </c>
      <c r="C282" s="2">
        <v>37</v>
      </c>
      <c r="D282" s="2" t="s">
        <v>177</v>
      </c>
      <c r="E282" s="2" t="s">
        <v>1074</v>
      </c>
      <c r="F282" s="2" t="s">
        <v>88</v>
      </c>
      <c r="G282" s="2" t="s">
        <v>179</v>
      </c>
      <c r="H282" s="2" t="s">
        <v>152</v>
      </c>
      <c r="I282" s="2" t="s">
        <v>380</v>
      </c>
      <c r="J282" s="2" t="s">
        <v>113</v>
      </c>
      <c r="K282" s="2" t="s">
        <v>67</v>
      </c>
      <c r="L282" s="2" t="s">
        <v>68</v>
      </c>
      <c r="M282" s="2" t="s">
        <v>51</v>
      </c>
      <c r="N282" s="2" t="s">
        <v>60</v>
      </c>
      <c r="O282" s="2">
        <v>60799.77</v>
      </c>
      <c r="P282" s="2">
        <v>19.600000000000001</v>
      </c>
      <c r="Q282" s="2">
        <v>26177.88</v>
      </c>
      <c r="R282" s="2" t="s">
        <v>129</v>
      </c>
      <c r="S282" s="2">
        <v>656</v>
      </c>
      <c r="T282" s="2">
        <v>125</v>
      </c>
      <c r="U282" s="2" t="s">
        <v>72</v>
      </c>
      <c r="V282" s="2" t="s">
        <v>73</v>
      </c>
      <c r="W282" s="2">
        <v>2</v>
      </c>
      <c r="X282" s="2">
        <v>2.6</v>
      </c>
    </row>
    <row r="283" spans="1:24" ht="15" customHeight="1">
      <c r="A283" s="2" t="s">
        <v>1075</v>
      </c>
      <c r="B283" s="2" t="s">
        <v>1076</v>
      </c>
      <c r="C283" s="2">
        <v>7</v>
      </c>
      <c r="D283" s="2" t="s">
        <v>86</v>
      </c>
      <c r="E283" s="2" t="s">
        <v>1077</v>
      </c>
      <c r="F283" s="2" t="s">
        <v>57</v>
      </c>
      <c r="G283" s="2" t="s">
        <v>190</v>
      </c>
      <c r="H283" s="2" t="s">
        <v>104</v>
      </c>
      <c r="I283" s="2" t="s">
        <v>1078</v>
      </c>
      <c r="J283" s="2" t="s">
        <v>90</v>
      </c>
      <c r="K283" s="2" t="s">
        <v>106</v>
      </c>
      <c r="L283" s="2" t="s">
        <v>50</v>
      </c>
      <c r="M283" s="2" t="s">
        <v>0</v>
      </c>
      <c r="N283" s="2" t="s">
        <v>36</v>
      </c>
      <c r="O283" s="2">
        <v>137948.01</v>
      </c>
      <c r="P283" s="2">
        <v>49</v>
      </c>
      <c r="Q283" s="2">
        <v>54059.74</v>
      </c>
      <c r="R283" s="2" t="s">
        <v>148</v>
      </c>
      <c r="S283" s="2">
        <v>733</v>
      </c>
      <c r="T283" s="2">
        <v>109</v>
      </c>
      <c r="U283" s="2" t="s">
        <v>38</v>
      </c>
      <c r="V283" s="2" t="s">
        <v>38</v>
      </c>
      <c r="W283" s="2">
        <v>4</v>
      </c>
      <c r="X283" s="2">
        <v>6.9</v>
      </c>
    </row>
    <row r="284" spans="1:24" ht="15" customHeight="1">
      <c r="A284" s="2" t="s">
        <v>1079</v>
      </c>
      <c r="B284" s="2" t="s">
        <v>1080</v>
      </c>
      <c r="C284" s="2">
        <v>12</v>
      </c>
      <c r="D284" s="2" t="s">
        <v>28</v>
      </c>
      <c r="E284" s="2" t="s">
        <v>125</v>
      </c>
      <c r="F284" s="2" t="s">
        <v>167</v>
      </c>
      <c r="G284" s="2" t="s">
        <v>179</v>
      </c>
      <c r="H284" s="2" t="s">
        <v>126</v>
      </c>
      <c r="I284" s="2" t="s">
        <v>1081</v>
      </c>
      <c r="J284" s="2" t="s">
        <v>90</v>
      </c>
      <c r="K284" s="2" t="s">
        <v>49</v>
      </c>
      <c r="L284" s="2" t="s">
        <v>50</v>
      </c>
      <c r="M284" s="2" t="s">
        <v>35</v>
      </c>
      <c r="N284" s="2" t="s">
        <v>70</v>
      </c>
      <c r="O284" s="2">
        <v>81119.490000000005</v>
      </c>
      <c r="P284" s="2">
        <v>60</v>
      </c>
      <c r="Q284" s="2">
        <v>10238.06</v>
      </c>
      <c r="R284" s="2" t="s">
        <v>138</v>
      </c>
      <c r="S284" s="2">
        <v>437</v>
      </c>
      <c r="T284" s="2">
        <v>46</v>
      </c>
      <c r="U284" s="2" t="s">
        <v>98</v>
      </c>
      <c r="V284" s="2" t="s">
        <v>83</v>
      </c>
      <c r="W284" s="2">
        <v>2</v>
      </c>
      <c r="X284" s="2">
        <v>1</v>
      </c>
    </row>
    <row r="285" spans="1:24" ht="15" customHeight="1">
      <c r="A285" s="2" t="s">
        <v>1082</v>
      </c>
      <c r="B285" s="2" t="s">
        <v>1083</v>
      </c>
      <c r="C285" s="2">
        <v>22</v>
      </c>
      <c r="D285" s="2" t="s">
        <v>177</v>
      </c>
      <c r="E285" s="2" t="s">
        <v>119</v>
      </c>
      <c r="F285" s="2" t="s">
        <v>120</v>
      </c>
      <c r="G285" s="2" t="s">
        <v>31</v>
      </c>
      <c r="H285" s="2" t="s">
        <v>79</v>
      </c>
      <c r="I285" s="2" t="s">
        <v>137</v>
      </c>
      <c r="J285" s="2" t="s">
        <v>90</v>
      </c>
      <c r="K285" s="2" t="s">
        <v>67</v>
      </c>
      <c r="L285" s="2" t="s">
        <v>68</v>
      </c>
      <c r="M285" s="2" t="s">
        <v>35</v>
      </c>
      <c r="N285" s="2" t="s">
        <v>36</v>
      </c>
      <c r="O285" s="2">
        <v>39043.120000000003</v>
      </c>
      <c r="P285" s="2">
        <v>62</v>
      </c>
      <c r="Q285" s="2">
        <v>570.39</v>
      </c>
      <c r="R285" s="2" t="s">
        <v>138</v>
      </c>
      <c r="S285" s="2">
        <v>896</v>
      </c>
      <c r="T285" s="2">
        <v>10</v>
      </c>
      <c r="U285" s="2" t="s">
        <v>83</v>
      </c>
      <c r="V285" s="2" t="s">
        <v>98</v>
      </c>
      <c r="W285" s="2">
        <v>5</v>
      </c>
      <c r="X285" s="2">
        <v>4.9000000000000004</v>
      </c>
    </row>
    <row r="286" spans="1:24" ht="15" customHeight="1">
      <c r="A286" s="2" t="s">
        <v>1084</v>
      </c>
      <c r="B286" s="2" t="s">
        <v>1085</v>
      </c>
      <c r="C286" s="2">
        <v>37</v>
      </c>
      <c r="D286" s="2" t="s">
        <v>42</v>
      </c>
      <c r="E286" s="2" t="s">
        <v>1031</v>
      </c>
      <c r="F286" s="2" t="s">
        <v>88</v>
      </c>
      <c r="G286" s="2" t="s">
        <v>96</v>
      </c>
      <c r="H286" s="2" t="s">
        <v>173</v>
      </c>
      <c r="I286" s="2" t="s">
        <v>1086</v>
      </c>
      <c r="J286" s="2" t="s">
        <v>113</v>
      </c>
      <c r="K286" s="2" t="s">
        <v>67</v>
      </c>
      <c r="L286" s="2" t="s">
        <v>68</v>
      </c>
      <c r="M286" s="2" t="s">
        <v>51</v>
      </c>
      <c r="N286" s="2" t="s">
        <v>70</v>
      </c>
      <c r="O286" s="2"/>
      <c r="P286" s="2">
        <v>70.3</v>
      </c>
      <c r="Q286" s="2">
        <v>24108.5</v>
      </c>
      <c r="R286" s="2" t="s">
        <v>71</v>
      </c>
      <c r="S286" s="2">
        <v>425</v>
      </c>
      <c r="T286" s="2">
        <v>71</v>
      </c>
      <c r="U286" s="2" t="s">
        <v>122</v>
      </c>
      <c r="V286" s="2" t="s">
        <v>73</v>
      </c>
      <c r="W286" s="2">
        <v>5</v>
      </c>
      <c r="X286" s="2">
        <v>4</v>
      </c>
    </row>
    <row r="287" spans="1:24" ht="15" customHeight="1">
      <c r="A287" s="2" t="s">
        <v>1087</v>
      </c>
      <c r="B287" s="2" t="s">
        <v>1088</v>
      </c>
      <c r="C287" s="2">
        <v>26</v>
      </c>
      <c r="D287" s="2" t="s">
        <v>86</v>
      </c>
      <c r="E287" s="2" t="s">
        <v>1089</v>
      </c>
      <c r="F287" s="2" t="s">
        <v>88</v>
      </c>
      <c r="G287" s="2" t="s">
        <v>45</v>
      </c>
      <c r="H287" s="2" t="s">
        <v>104</v>
      </c>
      <c r="I287" s="2" t="s">
        <v>163</v>
      </c>
      <c r="J287" s="2" t="s">
        <v>128</v>
      </c>
      <c r="K287" s="2" t="s">
        <v>67</v>
      </c>
      <c r="L287" s="2" t="s">
        <v>68</v>
      </c>
      <c r="M287" s="2" t="s">
        <v>51</v>
      </c>
      <c r="N287" s="2" t="s">
        <v>70</v>
      </c>
      <c r="O287" s="2">
        <v>148096.35999999999</v>
      </c>
      <c r="P287" s="2">
        <v>72.900000000000006</v>
      </c>
      <c r="Q287" s="2">
        <v>44056.66</v>
      </c>
      <c r="R287" s="2" t="s">
        <v>129</v>
      </c>
      <c r="S287" s="2">
        <v>499</v>
      </c>
      <c r="T287" s="2">
        <v>133</v>
      </c>
      <c r="U287" s="2" t="s">
        <v>83</v>
      </c>
      <c r="V287" s="2" t="s">
        <v>72</v>
      </c>
      <c r="W287" s="2">
        <v>3</v>
      </c>
      <c r="X287" s="2">
        <v>7.6</v>
      </c>
    </row>
    <row r="288" spans="1:24" ht="15" customHeight="1">
      <c r="A288" s="2" t="s">
        <v>1090</v>
      </c>
      <c r="B288" s="2" t="s">
        <v>1091</v>
      </c>
      <c r="C288" s="2">
        <v>35</v>
      </c>
      <c r="D288" s="2" t="s">
        <v>118</v>
      </c>
      <c r="E288" s="2" t="s">
        <v>1092</v>
      </c>
      <c r="F288" s="2" t="s">
        <v>103</v>
      </c>
      <c r="G288" s="2" t="s">
        <v>78</v>
      </c>
      <c r="H288" s="2" t="s">
        <v>104</v>
      </c>
      <c r="I288" s="2" t="s">
        <v>331</v>
      </c>
      <c r="J288" s="2" t="s">
        <v>90</v>
      </c>
      <c r="K288" s="2" t="s">
        <v>67</v>
      </c>
      <c r="L288" s="2" t="s">
        <v>68</v>
      </c>
      <c r="M288" s="2" t="s">
        <v>51</v>
      </c>
      <c r="N288" s="2" t="s">
        <v>60</v>
      </c>
      <c r="O288" s="2">
        <v>139705.5</v>
      </c>
      <c r="P288" s="2">
        <v>33.799999999999997</v>
      </c>
      <c r="Q288" s="2">
        <v>16821.47</v>
      </c>
      <c r="R288" s="2" t="s">
        <v>37</v>
      </c>
      <c r="S288" s="2">
        <v>787</v>
      </c>
      <c r="T288" s="2">
        <v>171</v>
      </c>
      <c r="U288" s="2" t="s">
        <v>83</v>
      </c>
      <c r="V288" s="2" t="s">
        <v>72</v>
      </c>
      <c r="W288" s="2">
        <v>3</v>
      </c>
      <c r="X288" s="2">
        <v>7.9</v>
      </c>
    </row>
    <row r="289" spans="1:24" ht="15" customHeight="1">
      <c r="A289" s="2" t="s">
        <v>1093</v>
      </c>
      <c r="B289" s="2" t="s">
        <v>1094</v>
      </c>
      <c r="C289" s="2">
        <v>44</v>
      </c>
      <c r="D289" s="2" t="s">
        <v>86</v>
      </c>
      <c r="E289" s="2" t="s">
        <v>1095</v>
      </c>
      <c r="F289" s="2" t="s">
        <v>95</v>
      </c>
      <c r="G289" s="2" t="s">
        <v>179</v>
      </c>
      <c r="H289" s="2" t="s">
        <v>104</v>
      </c>
      <c r="I289" s="2" t="s">
        <v>1096</v>
      </c>
      <c r="J289" s="2" t="s">
        <v>90</v>
      </c>
      <c r="K289" s="2" t="s">
        <v>67</v>
      </c>
      <c r="L289" s="2" t="s">
        <v>68</v>
      </c>
      <c r="M289" s="2" t="s">
        <v>35</v>
      </c>
      <c r="N289" s="2" t="s">
        <v>36</v>
      </c>
      <c r="O289" s="2">
        <v>140895.54</v>
      </c>
      <c r="P289" s="2">
        <v>13.7</v>
      </c>
      <c r="Q289" s="2">
        <v>22064.22</v>
      </c>
      <c r="R289" s="2" t="s">
        <v>158</v>
      </c>
      <c r="S289" s="2">
        <v>890</v>
      </c>
      <c r="T289" s="2">
        <v>79</v>
      </c>
      <c r="U289" s="2" t="s">
        <v>83</v>
      </c>
      <c r="V289" s="2" t="s">
        <v>73</v>
      </c>
      <c r="W289" s="2">
        <v>3</v>
      </c>
      <c r="X289" s="2">
        <v>7.1</v>
      </c>
    </row>
    <row r="290" spans="1:24" ht="15" customHeight="1">
      <c r="A290" s="2" t="s">
        <v>1097</v>
      </c>
      <c r="B290" s="2" t="s">
        <v>1098</v>
      </c>
      <c r="C290" s="2">
        <v>14</v>
      </c>
      <c r="D290" s="2" t="s">
        <v>93</v>
      </c>
      <c r="E290" s="2" t="s">
        <v>965</v>
      </c>
      <c r="F290" s="2" t="s">
        <v>184</v>
      </c>
      <c r="G290" s="2" t="s">
        <v>45</v>
      </c>
      <c r="H290" s="2" t="s">
        <v>173</v>
      </c>
      <c r="I290" s="2" t="s">
        <v>1099</v>
      </c>
      <c r="J290" s="2" t="s">
        <v>113</v>
      </c>
      <c r="K290" s="2" t="s">
        <v>114</v>
      </c>
      <c r="L290" s="2" t="s">
        <v>115</v>
      </c>
      <c r="M290" s="2" t="s">
        <v>51</v>
      </c>
      <c r="N290" s="2" t="s">
        <v>70</v>
      </c>
      <c r="O290" s="2">
        <v>26151.25</v>
      </c>
      <c r="P290" s="2">
        <v>65.099999999999994</v>
      </c>
      <c r="Q290" s="2">
        <v>42178.01</v>
      </c>
      <c r="R290" s="2" t="s">
        <v>37</v>
      </c>
      <c r="S290" s="2">
        <v>616</v>
      </c>
      <c r="T290" s="2">
        <v>176</v>
      </c>
      <c r="U290" s="2" t="s">
        <v>122</v>
      </c>
      <c r="V290" s="2" t="s">
        <v>39</v>
      </c>
      <c r="W290" s="2">
        <v>4</v>
      </c>
      <c r="X290" s="2">
        <v>3</v>
      </c>
    </row>
    <row r="291" spans="1:24" ht="15" customHeight="1">
      <c r="A291" s="2" t="s">
        <v>1100</v>
      </c>
      <c r="B291" s="2" t="s">
        <v>1101</v>
      </c>
      <c r="C291" s="2">
        <v>27</v>
      </c>
      <c r="D291" s="2" t="s">
        <v>101</v>
      </c>
      <c r="E291" s="2" t="s">
        <v>754</v>
      </c>
      <c r="F291" s="2" t="s">
        <v>167</v>
      </c>
      <c r="G291" s="2" t="s">
        <v>162</v>
      </c>
      <c r="H291" s="2" t="s">
        <v>79</v>
      </c>
      <c r="I291" s="2" t="s">
        <v>1102</v>
      </c>
      <c r="J291" s="2" t="s">
        <v>48</v>
      </c>
      <c r="K291" s="2" t="s">
        <v>67</v>
      </c>
      <c r="L291" s="2" t="s">
        <v>68</v>
      </c>
      <c r="M291" s="2" t="s">
        <v>51</v>
      </c>
      <c r="N291" s="2" t="s">
        <v>60</v>
      </c>
      <c r="O291" s="2">
        <v>84451.72</v>
      </c>
      <c r="P291" s="2">
        <v>55.8</v>
      </c>
      <c r="Q291" s="2">
        <v>59418.86</v>
      </c>
      <c r="R291" s="2" t="s">
        <v>158</v>
      </c>
      <c r="S291" s="2">
        <v>373</v>
      </c>
      <c r="T291" s="2">
        <v>72</v>
      </c>
      <c r="U291" s="2" t="s">
        <v>39</v>
      </c>
      <c r="V291" s="2" t="s">
        <v>72</v>
      </c>
      <c r="W291" s="2">
        <v>2</v>
      </c>
      <c r="X291" s="2">
        <v>3.2</v>
      </c>
    </row>
    <row r="292" spans="1:24" ht="15" customHeight="1">
      <c r="A292" s="2" t="s">
        <v>1103</v>
      </c>
      <c r="B292" s="2" t="s">
        <v>1104</v>
      </c>
      <c r="C292" s="2">
        <v>9</v>
      </c>
      <c r="D292" s="2" t="s">
        <v>177</v>
      </c>
      <c r="E292" s="2" t="s">
        <v>1105</v>
      </c>
      <c r="F292" s="2" t="s">
        <v>120</v>
      </c>
      <c r="G292" s="2" t="s">
        <v>217</v>
      </c>
      <c r="H292" s="2" t="s">
        <v>152</v>
      </c>
      <c r="I292" s="2" t="s">
        <v>1106</v>
      </c>
      <c r="J292" s="2" t="s">
        <v>34</v>
      </c>
      <c r="K292" s="2" t="s">
        <v>106</v>
      </c>
      <c r="L292" s="2" t="s">
        <v>50</v>
      </c>
      <c r="M292" s="2" t="s">
        <v>51</v>
      </c>
      <c r="N292" s="2" t="s">
        <v>36</v>
      </c>
      <c r="O292" s="2">
        <v>6324.21</v>
      </c>
      <c r="P292" s="2">
        <v>48.2</v>
      </c>
      <c r="Q292" s="2">
        <v>40699.07</v>
      </c>
      <c r="R292" s="2" t="s">
        <v>97</v>
      </c>
      <c r="S292" s="2">
        <v>737</v>
      </c>
      <c r="T292" s="2">
        <v>43</v>
      </c>
      <c r="U292" s="2" t="s">
        <v>108</v>
      </c>
      <c r="V292" s="2" t="s">
        <v>73</v>
      </c>
      <c r="W292" s="2">
        <v>2</v>
      </c>
      <c r="X292" s="2">
        <v>8.5</v>
      </c>
    </row>
    <row r="293" spans="1:24" ht="15" customHeight="1">
      <c r="A293" s="2" t="s">
        <v>1107</v>
      </c>
      <c r="B293" s="2" t="s">
        <v>1108</v>
      </c>
      <c r="C293" s="2">
        <v>27</v>
      </c>
      <c r="D293" s="2" t="s">
        <v>28</v>
      </c>
      <c r="E293" s="2" t="s">
        <v>295</v>
      </c>
      <c r="F293" s="2" t="s">
        <v>95</v>
      </c>
      <c r="G293" s="2" t="s">
        <v>78</v>
      </c>
      <c r="H293" s="2" t="s">
        <v>245</v>
      </c>
      <c r="I293" s="2" t="s">
        <v>1109</v>
      </c>
      <c r="J293" s="2" t="s">
        <v>128</v>
      </c>
      <c r="K293" s="2" t="s">
        <v>67</v>
      </c>
      <c r="L293" s="2" t="s">
        <v>68</v>
      </c>
      <c r="M293" s="2" t="s">
        <v>51</v>
      </c>
      <c r="N293" s="2" t="s">
        <v>36</v>
      </c>
      <c r="O293" s="2">
        <v>113054.03</v>
      </c>
      <c r="P293" s="2">
        <v>79.3</v>
      </c>
      <c r="Q293" s="2">
        <v>40244.15</v>
      </c>
      <c r="R293" s="2" t="s">
        <v>97</v>
      </c>
      <c r="S293" s="2">
        <v>691</v>
      </c>
      <c r="T293" s="2">
        <v>167</v>
      </c>
      <c r="U293" s="2" t="s">
        <v>38</v>
      </c>
      <c r="V293" s="2" t="s">
        <v>108</v>
      </c>
      <c r="W293" s="2">
        <v>1</v>
      </c>
      <c r="X293" s="2">
        <v>1.2</v>
      </c>
    </row>
    <row r="294" spans="1:24" ht="15" customHeight="1">
      <c r="A294" s="2" t="s">
        <v>1110</v>
      </c>
      <c r="B294" s="2" t="s">
        <v>1111</v>
      </c>
      <c r="C294" s="2">
        <v>38</v>
      </c>
      <c r="D294" s="2" t="s">
        <v>93</v>
      </c>
      <c r="E294" s="2" t="s">
        <v>939</v>
      </c>
      <c r="F294" s="2" t="s">
        <v>120</v>
      </c>
      <c r="G294" s="2" t="s">
        <v>45</v>
      </c>
      <c r="H294" s="2" t="s">
        <v>126</v>
      </c>
      <c r="I294" s="2" t="s">
        <v>1112</v>
      </c>
      <c r="J294" s="2" t="s">
        <v>113</v>
      </c>
      <c r="K294" s="2" t="s">
        <v>67</v>
      </c>
      <c r="L294" s="2" t="s">
        <v>68</v>
      </c>
      <c r="M294" s="2" t="s">
        <v>51</v>
      </c>
      <c r="N294" s="2" t="s">
        <v>70</v>
      </c>
      <c r="O294" s="2">
        <v>87856.35</v>
      </c>
      <c r="P294" s="2">
        <v>9.8000000000000007</v>
      </c>
      <c r="Q294" s="2">
        <v>54532.83</v>
      </c>
      <c r="R294" s="2" t="s">
        <v>148</v>
      </c>
      <c r="S294" s="2">
        <v>715</v>
      </c>
      <c r="T294" s="2">
        <v>5</v>
      </c>
      <c r="U294" s="2" t="s">
        <v>73</v>
      </c>
      <c r="V294" s="2" t="s">
        <v>108</v>
      </c>
      <c r="W294" s="2">
        <v>2</v>
      </c>
      <c r="X294" s="2">
        <v>8.6999999999999993</v>
      </c>
    </row>
    <row r="295" spans="1:24" ht="15" customHeight="1">
      <c r="A295" s="2" t="s">
        <v>1113</v>
      </c>
      <c r="B295" s="2" t="s">
        <v>1114</v>
      </c>
      <c r="C295" s="2">
        <v>44</v>
      </c>
      <c r="D295" s="2" t="s">
        <v>93</v>
      </c>
      <c r="E295" s="2" t="s">
        <v>166</v>
      </c>
      <c r="F295" s="2" t="s">
        <v>88</v>
      </c>
      <c r="G295" s="2" t="s">
        <v>31</v>
      </c>
      <c r="H295" s="2" t="s">
        <v>245</v>
      </c>
      <c r="I295" s="2" t="s">
        <v>1115</v>
      </c>
      <c r="J295" s="2" t="s">
        <v>90</v>
      </c>
      <c r="K295" s="2" t="s">
        <v>67</v>
      </c>
      <c r="L295" s="2" t="s">
        <v>68</v>
      </c>
      <c r="M295" s="2" t="s">
        <v>51</v>
      </c>
      <c r="N295" s="2" t="s">
        <v>60</v>
      </c>
      <c r="O295" s="2">
        <v>17268.5</v>
      </c>
      <c r="P295" s="2">
        <v>27.4</v>
      </c>
      <c r="Q295" s="2">
        <v>57976.57</v>
      </c>
      <c r="R295" s="2" t="s">
        <v>97</v>
      </c>
      <c r="S295" s="2">
        <v>300</v>
      </c>
      <c r="T295" s="2">
        <v>11</v>
      </c>
      <c r="U295" s="2" t="s">
        <v>73</v>
      </c>
      <c r="V295" s="2" t="s">
        <v>98</v>
      </c>
      <c r="W295" s="2">
        <v>3</v>
      </c>
      <c r="X295" s="2">
        <v>4.9000000000000004</v>
      </c>
    </row>
    <row r="296" spans="1:24" ht="15" customHeight="1">
      <c r="A296" s="2" t="s">
        <v>1116</v>
      </c>
      <c r="B296" s="2" t="s">
        <v>1117</v>
      </c>
      <c r="C296" s="2">
        <v>40</v>
      </c>
      <c r="D296" s="2" t="s">
        <v>93</v>
      </c>
      <c r="E296" s="2" t="s">
        <v>517</v>
      </c>
      <c r="F296" s="2" t="s">
        <v>44</v>
      </c>
      <c r="G296" s="2" t="s">
        <v>78</v>
      </c>
      <c r="H296" s="2" t="s">
        <v>245</v>
      </c>
      <c r="I296" s="2" t="s">
        <v>1118</v>
      </c>
      <c r="J296" s="2" t="s">
        <v>34</v>
      </c>
      <c r="K296" s="2" t="s">
        <v>67</v>
      </c>
      <c r="L296" s="2" t="s">
        <v>68</v>
      </c>
      <c r="M296" s="2" t="s">
        <v>51</v>
      </c>
      <c r="N296" s="2" t="s">
        <v>70</v>
      </c>
      <c r="O296" s="2">
        <v>45222.38</v>
      </c>
      <c r="P296" s="2">
        <v>36.700000000000003</v>
      </c>
      <c r="Q296" s="2">
        <v>32990.92</v>
      </c>
      <c r="R296" s="2" t="s">
        <v>158</v>
      </c>
      <c r="S296" s="2">
        <v>467</v>
      </c>
      <c r="T296" s="2">
        <v>21</v>
      </c>
      <c r="U296" s="2" t="s">
        <v>73</v>
      </c>
      <c r="V296" s="2" t="s">
        <v>83</v>
      </c>
      <c r="W296" s="2">
        <v>1</v>
      </c>
      <c r="X296" s="2">
        <v>5.9</v>
      </c>
    </row>
    <row r="297" spans="1:24" ht="15" customHeight="1">
      <c r="A297" s="2" t="s">
        <v>1119</v>
      </c>
      <c r="B297" s="2" t="s">
        <v>1120</v>
      </c>
      <c r="C297" s="2">
        <v>18</v>
      </c>
      <c r="D297" s="2" t="s">
        <v>171</v>
      </c>
      <c r="E297" s="2" t="s">
        <v>1121</v>
      </c>
      <c r="F297" s="2" t="s">
        <v>184</v>
      </c>
      <c r="G297" s="2" t="s">
        <v>217</v>
      </c>
      <c r="H297" s="2" t="s">
        <v>58</v>
      </c>
      <c r="I297" s="2" t="s">
        <v>1122</v>
      </c>
      <c r="J297" s="2" t="s">
        <v>113</v>
      </c>
      <c r="K297" s="2" t="s">
        <v>147</v>
      </c>
      <c r="L297" s="2" t="s">
        <v>115</v>
      </c>
      <c r="M297" s="2" t="s">
        <v>35</v>
      </c>
      <c r="N297" s="2" t="s">
        <v>60</v>
      </c>
      <c r="O297" s="2">
        <v>44168.160000000003</v>
      </c>
      <c r="P297" s="2">
        <v>56.3</v>
      </c>
      <c r="Q297" s="2">
        <v>24406.880000000001</v>
      </c>
      <c r="R297" s="2" t="s">
        <v>129</v>
      </c>
      <c r="S297" s="2">
        <v>391</v>
      </c>
      <c r="T297" s="2">
        <v>85</v>
      </c>
      <c r="U297" s="2" t="s">
        <v>39</v>
      </c>
      <c r="V297" s="2" t="s">
        <v>122</v>
      </c>
      <c r="W297" s="2">
        <v>1</v>
      </c>
      <c r="X297" s="2">
        <v>1.3</v>
      </c>
    </row>
    <row r="298" spans="1:24" ht="15" customHeight="1">
      <c r="A298" s="2" t="s">
        <v>1123</v>
      </c>
      <c r="B298" s="2" t="s">
        <v>1124</v>
      </c>
      <c r="C298" s="2">
        <v>12</v>
      </c>
      <c r="D298" s="2" t="s">
        <v>101</v>
      </c>
      <c r="E298" s="2" t="s">
        <v>1125</v>
      </c>
      <c r="F298" s="2" t="s">
        <v>77</v>
      </c>
      <c r="G298" s="2" t="s">
        <v>45</v>
      </c>
      <c r="H298" s="2" t="s">
        <v>65</v>
      </c>
      <c r="I298" s="2" t="s">
        <v>1126</v>
      </c>
      <c r="J298" s="2" t="s">
        <v>81</v>
      </c>
      <c r="K298" s="2" t="s">
        <v>49</v>
      </c>
      <c r="L298" s="2" t="s">
        <v>50</v>
      </c>
      <c r="M298" s="2" t="s">
        <v>0</v>
      </c>
      <c r="N298" s="2" t="s">
        <v>60</v>
      </c>
      <c r="O298" s="2">
        <v>29758.38</v>
      </c>
      <c r="P298" s="2">
        <v>34.200000000000003</v>
      </c>
      <c r="Q298" s="2">
        <v>20710.37</v>
      </c>
      <c r="R298" s="2"/>
      <c r="S298" s="2">
        <v>864</v>
      </c>
      <c r="T298" s="2">
        <v>103</v>
      </c>
      <c r="U298" s="2" t="s">
        <v>39</v>
      </c>
      <c r="V298" s="2" t="s">
        <v>72</v>
      </c>
      <c r="W298" s="2">
        <v>5</v>
      </c>
      <c r="X298" s="2">
        <v>6.6</v>
      </c>
    </row>
    <row r="299" spans="1:24" ht="15" customHeight="1">
      <c r="A299" s="2" t="s">
        <v>1127</v>
      </c>
      <c r="B299" s="2" t="s">
        <v>1128</v>
      </c>
      <c r="C299" s="2">
        <v>42</v>
      </c>
      <c r="D299" s="2" t="s">
        <v>188</v>
      </c>
      <c r="E299" s="2" t="s">
        <v>1129</v>
      </c>
      <c r="F299" s="2" t="s">
        <v>88</v>
      </c>
      <c r="G299" s="2" t="s">
        <v>78</v>
      </c>
      <c r="H299" s="2" t="s">
        <v>32</v>
      </c>
      <c r="I299" s="2" t="s">
        <v>1130</v>
      </c>
      <c r="J299" s="2" t="s">
        <v>113</v>
      </c>
      <c r="K299" s="2" t="s">
        <v>67</v>
      </c>
      <c r="L299" s="2" t="s">
        <v>68</v>
      </c>
      <c r="M299" s="2" t="s">
        <v>51</v>
      </c>
      <c r="N299" s="2" t="s">
        <v>36</v>
      </c>
      <c r="O299" s="2">
        <v>46588.85</v>
      </c>
      <c r="P299" s="2">
        <v>44</v>
      </c>
      <c r="Q299" s="2">
        <v>43108.01</v>
      </c>
      <c r="R299" s="2" t="s">
        <v>61</v>
      </c>
      <c r="S299" s="2">
        <v>389</v>
      </c>
      <c r="T299" s="2">
        <v>104</v>
      </c>
      <c r="U299" s="2" t="s">
        <v>72</v>
      </c>
      <c r="V299" s="2" t="s">
        <v>108</v>
      </c>
      <c r="W299" s="2">
        <v>2</v>
      </c>
      <c r="X299" s="2">
        <v>8.5</v>
      </c>
    </row>
    <row r="300" spans="1:24" ht="15" customHeight="1">
      <c r="A300" s="2" t="s">
        <v>1131</v>
      </c>
      <c r="B300" s="2" t="s">
        <v>1132</v>
      </c>
      <c r="C300" s="2">
        <v>24</v>
      </c>
      <c r="D300" s="2" t="s">
        <v>188</v>
      </c>
      <c r="E300" s="2" t="s">
        <v>1125</v>
      </c>
      <c r="F300" s="2" t="s">
        <v>95</v>
      </c>
      <c r="G300" s="2" t="s">
        <v>217</v>
      </c>
      <c r="H300" s="2" t="s">
        <v>152</v>
      </c>
      <c r="I300" s="2" t="s">
        <v>191</v>
      </c>
      <c r="J300" s="2" t="s">
        <v>113</v>
      </c>
      <c r="K300" s="2" t="s">
        <v>67</v>
      </c>
      <c r="L300" s="2" t="s">
        <v>68</v>
      </c>
      <c r="M300" s="2" t="s">
        <v>35</v>
      </c>
      <c r="N300" s="2" t="s">
        <v>36</v>
      </c>
      <c r="O300" s="2">
        <v>6057.09</v>
      </c>
      <c r="P300" s="2">
        <v>45.1</v>
      </c>
      <c r="Q300" s="2">
        <v>20703.64</v>
      </c>
      <c r="R300" s="2"/>
      <c r="S300" s="2">
        <v>343</v>
      </c>
      <c r="T300" s="2">
        <v>43</v>
      </c>
      <c r="U300" s="2" t="s">
        <v>83</v>
      </c>
      <c r="V300" s="2" t="s">
        <v>122</v>
      </c>
      <c r="W300" s="2">
        <v>2</v>
      </c>
      <c r="X300" s="2">
        <v>4.9000000000000004</v>
      </c>
    </row>
    <row r="301" spans="1:24" ht="15" customHeight="1">
      <c r="A301" s="2" t="s">
        <v>1133</v>
      </c>
      <c r="B301" s="2" t="s">
        <v>1134</v>
      </c>
      <c r="C301" s="2">
        <v>30</v>
      </c>
      <c r="D301" s="2" t="s">
        <v>86</v>
      </c>
      <c r="E301" s="2" t="s">
        <v>1135</v>
      </c>
      <c r="F301" s="2" t="s">
        <v>88</v>
      </c>
      <c r="G301" s="2" t="s">
        <v>78</v>
      </c>
      <c r="H301" s="2" t="s">
        <v>46</v>
      </c>
      <c r="I301" s="2" t="s">
        <v>137</v>
      </c>
      <c r="J301" s="2" t="s">
        <v>128</v>
      </c>
      <c r="K301" s="2" t="s">
        <v>67</v>
      </c>
      <c r="L301" s="2" t="s">
        <v>68</v>
      </c>
      <c r="M301" s="2" t="s">
        <v>0</v>
      </c>
      <c r="N301" s="2" t="s">
        <v>36</v>
      </c>
      <c r="O301" s="2">
        <v>87482.08</v>
      </c>
      <c r="P301" s="2">
        <v>27.9</v>
      </c>
      <c r="Q301" s="2">
        <v>55986.69</v>
      </c>
      <c r="R301" s="2"/>
      <c r="S301" s="2">
        <v>336</v>
      </c>
      <c r="T301" s="2">
        <v>158</v>
      </c>
      <c r="U301" s="2" t="s">
        <v>72</v>
      </c>
      <c r="V301" s="2" t="s">
        <v>72</v>
      </c>
      <c r="W301" s="2">
        <v>5</v>
      </c>
      <c r="X301" s="2">
        <v>4.4000000000000004</v>
      </c>
    </row>
    <row r="302" spans="1:24" ht="15" customHeight="1">
      <c r="A302" s="2" t="s">
        <v>1136</v>
      </c>
      <c r="B302" s="2" t="s">
        <v>1137</v>
      </c>
      <c r="C302" s="2">
        <v>28</v>
      </c>
      <c r="D302" s="2" t="s">
        <v>118</v>
      </c>
      <c r="E302" s="2" t="s">
        <v>209</v>
      </c>
      <c r="F302" s="2" t="s">
        <v>30</v>
      </c>
      <c r="G302" s="2" t="s">
        <v>179</v>
      </c>
      <c r="H302" s="2" t="s">
        <v>152</v>
      </c>
      <c r="I302" s="2" t="s">
        <v>1138</v>
      </c>
      <c r="J302" s="2" t="s">
        <v>113</v>
      </c>
      <c r="K302" s="2" t="s">
        <v>67</v>
      </c>
      <c r="L302" s="2" t="s">
        <v>68</v>
      </c>
      <c r="M302" s="2" t="s">
        <v>35</v>
      </c>
      <c r="N302" s="2" t="s">
        <v>60</v>
      </c>
      <c r="O302" s="2">
        <v>116569.9</v>
      </c>
      <c r="P302" s="2">
        <v>40.299999999999997</v>
      </c>
      <c r="Q302" s="2">
        <v>22458.57</v>
      </c>
      <c r="R302" s="2" t="s">
        <v>158</v>
      </c>
      <c r="S302" s="2">
        <v>486</v>
      </c>
      <c r="T302" s="2">
        <v>68</v>
      </c>
      <c r="U302" s="2" t="s">
        <v>98</v>
      </c>
      <c r="V302" s="2" t="s">
        <v>39</v>
      </c>
      <c r="W302" s="2">
        <v>2</v>
      </c>
      <c r="X302" s="2">
        <v>3.5</v>
      </c>
    </row>
    <row r="303" spans="1:24" ht="15" customHeight="1">
      <c r="A303" s="2" t="s">
        <v>1139</v>
      </c>
      <c r="B303" s="2" t="s">
        <v>1140</v>
      </c>
      <c r="C303" s="2">
        <v>18</v>
      </c>
      <c r="D303" s="2" t="s">
        <v>101</v>
      </c>
      <c r="E303" s="2" t="s">
        <v>1020</v>
      </c>
      <c r="F303" s="2" t="s">
        <v>57</v>
      </c>
      <c r="G303" s="2" t="s">
        <v>179</v>
      </c>
      <c r="H303" s="2" t="s">
        <v>58</v>
      </c>
      <c r="I303" s="2" t="s">
        <v>1141</v>
      </c>
      <c r="J303" s="2" t="s">
        <v>113</v>
      </c>
      <c r="K303" s="2" t="s">
        <v>147</v>
      </c>
      <c r="L303" s="2" t="s">
        <v>115</v>
      </c>
      <c r="M303" s="2" t="s">
        <v>51</v>
      </c>
      <c r="N303" s="2" t="s">
        <v>60</v>
      </c>
      <c r="O303" s="2">
        <v>66058.820000000007</v>
      </c>
      <c r="P303" s="2">
        <v>65</v>
      </c>
      <c r="Q303" s="2">
        <v>42859.26</v>
      </c>
      <c r="R303" s="2" t="s">
        <v>158</v>
      </c>
      <c r="S303" s="2">
        <v>813</v>
      </c>
      <c r="T303" s="2">
        <v>189</v>
      </c>
      <c r="U303" s="2" t="s">
        <v>39</v>
      </c>
      <c r="V303" s="2" t="s">
        <v>108</v>
      </c>
      <c r="W303" s="2">
        <v>1</v>
      </c>
      <c r="X303" s="2">
        <v>1.6</v>
      </c>
    </row>
    <row r="304" spans="1:24" ht="15" customHeight="1">
      <c r="A304" s="2" t="s">
        <v>1142</v>
      </c>
      <c r="B304" s="2" t="s">
        <v>1143</v>
      </c>
      <c r="C304" s="2"/>
      <c r="D304" s="2" t="s">
        <v>93</v>
      </c>
      <c r="E304" s="2" t="s">
        <v>1144</v>
      </c>
      <c r="F304" s="2" t="s">
        <v>88</v>
      </c>
      <c r="G304" s="2" t="s">
        <v>179</v>
      </c>
      <c r="H304" s="2" t="s">
        <v>32</v>
      </c>
      <c r="I304" s="2" t="s">
        <v>1145</v>
      </c>
      <c r="J304" s="2" t="s">
        <v>128</v>
      </c>
      <c r="K304" s="2"/>
      <c r="L304" s="2"/>
      <c r="M304" s="2" t="s">
        <v>51</v>
      </c>
      <c r="N304" s="2" t="s">
        <v>60</v>
      </c>
      <c r="O304" s="2">
        <v>94553.91</v>
      </c>
      <c r="P304" s="2">
        <v>19</v>
      </c>
      <c r="Q304" s="2">
        <v>16868.330000000002</v>
      </c>
      <c r="R304" s="2" t="s">
        <v>61</v>
      </c>
      <c r="S304" s="2">
        <v>553</v>
      </c>
      <c r="T304" s="2">
        <v>109</v>
      </c>
      <c r="U304" s="2" t="s">
        <v>98</v>
      </c>
      <c r="V304" s="2" t="s">
        <v>83</v>
      </c>
      <c r="W304" s="2">
        <v>2</v>
      </c>
      <c r="X304" s="2">
        <v>8.9</v>
      </c>
    </row>
    <row r="305" spans="1:24" ht="15" customHeight="1">
      <c r="A305" s="2" t="s">
        <v>1146</v>
      </c>
      <c r="B305" s="2" t="s">
        <v>1147</v>
      </c>
      <c r="C305" s="2">
        <v>20</v>
      </c>
      <c r="D305" s="2" t="s">
        <v>101</v>
      </c>
      <c r="E305" s="2" t="s">
        <v>1020</v>
      </c>
      <c r="F305" s="2" t="s">
        <v>77</v>
      </c>
      <c r="G305" s="2" t="s">
        <v>78</v>
      </c>
      <c r="H305" s="2" t="s">
        <v>79</v>
      </c>
      <c r="I305" s="2" t="s">
        <v>1148</v>
      </c>
      <c r="J305" s="2" t="s">
        <v>90</v>
      </c>
      <c r="K305" s="2" t="s">
        <v>67</v>
      </c>
      <c r="L305" s="2" t="s">
        <v>68</v>
      </c>
      <c r="M305" s="2" t="s">
        <v>51</v>
      </c>
      <c r="N305" s="2" t="s">
        <v>36</v>
      </c>
      <c r="O305" s="2">
        <v>49434.66</v>
      </c>
      <c r="P305" s="2">
        <v>22.4</v>
      </c>
      <c r="Q305" s="2">
        <v>20170.669999999998</v>
      </c>
      <c r="R305" s="2" t="s">
        <v>138</v>
      </c>
      <c r="S305" s="2">
        <v>822</v>
      </c>
      <c r="T305" s="2">
        <v>13</v>
      </c>
      <c r="U305" s="2" t="s">
        <v>72</v>
      </c>
      <c r="V305" s="2" t="s">
        <v>38</v>
      </c>
      <c r="W305" s="2">
        <v>3</v>
      </c>
      <c r="X305" s="2">
        <v>8.5</v>
      </c>
    </row>
    <row r="306" spans="1:24" ht="15" customHeight="1">
      <c r="A306" s="2" t="s">
        <v>1149</v>
      </c>
      <c r="B306" s="2" t="s">
        <v>1150</v>
      </c>
      <c r="C306" s="2">
        <v>9</v>
      </c>
      <c r="D306" s="2" t="s">
        <v>93</v>
      </c>
      <c r="E306" s="2" t="s">
        <v>1151</v>
      </c>
      <c r="F306" s="2" t="s">
        <v>88</v>
      </c>
      <c r="G306" s="2" t="s">
        <v>78</v>
      </c>
      <c r="H306" s="2" t="s">
        <v>126</v>
      </c>
      <c r="I306" s="2" t="s">
        <v>191</v>
      </c>
      <c r="J306" s="2" t="s">
        <v>113</v>
      </c>
      <c r="K306" s="2" t="s">
        <v>106</v>
      </c>
      <c r="L306" s="2" t="s">
        <v>50</v>
      </c>
      <c r="M306" s="2" t="s">
        <v>35</v>
      </c>
      <c r="N306" s="2" t="s">
        <v>70</v>
      </c>
      <c r="O306" s="2">
        <v>53470.91</v>
      </c>
      <c r="P306" s="2">
        <v>55.2</v>
      </c>
      <c r="Q306" s="2">
        <v>40977.69</v>
      </c>
      <c r="R306" s="2" t="s">
        <v>61</v>
      </c>
      <c r="S306" s="2">
        <v>669</v>
      </c>
      <c r="T306" s="2">
        <v>92</v>
      </c>
      <c r="U306" s="2" t="s">
        <v>39</v>
      </c>
      <c r="V306" s="2" t="s">
        <v>39</v>
      </c>
      <c r="W306" s="2">
        <v>5</v>
      </c>
      <c r="X306" s="2">
        <v>3.8</v>
      </c>
    </row>
    <row r="307" spans="1:24" ht="15" customHeight="1">
      <c r="A307" s="2" t="s">
        <v>1152</v>
      </c>
      <c r="B307" s="2" t="s">
        <v>1153</v>
      </c>
      <c r="C307" s="2">
        <v>44</v>
      </c>
      <c r="D307" s="2" t="s">
        <v>93</v>
      </c>
      <c r="E307" s="2" t="s">
        <v>456</v>
      </c>
      <c r="F307" s="2" t="s">
        <v>167</v>
      </c>
      <c r="G307" s="2" t="s">
        <v>78</v>
      </c>
      <c r="H307" s="2" t="s">
        <v>152</v>
      </c>
      <c r="I307" s="2" t="s">
        <v>1154</v>
      </c>
      <c r="J307" s="2" t="s">
        <v>128</v>
      </c>
      <c r="K307" s="2" t="s">
        <v>67</v>
      </c>
      <c r="L307" s="2" t="s">
        <v>68</v>
      </c>
      <c r="M307" s="2" t="s">
        <v>51</v>
      </c>
      <c r="N307" s="2" t="s">
        <v>60</v>
      </c>
      <c r="O307" s="2">
        <v>82365.850000000006</v>
      </c>
      <c r="P307" s="2">
        <v>14.6</v>
      </c>
      <c r="Q307" s="2">
        <v>25092.75</v>
      </c>
      <c r="R307" s="2" t="s">
        <v>37</v>
      </c>
      <c r="S307" s="2">
        <v>873</v>
      </c>
      <c r="T307" s="2">
        <v>93</v>
      </c>
      <c r="U307" s="2" t="s">
        <v>72</v>
      </c>
      <c r="V307" s="2" t="s">
        <v>72</v>
      </c>
      <c r="W307" s="2">
        <v>4</v>
      </c>
      <c r="X307" s="2">
        <v>4.0999999999999996</v>
      </c>
    </row>
    <row r="308" spans="1:24" ht="15" customHeight="1">
      <c r="A308" s="2" t="s">
        <v>1155</v>
      </c>
      <c r="B308" s="2" t="s">
        <v>1156</v>
      </c>
      <c r="C308" s="2">
        <v>7</v>
      </c>
      <c r="D308" s="2" t="s">
        <v>55</v>
      </c>
      <c r="E308" s="2" t="s">
        <v>893</v>
      </c>
      <c r="F308" s="2" t="s">
        <v>57</v>
      </c>
      <c r="G308" s="2" t="s">
        <v>190</v>
      </c>
      <c r="H308" s="2" t="s">
        <v>245</v>
      </c>
      <c r="I308" s="2" t="s">
        <v>1157</v>
      </c>
      <c r="J308" s="2" t="s">
        <v>48</v>
      </c>
      <c r="K308" s="2" t="s">
        <v>106</v>
      </c>
      <c r="L308" s="2" t="s">
        <v>50</v>
      </c>
      <c r="M308" s="2" t="s">
        <v>51</v>
      </c>
      <c r="N308" s="2" t="s">
        <v>36</v>
      </c>
      <c r="O308" s="2">
        <v>131187.07999999999</v>
      </c>
      <c r="P308" s="2">
        <v>17.399999999999999</v>
      </c>
      <c r="Q308" s="2">
        <v>45043.67</v>
      </c>
      <c r="R308" s="2" t="s">
        <v>129</v>
      </c>
      <c r="S308" s="2">
        <v>699</v>
      </c>
      <c r="T308" s="2">
        <v>69</v>
      </c>
      <c r="U308" s="2" t="s">
        <v>83</v>
      </c>
      <c r="V308" s="2" t="s">
        <v>83</v>
      </c>
      <c r="W308" s="2">
        <v>5</v>
      </c>
      <c r="X308" s="2">
        <v>2.4</v>
      </c>
    </row>
    <row r="309" spans="1:24" ht="15" customHeight="1">
      <c r="A309" s="2" t="s">
        <v>1158</v>
      </c>
      <c r="B309" s="2" t="s">
        <v>1159</v>
      </c>
      <c r="C309" s="2">
        <v>38</v>
      </c>
      <c r="D309" s="2" t="s">
        <v>171</v>
      </c>
      <c r="E309" s="2" t="s">
        <v>1160</v>
      </c>
      <c r="F309" s="2" t="s">
        <v>184</v>
      </c>
      <c r="G309" s="2" t="s">
        <v>190</v>
      </c>
      <c r="H309" s="2" t="s">
        <v>126</v>
      </c>
      <c r="I309" s="2" t="s">
        <v>1161</v>
      </c>
      <c r="J309" s="2" t="s">
        <v>81</v>
      </c>
      <c r="K309" s="2" t="s">
        <v>67</v>
      </c>
      <c r="L309" s="2" t="s">
        <v>68</v>
      </c>
      <c r="M309" s="2" t="s">
        <v>35</v>
      </c>
      <c r="N309" s="2" t="s">
        <v>36</v>
      </c>
      <c r="O309" s="2">
        <v>39541.43</v>
      </c>
      <c r="P309" s="2">
        <v>16.100000000000001</v>
      </c>
      <c r="Q309" s="2">
        <v>53016.15</v>
      </c>
      <c r="R309" s="2" t="s">
        <v>61</v>
      </c>
      <c r="S309" s="2">
        <v>352</v>
      </c>
      <c r="T309" s="2">
        <v>63</v>
      </c>
      <c r="U309" s="2" t="s">
        <v>108</v>
      </c>
      <c r="V309" s="2" t="s">
        <v>122</v>
      </c>
      <c r="W309" s="2">
        <v>5</v>
      </c>
      <c r="X309" s="2">
        <v>8.8000000000000007</v>
      </c>
    </row>
    <row r="310" spans="1:24" ht="15" customHeight="1">
      <c r="A310" s="2" t="s">
        <v>1162</v>
      </c>
      <c r="B310" s="2" t="s">
        <v>1163</v>
      </c>
      <c r="C310" s="2">
        <v>41</v>
      </c>
      <c r="D310" s="2" t="s">
        <v>28</v>
      </c>
      <c r="E310" s="2" t="s">
        <v>1164</v>
      </c>
      <c r="F310" s="2" t="s">
        <v>120</v>
      </c>
      <c r="G310" s="2" t="s">
        <v>190</v>
      </c>
      <c r="H310" s="2" t="s">
        <v>173</v>
      </c>
      <c r="I310" s="2" t="s">
        <v>415</v>
      </c>
      <c r="J310" s="2" t="s">
        <v>128</v>
      </c>
      <c r="K310" s="2" t="s">
        <v>67</v>
      </c>
      <c r="L310" s="2" t="s">
        <v>68</v>
      </c>
      <c r="M310" s="2" t="s">
        <v>35</v>
      </c>
      <c r="N310" s="2" t="s">
        <v>60</v>
      </c>
      <c r="O310" s="2"/>
      <c r="P310" s="2">
        <v>54.3</v>
      </c>
      <c r="Q310" s="2">
        <v>52078.92</v>
      </c>
      <c r="R310" s="2" t="s">
        <v>82</v>
      </c>
      <c r="S310" s="2">
        <v>691</v>
      </c>
      <c r="T310" s="2">
        <v>65</v>
      </c>
      <c r="U310" s="2" t="s">
        <v>98</v>
      </c>
      <c r="V310" s="2" t="s">
        <v>122</v>
      </c>
      <c r="W310" s="2">
        <v>3</v>
      </c>
      <c r="X310" s="2">
        <v>2.2000000000000002</v>
      </c>
    </row>
    <row r="311" spans="1:24" ht="15" customHeight="1">
      <c r="A311" s="2" t="s">
        <v>1165</v>
      </c>
      <c r="B311" s="2" t="s">
        <v>1166</v>
      </c>
      <c r="C311" s="2">
        <v>31</v>
      </c>
      <c r="D311" s="2" t="s">
        <v>118</v>
      </c>
      <c r="E311" s="2" t="s">
        <v>1167</v>
      </c>
      <c r="F311" s="2" t="s">
        <v>95</v>
      </c>
      <c r="G311" s="2" t="s">
        <v>96</v>
      </c>
      <c r="H311" s="2" t="s">
        <v>79</v>
      </c>
      <c r="I311" s="2" t="s">
        <v>1168</v>
      </c>
      <c r="J311" s="2" t="s">
        <v>113</v>
      </c>
      <c r="K311" s="2" t="s">
        <v>67</v>
      </c>
      <c r="L311" s="2" t="s">
        <v>68</v>
      </c>
      <c r="M311" s="2" t="s">
        <v>35</v>
      </c>
      <c r="N311" s="2" t="s">
        <v>60</v>
      </c>
      <c r="O311" s="2">
        <v>87600.41</v>
      </c>
      <c r="P311" s="2">
        <v>18.5</v>
      </c>
      <c r="Q311" s="2">
        <v>16922.650000000001</v>
      </c>
      <c r="R311" s="2" t="s">
        <v>138</v>
      </c>
      <c r="S311" s="2">
        <v>481</v>
      </c>
      <c r="T311" s="2">
        <v>175</v>
      </c>
      <c r="U311" s="2" t="s">
        <v>108</v>
      </c>
      <c r="V311" s="2" t="s">
        <v>108</v>
      </c>
      <c r="W311" s="2">
        <v>4</v>
      </c>
      <c r="X311" s="2">
        <v>2.6</v>
      </c>
    </row>
    <row r="312" spans="1:24" ht="15" customHeight="1">
      <c r="A312" s="2" t="s">
        <v>1169</v>
      </c>
      <c r="B312" s="2" t="s">
        <v>1170</v>
      </c>
      <c r="C312" s="2">
        <v>12</v>
      </c>
      <c r="D312" s="2" t="s">
        <v>93</v>
      </c>
      <c r="E312" s="2" t="s">
        <v>1171</v>
      </c>
      <c r="F312" s="2" t="s">
        <v>95</v>
      </c>
      <c r="G312" s="2" t="s">
        <v>179</v>
      </c>
      <c r="H312" s="2" t="s">
        <v>245</v>
      </c>
      <c r="I312" s="2" t="s">
        <v>254</v>
      </c>
      <c r="J312" s="2" t="s">
        <v>34</v>
      </c>
      <c r="K312" s="2" t="s">
        <v>49</v>
      </c>
      <c r="L312" s="2" t="s">
        <v>50</v>
      </c>
      <c r="M312" s="2" t="s">
        <v>0</v>
      </c>
      <c r="N312" s="2" t="s">
        <v>60</v>
      </c>
      <c r="O312" s="2">
        <v>141096.76999999999</v>
      </c>
      <c r="P312" s="2">
        <v>64.400000000000006</v>
      </c>
      <c r="Q312" s="2">
        <v>563.77</v>
      </c>
      <c r="R312" s="2" t="s">
        <v>61</v>
      </c>
      <c r="S312" s="2">
        <v>387</v>
      </c>
      <c r="T312" s="2">
        <v>122</v>
      </c>
      <c r="U312" s="2" t="s">
        <v>39</v>
      </c>
      <c r="V312" s="2" t="s">
        <v>38</v>
      </c>
      <c r="W312" s="2">
        <v>4</v>
      </c>
      <c r="X312" s="2">
        <v>1.8</v>
      </c>
    </row>
    <row r="313" spans="1:24" ht="15" customHeight="1">
      <c r="A313" s="2" t="s">
        <v>1172</v>
      </c>
      <c r="B313" s="2" t="s">
        <v>1173</v>
      </c>
      <c r="C313" s="2">
        <v>40</v>
      </c>
      <c r="D313" s="2" t="s">
        <v>93</v>
      </c>
      <c r="E313" s="2" t="s">
        <v>399</v>
      </c>
      <c r="F313" s="2" t="s">
        <v>30</v>
      </c>
      <c r="G313" s="2" t="s">
        <v>190</v>
      </c>
      <c r="H313" s="2" t="s">
        <v>65</v>
      </c>
      <c r="I313" s="2" t="s">
        <v>404</v>
      </c>
      <c r="J313" s="2" t="s">
        <v>34</v>
      </c>
      <c r="K313" s="2" t="s">
        <v>67</v>
      </c>
      <c r="L313" s="2" t="s">
        <v>68</v>
      </c>
      <c r="M313" s="2" t="s">
        <v>35</v>
      </c>
      <c r="N313" s="2" t="s">
        <v>60</v>
      </c>
      <c r="O313" s="2">
        <v>56229.94</v>
      </c>
      <c r="P313" s="2">
        <v>74.099999999999994</v>
      </c>
      <c r="Q313" s="2">
        <v>41065.050000000003</v>
      </c>
      <c r="R313" s="2" t="s">
        <v>82</v>
      </c>
      <c r="S313" s="2">
        <v>803</v>
      </c>
      <c r="T313" s="2">
        <v>28</v>
      </c>
      <c r="U313" s="2" t="s">
        <v>108</v>
      </c>
      <c r="V313" s="2" t="s">
        <v>38</v>
      </c>
      <c r="W313" s="2">
        <v>1</v>
      </c>
      <c r="X313" s="2">
        <v>5.7</v>
      </c>
    </row>
    <row r="314" spans="1:24" ht="15" customHeight="1">
      <c r="A314" s="2" t="s">
        <v>1174</v>
      </c>
      <c r="B314" s="2" t="s">
        <v>1175</v>
      </c>
      <c r="C314" s="2">
        <v>11</v>
      </c>
      <c r="D314" s="2" t="s">
        <v>55</v>
      </c>
      <c r="E314" s="2" t="s">
        <v>1031</v>
      </c>
      <c r="F314" s="2" t="s">
        <v>95</v>
      </c>
      <c r="G314" s="2" t="s">
        <v>96</v>
      </c>
      <c r="H314" s="2" t="s">
        <v>32</v>
      </c>
      <c r="I314" s="2" t="s">
        <v>1176</v>
      </c>
      <c r="J314" s="2" t="s">
        <v>48</v>
      </c>
      <c r="K314" s="2" t="s">
        <v>49</v>
      </c>
      <c r="L314" s="2" t="s">
        <v>50</v>
      </c>
      <c r="M314" s="2" t="s">
        <v>51</v>
      </c>
      <c r="N314" s="2" t="s">
        <v>70</v>
      </c>
      <c r="O314" s="2">
        <v>55515.92</v>
      </c>
      <c r="P314" s="2">
        <v>73.7</v>
      </c>
      <c r="Q314" s="2">
        <v>39703.9</v>
      </c>
      <c r="R314" s="2" t="s">
        <v>129</v>
      </c>
      <c r="S314" s="2">
        <v>378</v>
      </c>
      <c r="T314" s="2">
        <v>38</v>
      </c>
      <c r="U314" s="2" t="s">
        <v>122</v>
      </c>
      <c r="V314" s="2" t="s">
        <v>98</v>
      </c>
      <c r="W314" s="2">
        <v>4</v>
      </c>
      <c r="X314" s="2">
        <v>6.6</v>
      </c>
    </row>
    <row r="315" spans="1:24" ht="15" customHeight="1">
      <c r="A315" s="2" t="s">
        <v>1177</v>
      </c>
      <c r="B315" s="2" t="s">
        <v>1178</v>
      </c>
      <c r="C315" s="2">
        <v>10</v>
      </c>
      <c r="D315" s="2" t="s">
        <v>55</v>
      </c>
      <c r="E315" s="2" t="s">
        <v>422</v>
      </c>
      <c r="F315" s="2" t="s">
        <v>77</v>
      </c>
      <c r="G315" s="2" t="s">
        <v>217</v>
      </c>
      <c r="H315" s="2" t="s">
        <v>65</v>
      </c>
      <c r="I315" s="2" t="s">
        <v>1179</v>
      </c>
      <c r="J315" s="2" t="s">
        <v>128</v>
      </c>
      <c r="K315" s="2" t="s">
        <v>49</v>
      </c>
      <c r="L315" s="2" t="s">
        <v>50</v>
      </c>
      <c r="M315" s="2" t="s">
        <v>51</v>
      </c>
      <c r="N315" s="2" t="s">
        <v>36</v>
      </c>
      <c r="O315" s="2">
        <v>146063.09</v>
      </c>
      <c r="P315" s="2">
        <v>52.7</v>
      </c>
      <c r="Q315" s="2">
        <v>8293.2800000000007</v>
      </c>
      <c r="R315" s="2" t="s">
        <v>148</v>
      </c>
      <c r="S315" s="2">
        <v>692</v>
      </c>
      <c r="T315" s="2">
        <v>127</v>
      </c>
      <c r="U315" s="2" t="s">
        <v>39</v>
      </c>
      <c r="V315" s="2" t="s">
        <v>72</v>
      </c>
      <c r="W315" s="2">
        <v>5</v>
      </c>
      <c r="X315" s="2">
        <v>6.6</v>
      </c>
    </row>
    <row r="316" spans="1:24" ht="15" customHeight="1">
      <c r="A316" s="2" t="s">
        <v>1180</v>
      </c>
      <c r="B316" s="2" t="s">
        <v>1181</v>
      </c>
      <c r="C316" s="2">
        <v>20</v>
      </c>
      <c r="D316" s="2" t="s">
        <v>101</v>
      </c>
      <c r="E316" s="2" t="s">
        <v>1182</v>
      </c>
      <c r="F316" s="2" t="s">
        <v>167</v>
      </c>
      <c r="G316" s="2" t="s">
        <v>162</v>
      </c>
      <c r="H316" s="2" t="s">
        <v>173</v>
      </c>
      <c r="I316" s="2" t="s">
        <v>404</v>
      </c>
      <c r="J316" s="2" t="s">
        <v>90</v>
      </c>
      <c r="K316" s="2" t="s">
        <v>67</v>
      </c>
      <c r="L316" s="2" t="s">
        <v>68</v>
      </c>
      <c r="M316" s="2" t="s">
        <v>51</v>
      </c>
      <c r="N316" s="2" t="s">
        <v>60</v>
      </c>
      <c r="O316" s="2">
        <v>47731.11</v>
      </c>
      <c r="P316" s="2">
        <v>69</v>
      </c>
      <c r="Q316" s="2">
        <v>58309.18</v>
      </c>
      <c r="R316" s="2" t="s">
        <v>138</v>
      </c>
      <c r="S316" s="2">
        <v>515</v>
      </c>
      <c r="T316" s="2">
        <v>14</v>
      </c>
      <c r="U316" s="2" t="s">
        <v>108</v>
      </c>
      <c r="V316" s="2" t="s">
        <v>98</v>
      </c>
      <c r="W316" s="2">
        <v>1</v>
      </c>
      <c r="X316" s="2">
        <v>6.4</v>
      </c>
    </row>
    <row r="317" spans="1:24" ht="15" customHeight="1">
      <c r="A317" s="2" t="s">
        <v>1183</v>
      </c>
      <c r="B317" s="2" t="s">
        <v>1184</v>
      </c>
      <c r="C317" s="2">
        <v>12</v>
      </c>
      <c r="D317" s="2" t="s">
        <v>118</v>
      </c>
      <c r="E317" s="2" t="s">
        <v>1185</v>
      </c>
      <c r="F317" s="2" t="s">
        <v>57</v>
      </c>
      <c r="G317" s="2" t="s">
        <v>162</v>
      </c>
      <c r="H317" s="2" t="s">
        <v>79</v>
      </c>
      <c r="I317" s="2" t="s">
        <v>1186</v>
      </c>
      <c r="J317" s="2" t="s">
        <v>90</v>
      </c>
      <c r="K317" s="2" t="s">
        <v>49</v>
      </c>
      <c r="L317" s="2" t="s">
        <v>50</v>
      </c>
      <c r="M317" s="2" t="s">
        <v>35</v>
      </c>
      <c r="N317" s="2" t="s">
        <v>70</v>
      </c>
      <c r="O317" s="2">
        <v>26709</v>
      </c>
      <c r="P317" s="2">
        <v>60.8</v>
      </c>
      <c r="Q317" s="2">
        <v>44886.43</v>
      </c>
      <c r="R317" s="2" t="s">
        <v>37</v>
      </c>
      <c r="S317" s="2">
        <v>781</v>
      </c>
      <c r="T317" s="2">
        <v>86</v>
      </c>
      <c r="U317" s="2" t="s">
        <v>72</v>
      </c>
      <c r="V317" s="2" t="s">
        <v>72</v>
      </c>
      <c r="W317" s="2">
        <v>2</v>
      </c>
      <c r="X317" s="2">
        <v>1</v>
      </c>
    </row>
    <row r="318" spans="1:24" ht="15" customHeight="1">
      <c r="A318" s="2" t="s">
        <v>1187</v>
      </c>
      <c r="B318" s="2" t="s">
        <v>1188</v>
      </c>
      <c r="C318" s="2">
        <v>17</v>
      </c>
      <c r="D318" s="2" t="s">
        <v>93</v>
      </c>
      <c r="E318" s="2" t="s">
        <v>1189</v>
      </c>
      <c r="F318" s="2" t="s">
        <v>95</v>
      </c>
      <c r="G318" s="2" t="s">
        <v>45</v>
      </c>
      <c r="H318" s="2" t="s">
        <v>46</v>
      </c>
      <c r="I318" s="2" t="s">
        <v>1190</v>
      </c>
      <c r="J318" s="2" t="s">
        <v>48</v>
      </c>
      <c r="K318" s="2" t="s">
        <v>147</v>
      </c>
      <c r="L318" s="2" t="s">
        <v>115</v>
      </c>
      <c r="M318" s="2" t="s">
        <v>35</v>
      </c>
      <c r="N318" s="2" t="s">
        <v>70</v>
      </c>
      <c r="O318" s="2">
        <v>146102.74</v>
      </c>
      <c r="P318" s="2">
        <v>78.3</v>
      </c>
      <c r="Q318" s="2">
        <v>7508</v>
      </c>
      <c r="R318" s="2" t="s">
        <v>97</v>
      </c>
      <c r="S318" s="2">
        <v>357</v>
      </c>
      <c r="T318" s="2">
        <v>47</v>
      </c>
      <c r="U318" s="2" t="s">
        <v>98</v>
      </c>
      <c r="V318" s="2" t="s">
        <v>38</v>
      </c>
      <c r="W318" s="2">
        <v>4</v>
      </c>
      <c r="X318" s="2">
        <v>7.5</v>
      </c>
    </row>
    <row r="319" spans="1:24" ht="15" customHeight="1">
      <c r="A319" s="2" t="s">
        <v>1191</v>
      </c>
      <c r="B319" s="2" t="s">
        <v>1192</v>
      </c>
      <c r="C319" s="2">
        <v>33</v>
      </c>
      <c r="D319" s="2" t="s">
        <v>86</v>
      </c>
      <c r="E319" s="2" t="s">
        <v>291</v>
      </c>
      <c r="F319" s="2" t="s">
        <v>30</v>
      </c>
      <c r="G319" s="2" t="s">
        <v>96</v>
      </c>
      <c r="H319" s="2" t="s">
        <v>32</v>
      </c>
      <c r="I319" s="2" t="s">
        <v>1193</v>
      </c>
      <c r="J319" s="2" t="s">
        <v>34</v>
      </c>
      <c r="K319" s="2" t="s">
        <v>67</v>
      </c>
      <c r="L319" s="2" t="s">
        <v>68</v>
      </c>
      <c r="M319" s="2" t="s">
        <v>69</v>
      </c>
      <c r="N319" s="2" t="s">
        <v>36</v>
      </c>
      <c r="O319" s="2">
        <v>6591.67</v>
      </c>
      <c r="P319" s="2">
        <v>19.100000000000001</v>
      </c>
      <c r="Q319" s="2">
        <v>12103.56</v>
      </c>
      <c r="R319" s="2" t="s">
        <v>52</v>
      </c>
      <c r="S319" s="2">
        <v>575</v>
      </c>
      <c r="T319" s="2">
        <v>145</v>
      </c>
      <c r="U319" s="2" t="s">
        <v>98</v>
      </c>
      <c r="V319" s="2" t="s">
        <v>108</v>
      </c>
      <c r="W319" s="2">
        <v>3</v>
      </c>
      <c r="X319" s="2">
        <v>1.3</v>
      </c>
    </row>
    <row r="320" spans="1:24" ht="15" customHeight="1">
      <c r="A320" s="2" t="s">
        <v>1194</v>
      </c>
      <c r="B320" s="2" t="s">
        <v>1195</v>
      </c>
      <c r="C320" s="2">
        <v>24</v>
      </c>
      <c r="D320" s="2" t="s">
        <v>171</v>
      </c>
      <c r="E320" s="2" t="s">
        <v>1196</v>
      </c>
      <c r="F320" s="2" t="s">
        <v>95</v>
      </c>
      <c r="G320" s="2" t="s">
        <v>96</v>
      </c>
      <c r="H320" s="2" t="s">
        <v>79</v>
      </c>
      <c r="I320" s="2" t="s">
        <v>254</v>
      </c>
      <c r="J320" s="2" t="s">
        <v>81</v>
      </c>
      <c r="K320" s="2" t="s">
        <v>67</v>
      </c>
      <c r="L320" s="2" t="s">
        <v>68</v>
      </c>
      <c r="M320" s="2" t="s">
        <v>51</v>
      </c>
      <c r="N320" s="2" t="s">
        <v>36</v>
      </c>
      <c r="O320" s="2">
        <v>120430.05</v>
      </c>
      <c r="P320" s="2">
        <v>70.2</v>
      </c>
      <c r="Q320" s="2">
        <v>2244.5</v>
      </c>
      <c r="R320" s="2" t="s">
        <v>52</v>
      </c>
      <c r="S320" s="2">
        <v>774</v>
      </c>
      <c r="T320" s="2">
        <v>160</v>
      </c>
      <c r="U320" s="2" t="s">
        <v>83</v>
      </c>
      <c r="V320" s="2" t="s">
        <v>83</v>
      </c>
      <c r="W320" s="2">
        <v>2</v>
      </c>
      <c r="X320" s="2">
        <v>8.9</v>
      </c>
    </row>
    <row r="321" spans="1:24" ht="15" customHeight="1">
      <c r="A321" s="2" t="s">
        <v>1197</v>
      </c>
      <c r="B321" s="2" t="s">
        <v>1198</v>
      </c>
      <c r="C321" s="2">
        <v>44</v>
      </c>
      <c r="D321" s="2" t="s">
        <v>177</v>
      </c>
      <c r="E321" s="2" t="s">
        <v>1020</v>
      </c>
      <c r="F321" s="2" t="s">
        <v>88</v>
      </c>
      <c r="G321" s="2" t="s">
        <v>190</v>
      </c>
      <c r="H321" s="2" t="s">
        <v>173</v>
      </c>
      <c r="I321" s="2" t="s">
        <v>485</v>
      </c>
      <c r="J321" s="2" t="s">
        <v>34</v>
      </c>
      <c r="K321" s="2" t="s">
        <v>67</v>
      </c>
      <c r="L321" s="2" t="s">
        <v>68</v>
      </c>
      <c r="M321" s="2" t="s">
        <v>35</v>
      </c>
      <c r="N321" s="2" t="s">
        <v>60</v>
      </c>
      <c r="O321" s="2">
        <v>143912.26999999999</v>
      </c>
      <c r="P321" s="2">
        <v>79.599999999999994</v>
      </c>
      <c r="Q321" s="2">
        <v>5844.36</v>
      </c>
      <c r="R321" s="2" t="s">
        <v>52</v>
      </c>
      <c r="S321" s="2">
        <v>616</v>
      </c>
      <c r="T321" s="2">
        <v>200</v>
      </c>
      <c r="U321" s="2" t="s">
        <v>98</v>
      </c>
      <c r="V321" s="2" t="s">
        <v>98</v>
      </c>
      <c r="W321" s="2">
        <v>3</v>
      </c>
      <c r="X321" s="2">
        <v>1.9</v>
      </c>
    </row>
    <row r="322" spans="1:24" ht="15" customHeight="1">
      <c r="A322" s="2" t="s">
        <v>1199</v>
      </c>
      <c r="B322" s="2" t="s">
        <v>1200</v>
      </c>
      <c r="C322" s="2">
        <v>42</v>
      </c>
      <c r="D322" s="2" t="s">
        <v>42</v>
      </c>
      <c r="E322" s="2" t="s">
        <v>1201</v>
      </c>
      <c r="F322" s="2" t="s">
        <v>57</v>
      </c>
      <c r="G322" s="2" t="s">
        <v>45</v>
      </c>
      <c r="H322" s="2" t="s">
        <v>126</v>
      </c>
      <c r="I322" s="2" t="s">
        <v>1202</v>
      </c>
      <c r="J322" s="2" t="s">
        <v>48</v>
      </c>
      <c r="K322" s="2" t="s">
        <v>67</v>
      </c>
      <c r="L322" s="2" t="s">
        <v>68</v>
      </c>
      <c r="M322" s="2" t="s">
        <v>51</v>
      </c>
      <c r="N322" s="2" t="s">
        <v>36</v>
      </c>
      <c r="O322" s="2">
        <v>75797.55</v>
      </c>
      <c r="P322" s="2">
        <v>26.5</v>
      </c>
      <c r="Q322" s="2">
        <v>24541.99</v>
      </c>
      <c r="R322" s="2" t="s">
        <v>148</v>
      </c>
      <c r="S322" s="2">
        <v>751</v>
      </c>
      <c r="T322" s="2">
        <v>159</v>
      </c>
      <c r="U322" s="2" t="s">
        <v>38</v>
      </c>
      <c r="V322" s="2" t="s">
        <v>98</v>
      </c>
      <c r="W322" s="2">
        <v>5</v>
      </c>
      <c r="X322" s="2">
        <v>4.3</v>
      </c>
    </row>
    <row r="323" spans="1:24" ht="15" customHeight="1">
      <c r="A323" s="2" t="s">
        <v>1203</v>
      </c>
      <c r="B323" s="2" t="s">
        <v>1204</v>
      </c>
      <c r="C323" s="2">
        <v>8</v>
      </c>
      <c r="D323" s="2" t="s">
        <v>101</v>
      </c>
      <c r="E323" s="2" t="s">
        <v>1205</v>
      </c>
      <c r="F323" s="2" t="s">
        <v>184</v>
      </c>
      <c r="G323" s="2" t="s">
        <v>162</v>
      </c>
      <c r="H323" s="2" t="s">
        <v>79</v>
      </c>
      <c r="I323" s="2" t="s">
        <v>1206</v>
      </c>
      <c r="J323" s="2" t="s">
        <v>81</v>
      </c>
      <c r="K323" s="2" t="s">
        <v>106</v>
      </c>
      <c r="L323" s="2" t="s">
        <v>50</v>
      </c>
      <c r="M323" s="2" t="s">
        <v>69</v>
      </c>
      <c r="N323" s="2" t="s">
        <v>70</v>
      </c>
      <c r="O323" s="2">
        <v>131753.04</v>
      </c>
      <c r="P323" s="2">
        <v>31.2</v>
      </c>
      <c r="Q323" s="2">
        <v>28109.32</v>
      </c>
      <c r="R323" s="2" t="s">
        <v>107</v>
      </c>
      <c r="S323" s="2">
        <v>411</v>
      </c>
      <c r="T323" s="2">
        <v>187</v>
      </c>
      <c r="U323" s="2" t="s">
        <v>98</v>
      </c>
      <c r="V323" s="2" t="s">
        <v>39</v>
      </c>
      <c r="W323" s="2">
        <v>4</v>
      </c>
      <c r="X323" s="2">
        <v>3.3</v>
      </c>
    </row>
    <row r="324" spans="1:24" ht="15" customHeight="1">
      <c r="A324" s="2" t="s">
        <v>1207</v>
      </c>
      <c r="B324" s="2" t="s">
        <v>1208</v>
      </c>
      <c r="C324" s="2">
        <v>37</v>
      </c>
      <c r="D324" s="2" t="s">
        <v>118</v>
      </c>
      <c r="E324" s="2" t="s">
        <v>1209</v>
      </c>
      <c r="F324" s="2" t="s">
        <v>103</v>
      </c>
      <c r="G324" s="2" t="s">
        <v>162</v>
      </c>
      <c r="H324" s="2" t="s">
        <v>46</v>
      </c>
      <c r="I324" s="2" t="s">
        <v>1210</v>
      </c>
      <c r="J324" s="2" t="s">
        <v>128</v>
      </c>
      <c r="K324" s="2" t="s">
        <v>67</v>
      </c>
      <c r="L324" s="2" t="s">
        <v>68</v>
      </c>
      <c r="M324" s="2" t="s">
        <v>51</v>
      </c>
      <c r="N324" s="2" t="s">
        <v>70</v>
      </c>
      <c r="O324" s="2">
        <v>14048.04</v>
      </c>
      <c r="P324" s="2">
        <v>64.2</v>
      </c>
      <c r="Q324" s="2">
        <v>58713.65</v>
      </c>
      <c r="R324" s="2" t="s">
        <v>71</v>
      </c>
      <c r="S324" s="2">
        <v>516</v>
      </c>
      <c r="T324" s="2">
        <v>194</v>
      </c>
      <c r="U324" s="2" t="s">
        <v>38</v>
      </c>
      <c r="V324" s="2" t="s">
        <v>39</v>
      </c>
      <c r="W324" s="2">
        <v>1</v>
      </c>
      <c r="X324" s="2">
        <v>1.7</v>
      </c>
    </row>
    <row r="325" spans="1:24" ht="15" customHeight="1">
      <c r="A325" s="2" t="s">
        <v>1211</v>
      </c>
      <c r="B325" s="2" t="s">
        <v>1212</v>
      </c>
      <c r="C325" s="2">
        <v>34</v>
      </c>
      <c r="D325" s="2" t="s">
        <v>171</v>
      </c>
      <c r="E325" s="2" t="s">
        <v>874</v>
      </c>
      <c r="F325" s="2" t="s">
        <v>77</v>
      </c>
      <c r="G325" s="2" t="s">
        <v>217</v>
      </c>
      <c r="H325" s="2" t="s">
        <v>245</v>
      </c>
      <c r="I325" s="2" t="s">
        <v>1213</v>
      </c>
      <c r="J325" s="2" t="s">
        <v>34</v>
      </c>
      <c r="K325" s="2" t="s">
        <v>67</v>
      </c>
      <c r="L325" s="2" t="s">
        <v>68</v>
      </c>
      <c r="M325" s="2" t="s">
        <v>35</v>
      </c>
      <c r="N325" s="2" t="s">
        <v>70</v>
      </c>
      <c r="O325" s="2">
        <v>73947.42</v>
      </c>
      <c r="P325" s="2">
        <v>17.100000000000001</v>
      </c>
      <c r="Q325" s="2">
        <v>41801.410000000003</v>
      </c>
      <c r="R325" s="2" t="s">
        <v>129</v>
      </c>
      <c r="S325" s="2">
        <v>884</v>
      </c>
      <c r="T325" s="2">
        <v>2</v>
      </c>
      <c r="U325" s="2" t="s">
        <v>108</v>
      </c>
      <c r="V325" s="2" t="s">
        <v>122</v>
      </c>
      <c r="W325" s="2">
        <v>3</v>
      </c>
      <c r="X325" s="2">
        <v>0.6</v>
      </c>
    </row>
    <row r="326" spans="1:24" ht="15" customHeight="1">
      <c r="A326" s="2" t="s">
        <v>1214</v>
      </c>
      <c r="B326" s="2" t="s">
        <v>1215</v>
      </c>
      <c r="C326" s="2">
        <v>37</v>
      </c>
      <c r="D326" s="2" t="s">
        <v>188</v>
      </c>
      <c r="E326" s="2" t="s">
        <v>348</v>
      </c>
      <c r="F326" s="2" t="s">
        <v>95</v>
      </c>
      <c r="G326" s="2" t="s">
        <v>190</v>
      </c>
      <c r="H326" s="2" t="s">
        <v>46</v>
      </c>
      <c r="I326" s="2" t="s">
        <v>1216</v>
      </c>
      <c r="J326" s="2" t="s">
        <v>48</v>
      </c>
      <c r="K326" s="2" t="s">
        <v>67</v>
      </c>
      <c r="L326" s="2" t="s">
        <v>68</v>
      </c>
      <c r="M326" s="2" t="s">
        <v>51</v>
      </c>
      <c r="N326" s="2" t="s">
        <v>60</v>
      </c>
      <c r="O326" s="2">
        <v>10290.469999999999</v>
      </c>
      <c r="P326" s="2">
        <v>19.100000000000001</v>
      </c>
      <c r="Q326" s="2">
        <v>41786.769999999997</v>
      </c>
      <c r="R326" s="2" t="s">
        <v>97</v>
      </c>
      <c r="S326" s="2">
        <v>521</v>
      </c>
      <c r="T326" s="2">
        <v>48</v>
      </c>
      <c r="U326" s="2" t="s">
        <v>122</v>
      </c>
      <c r="V326" s="2" t="s">
        <v>72</v>
      </c>
      <c r="W326" s="2">
        <v>3</v>
      </c>
      <c r="X326" s="2">
        <v>8.1</v>
      </c>
    </row>
    <row r="327" spans="1:24" ht="15" customHeight="1">
      <c r="A327" s="2" t="s">
        <v>1217</v>
      </c>
      <c r="B327" s="2" t="s">
        <v>1218</v>
      </c>
      <c r="C327" s="2">
        <v>37</v>
      </c>
      <c r="D327" s="2" t="s">
        <v>177</v>
      </c>
      <c r="E327" s="2" t="s">
        <v>426</v>
      </c>
      <c r="F327" s="2" t="s">
        <v>88</v>
      </c>
      <c r="G327" s="2" t="s">
        <v>179</v>
      </c>
      <c r="H327" s="2" t="s">
        <v>46</v>
      </c>
      <c r="I327" s="2" t="s">
        <v>471</v>
      </c>
      <c r="J327" s="2" t="s">
        <v>113</v>
      </c>
      <c r="K327" s="2" t="s">
        <v>67</v>
      </c>
      <c r="L327" s="2" t="s">
        <v>68</v>
      </c>
      <c r="M327" s="2" t="s">
        <v>51</v>
      </c>
      <c r="N327" s="2" t="s">
        <v>60</v>
      </c>
      <c r="O327" s="2">
        <v>83700.62</v>
      </c>
      <c r="P327" s="2">
        <v>68.400000000000006</v>
      </c>
      <c r="Q327" s="2">
        <v>41313.040000000001</v>
      </c>
      <c r="R327" s="2" t="s">
        <v>129</v>
      </c>
      <c r="S327" s="2">
        <v>590</v>
      </c>
      <c r="T327" s="2">
        <v>25</v>
      </c>
      <c r="U327" s="2" t="s">
        <v>108</v>
      </c>
      <c r="V327" s="2" t="s">
        <v>108</v>
      </c>
      <c r="W327" s="2">
        <v>5</v>
      </c>
      <c r="X327" s="2">
        <v>8.4</v>
      </c>
    </row>
    <row r="328" spans="1:24" ht="15" customHeight="1">
      <c r="A328" s="2" t="s">
        <v>1219</v>
      </c>
      <c r="B328" s="2" t="s">
        <v>1220</v>
      </c>
      <c r="C328" s="2">
        <v>45</v>
      </c>
      <c r="D328" s="2" t="s">
        <v>118</v>
      </c>
      <c r="E328" s="2" t="s">
        <v>1221</v>
      </c>
      <c r="F328" s="2" t="s">
        <v>44</v>
      </c>
      <c r="G328" s="2" t="s">
        <v>190</v>
      </c>
      <c r="H328" s="2" t="s">
        <v>58</v>
      </c>
      <c r="I328" s="2" t="s">
        <v>1222</v>
      </c>
      <c r="J328" s="2" t="s">
        <v>81</v>
      </c>
      <c r="K328" s="2" t="s">
        <v>67</v>
      </c>
      <c r="L328" s="2" t="s">
        <v>68</v>
      </c>
      <c r="M328" s="2" t="s">
        <v>51</v>
      </c>
      <c r="N328" s="2" t="s">
        <v>70</v>
      </c>
      <c r="O328" s="2">
        <v>142829.97</v>
      </c>
      <c r="P328" s="2">
        <v>64.5</v>
      </c>
      <c r="Q328" s="2">
        <v>27836.83</v>
      </c>
      <c r="R328" s="2" t="s">
        <v>107</v>
      </c>
      <c r="S328" s="2">
        <v>307</v>
      </c>
      <c r="T328" s="2">
        <v>200</v>
      </c>
      <c r="U328" s="2" t="s">
        <v>122</v>
      </c>
      <c r="V328" s="2" t="s">
        <v>38</v>
      </c>
      <c r="W328" s="2">
        <v>3</v>
      </c>
      <c r="X328" s="2">
        <v>7.6</v>
      </c>
    </row>
    <row r="329" spans="1:24" ht="15" customHeight="1">
      <c r="A329" s="2" t="s">
        <v>1223</v>
      </c>
      <c r="B329" s="2" t="s">
        <v>1224</v>
      </c>
      <c r="C329" s="2">
        <v>21</v>
      </c>
      <c r="D329" s="2" t="s">
        <v>118</v>
      </c>
      <c r="E329" s="2" t="s">
        <v>1225</v>
      </c>
      <c r="F329" s="2" t="s">
        <v>44</v>
      </c>
      <c r="G329" s="2" t="s">
        <v>217</v>
      </c>
      <c r="H329" s="2" t="s">
        <v>173</v>
      </c>
      <c r="I329" s="2" t="s">
        <v>1226</v>
      </c>
      <c r="J329" s="2" t="s">
        <v>128</v>
      </c>
      <c r="K329" s="2" t="s">
        <v>67</v>
      </c>
      <c r="L329" s="2" t="s">
        <v>68</v>
      </c>
      <c r="M329" s="2" t="s">
        <v>35</v>
      </c>
      <c r="N329" s="2" t="s">
        <v>70</v>
      </c>
      <c r="O329" s="2">
        <v>40065.51</v>
      </c>
      <c r="P329" s="2">
        <v>19.399999999999999</v>
      </c>
      <c r="Q329" s="2">
        <v>38666.06</v>
      </c>
      <c r="R329" s="2" t="s">
        <v>97</v>
      </c>
      <c r="S329" s="2">
        <v>431</v>
      </c>
      <c r="T329" s="2">
        <v>99</v>
      </c>
      <c r="U329" s="2" t="s">
        <v>98</v>
      </c>
      <c r="V329" s="2" t="s">
        <v>39</v>
      </c>
      <c r="W329" s="2">
        <v>4</v>
      </c>
      <c r="X329" s="2">
        <v>2.5</v>
      </c>
    </row>
    <row r="330" spans="1:24" ht="15" customHeight="1">
      <c r="A330" s="2" t="s">
        <v>1227</v>
      </c>
      <c r="B330" s="2" t="s">
        <v>1228</v>
      </c>
      <c r="C330" s="2">
        <v>13</v>
      </c>
      <c r="D330" s="2" t="s">
        <v>42</v>
      </c>
      <c r="E330" s="2" t="s">
        <v>1229</v>
      </c>
      <c r="F330" s="2" t="s">
        <v>57</v>
      </c>
      <c r="G330" s="2" t="s">
        <v>96</v>
      </c>
      <c r="H330" s="2" t="s">
        <v>104</v>
      </c>
      <c r="I330" s="2" t="s">
        <v>518</v>
      </c>
      <c r="J330" s="2" t="s">
        <v>90</v>
      </c>
      <c r="K330" s="2" t="s">
        <v>49</v>
      </c>
      <c r="L330" s="2" t="s">
        <v>50</v>
      </c>
      <c r="M330" s="2" t="s">
        <v>51</v>
      </c>
      <c r="N330" s="2" t="s">
        <v>60</v>
      </c>
      <c r="O330" s="2">
        <v>94624.45</v>
      </c>
      <c r="P330" s="2">
        <v>77.900000000000006</v>
      </c>
      <c r="Q330" s="2">
        <v>34307.629999999997</v>
      </c>
      <c r="R330" s="2" t="s">
        <v>52</v>
      </c>
      <c r="S330" s="2">
        <v>764</v>
      </c>
      <c r="T330" s="2">
        <v>199</v>
      </c>
      <c r="U330" s="2" t="s">
        <v>39</v>
      </c>
      <c r="V330" s="2" t="s">
        <v>83</v>
      </c>
      <c r="W330" s="2">
        <v>3</v>
      </c>
      <c r="X330" s="2">
        <v>2.1</v>
      </c>
    </row>
    <row r="331" spans="1:24" ht="15" customHeight="1">
      <c r="A331" s="2" t="s">
        <v>1230</v>
      </c>
      <c r="B331" s="2" t="s">
        <v>1231</v>
      </c>
      <c r="C331" s="2">
        <v>30</v>
      </c>
      <c r="D331" s="2" t="s">
        <v>188</v>
      </c>
      <c r="E331" s="2" t="s">
        <v>699</v>
      </c>
      <c r="F331" s="2" t="s">
        <v>57</v>
      </c>
      <c r="G331" s="2" t="s">
        <v>162</v>
      </c>
      <c r="H331" s="2" t="s">
        <v>32</v>
      </c>
      <c r="I331" s="2" t="s">
        <v>254</v>
      </c>
      <c r="J331" s="2" t="s">
        <v>90</v>
      </c>
      <c r="K331" s="2" t="s">
        <v>67</v>
      </c>
      <c r="L331" s="2" t="s">
        <v>68</v>
      </c>
      <c r="M331" s="2" t="s">
        <v>35</v>
      </c>
      <c r="N331" s="2" t="s">
        <v>60</v>
      </c>
      <c r="O331" s="2">
        <v>18452.689999999999</v>
      </c>
      <c r="P331" s="2">
        <v>32.1</v>
      </c>
      <c r="Q331" s="2">
        <v>50298.95</v>
      </c>
      <c r="R331" s="2" t="s">
        <v>138</v>
      </c>
      <c r="S331" s="2">
        <v>802</v>
      </c>
      <c r="T331" s="2">
        <v>105</v>
      </c>
      <c r="U331" s="2" t="s">
        <v>98</v>
      </c>
      <c r="V331" s="2" t="s">
        <v>83</v>
      </c>
      <c r="W331" s="2">
        <v>4</v>
      </c>
      <c r="X331" s="2">
        <v>3.7</v>
      </c>
    </row>
    <row r="332" spans="1:24" ht="15" customHeight="1">
      <c r="A332" s="2" t="s">
        <v>1232</v>
      </c>
      <c r="B332" s="2" t="s">
        <v>1233</v>
      </c>
      <c r="C332" s="2">
        <v>16</v>
      </c>
      <c r="D332" s="2" t="s">
        <v>86</v>
      </c>
      <c r="E332" s="2" t="s">
        <v>1234</v>
      </c>
      <c r="F332" s="2" t="s">
        <v>57</v>
      </c>
      <c r="G332" s="2" t="s">
        <v>162</v>
      </c>
      <c r="H332" s="2" t="s">
        <v>65</v>
      </c>
      <c r="I332" s="2" t="s">
        <v>80</v>
      </c>
      <c r="J332" s="2" t="s">
        <v>34</v>
      </c>
      <c r="K332" s="2" t="s">
        <v>114</v>
      </c>
      <c r="L332" s="2" t="s">
        <v>115</v>
      </c>
      <c r="M332" s="2" t="s">
        <v>51</v>
      </c>
      <c r="N332" s="2" t="s">
        <v>60</v>
      </c>
      <c r="O332" s="2">
        <v>32962.559999999998</v>
      </c>
      <c r="P332" s="2">
        <v>6.7</v>
      </c>
      <c r="Q332" s="2">
        <v>30704.68</v>
      </c>
      <c r="R332" s="2" t="s">
        <v>52</v>
      </c>
      <c r="S332" s="2">
        <v>673</v>
      </c>
      <c r="T332" s="2">
        <v>55</v>
      </c>
      <c r="U332" s="2" t="s">
        <v>122</v>
      </c>
      <c r="V332" s="2" t="s">
        <v>83</v>
      </c>
      <c r="W332" s="2">
        <v>1</v>
      </c>
      <c r="X332" s="2">
        <v>6.7</v>
      </c>
    </row>
    <row r="333" spans="1:24" ht="15" customHeight="1">
      <c r="A333" s="2" t="s">
        <v>1235</v>
      </c>
      <c r="B333" s="2" t="s">
        <v>1236</v>
      </c>
      <c r="C333" s="2">
        <v>36</v>
      </c>
      <c r="D333" s="2" t="s">
        <v>93</v>
      </c>
      <c r="E333" s="2" t="s">
        <v>1237</v>
      </c>
      <c r="F333" s="2" t="s">
        <v>184</v>
      </c>
      <c r="G333" s="2" t="s">
        <v>190</v>
      </c>
      <c r="H333" s="2" t="s">
        <v>152</v>
      </c>
      <c r="I333" s="2" t="s">
        <v>947</v>
      </c>
      <c r="J333" s="2" t="s">
        <v>34</v>
      </c>
      <c r="K333" s="2" t="s">
        <v>67</v>
      </c>
      <c r="L333" s="2" t="s">
        <v>68</v>
      </c>
      <c r="M333" s="2" t="s">
        <v>35</v>
      </c>
      <c r="N333" s="2" t="s">
        <v>36</v>
      </c>
      <c r="O333" s="2">
        <v>45757</v>
      </c>
      <c r="P333" s="2">
        <v>48.8</v>
      </c>
      <c r="Q333" s="2">
        <v>45986.93</v>
      </c>
      <c r="R333" s="2" t="s">
        <v>138</v>
      </c>
      <c r="S333" s="2">
        <v>510</v>
      </c>
      <c r="T333" s="2">
        <v>124</v>
      </c>
      <c r="U333" s="2" t="s">
        <v>73</v>
      </c>
      <c r="V333" s="2" t="s">
        <v>38</v>
      </c>
      <c r="W333" s="2">
        <v>3</v>
      </c>
      <c r="X333" s="2">
        <v>5.8</v>
      </c>
    </row>
    <row r="334" spans="1:24" ht="15" customHeight="1">
      <c r="A334" s="2" t="s">
        <v>1238</v>
      </c>
      <c r="B334" s="2" t="s">
        <v>1239</v>
      </c>
      <c r="C334" s="2">
        <v>42</v>
      </c>
      <c r="D334" s="2" t="s">
        <v>42</v>
      </c>
      <c r="E334" s="2" t="s">
        <v>611</v>
      </c>
      <c r="F334" s="2" t="s">
        <v>30</v>
      </c>
      <c r="G334" s="2" t="s">
        <v>45</v>
      </c>
      <c r="H334" s="2" t="s">
        <v>79</v>
      </c>
      <c r="I334" s="2" t="s">
        <v>1240</v>
      </c>
      <c r="J334" s="2" t="s">
        <v>128</v>
      </c>
      <c r="K334" s="2" t="s">
        <v>67</v>
      </c>
      <c r="L334" s="2" t="s">
        <v>68</v>
      </c>
      <c r="M334" s="2" t="s">
        <v>51</v>
      </c>
      <c r="N334" s="2" t="s">
        <v>36</v>
      </c>
      <c r="O334" s="2">
        <v>56076.73</v>
      </c>
      <c r="P334" s="2">
        <v>18.5</v>
      </c>
      <c r="Q334" s="2">
        <v>19360.87</v>
      </c>
      <c r="R334" s="2" t="s">
        <v>61</v>
      </c>
      <c r="S334" s="2">
        <v>551</v>
      </c>
      <c r="T334" s="2">
        <v>168</v>
      </c>
      <c r="U334" s="2" t="s">
        <v>38</v>
      </c>
      <c r="V334" s="2" t="s">
        <v>122</v>
      </c>
      <c r="W334" s="2">
        <v>1</v>
      </c>
      <c r="X334" s="2">
        <v>0.6</v>
      </c>
    </row>
    <row r="335" spans="1:24" ht="15" customHeight="1">
      <c r="A335" s="2" t="s">
        <v>1241</v>
      </c>
      <c r="B335" s="2" t="s">
        <v>1242</v>
      </c>
      <c r="C335" s="2">
        <v>19</v>
      </c>
      <c r="D335" s="2" t="s">
        <v>171</v>
      </c>
      <c r="E335" s="2" t="s">
        <v>1243</v>
      </c>
      <c r="F335" s="2" t="s">
        <v>167</v>
      </c>
      <c r="G335" s="2" t="s">
        <v>31</v>
      </c>
      <c r="H335" s="2" t="s">
        <v>58</v>
      </c>
      <c r="I335" s="2" t="s">
        <v>1244</v>
      </c>
      <c r="J335" s="2" t="s">
        <v>90</v>
      </c>
      <c r="K335" s="2" t="s">
        <v>147</v>
      </c>
      <c r="L335" s="2" t="s">
        <v>115</v>
      </c>
      <c r="M335" s="2" t="s">
        <v>51</v>
      </c>
      <c r="N335" s="2" t="s">
        <v>36</v>
      </c>
      <c r="O335" s="2">
        <v>15849.51</v>
      </c>
      <c r="P335" s="2">
        <v>36.6</v>
      </c>
      <c r="Q335" s="2">
        <v>45372.07</v>
      </c>
      <c r="R335" s="2" t="s">
        <v>158</v>
      </c>
      <c r="S335" s="2">
        <v>502</v>
      </c>
      <c r="T335" s="2">
        <v>126</v>
      </c>
      <c r="U335" s="2" t="s">
        <v>72</v>
      </c>
      <c r="V335" s="2" t="s">
        <v>73</v>
      </c>
      <c r="W335" s="2">
        <v>1</v>
      </c>
      <c r="X335" s="2">
        <v>1.6</v>
      </c>
    </row>
    <row r="336" spans="1:24" ht="15" customHeight="1">
      <c r="A336" s="2" t="s">
        <v>1245</v>
      </c>
      <c r="B336" s="2" t="s">
        <v>1246</v>
      </c>
      <c r="C336" s="2">
        <v>30</v>
      </c>
      <c r="D336" s="2" t="s">
        <v>55</v>
      </c>
      <c r="E336" s="2" t="s">
        <v>1247</v>
      </c>
      <c r="F336" s="2" t="s">
        <v>44</v>
      </c>
      <c r="G336" s="2" t="s">
        <v>162</v>
      </c>
      <c r="H336" s="2" t="s">
        <v>152</v>
      </c>
      <c r="I336" s="2" t="s">
        <v>1248</v>
      </c>
      <c r="J336" s="2" t="s">
        <v>90</v>
      </c>
      <c r="K336" s="2" t="s">
        <v>67</v>
      </c>
      <c r="L336" s="2" t="s">
        <v>68</v>
      </c>
      <c r="M336" s="2" t="s">
        <v>51</v>
      </c>
      <c r="N336" s="2" t="s">
        <v>60</v>
      </c>
      <c r="O336" s="2"/>
      <c r="P336" s="2">
        <v>40.200000000000003</v>
      </c>
      <c r="Q336" s="2">
        <v>49791.01</v>
      </c>
      <c r="R336" s="2" t="s">
        <v>129</v>
      </c>
      <c r="S336" s="2">
        <v>608</v>
      </c>
      <c r="T336" s="2">
        <v>192</v>
      </c>
      <c r="U336" s="2" t="s">
        <v>73</v>
      </c>
      <c r="V336" s="2" t="s">
        <v>122</v>
      </c>
      <c r="W336" s="2">
        <v>4</v>
      </c>
      <c r="X336" s="2">
        <v>5.7</v>
      </c>
    </row>
    <row r="337" spans="1:24" ht="15" customHeight="1">
      <c r="A337" s="2" t="s">
        <v>1249</v>
      </c>
      <c r="B337" s="2" t="s">
        <v>1250</v>
      </c>
      <c r="C337" s="2">
        <v>35</v>
      </c>
      <c r="D337" s="2" t="s">
        <v>188</v>
      </c>
      <c r="E337" s="2" t="s">
        <v>1171</v>
      </c>
      <c r="F337" s="2" t="s">
        <v>120</v>
      </c>
      <c r="G337" s="2" t="s">
        <v>31</v>
      </c>
      <c r="H337" s="2" t="s">
        <v>245</v>
      </c>
      <c r="I337" s="2" t="s">
        <v>331</v>
      </c>
      <c r="J337" s="2" t="s">
        <v>34</v>
      </c>
      <c r="K337" s="2" t="s">
        <v>67</v>
      </c>
      <c r="L337" s="2" t="s">
        <v>68</v>
      </c>
      <c r="M337" s="2" t="s">
        <v>35</v>
      </c>
      <c r="N337" s="2" t="s">
        <v>36</v>
      </c>
      <c r="O337" s="2">
        <v>110016.74</v>
      </c>
      <c r="P337" s="2">
        <v>11.6</v>
      </c>
      <c r="Q337" s="2">
        <v>43446.47</v>
      </c>
      <c r="R337" s="2" t="s">
        <v>129</v>
      </c>
      <c r="S337" s="2">
        <v>305</v>
      </c>
      <c r="T337" s="2">
        <v>13</v>
      </c>
      <c r="U337" s="2" t="s">
        <v>72</v>
      </c>
      <c r="V337" s="2" t="s">
        <v>108</v>
      </c>
      <c r="W337" s="2">
        <v>3</v>
      </c>
      <c r="X337" s="2">
        <v>1.1000000000000001</v>
      </c>
    </row>
    <row r="338" spans="1:24" ht="15" customHeight="1">
      <c r="A338" s="2" t="s">
        <v>1251</v>
      </c>
      <c r="B338" s="2" t="s">
        <v>1252</v>
      </c>
      <c r="C338" s="2">
        <v>30</v>
      </c>
      <c r="D338" s="2" t="s">
        <v>28</v>
      </c>
      <c r="E338" s="2" t="s">
        <v>555</v>
      </c>
      <c r="F338" s="2" t="s">
        <v>120</v>
      </c>
      <c r="G338" s="2" t="s">
        <v>45</v>
      </c>
      <c r="H338" s="2" t="s">
        <v>65</v>
      </c>
      <c r="I338" s="2" t="s">
        <v>1253</v>
      </c>
      <c r="J338" s="2" t="s">
        <v>81</v>
      </c>
      <c r="K338" s="2" t="s">
        <v>67</v>
      </c>
      <c r="L338" s="2" t="s">
        <v>68</v>
      </c>
      <c r="M338" s="2" t="s">
        <v>51</v>
      </c>
      <c r="N338" s="2" t="s">
        <v>70</v>
      </c>
      <c r="O338" s="2">
        <v>97351.03</v>
      </c>
      <c r="P338" s="2">
        <v>44.1</v>
      </c>
      <c r="Q338" s="2">
        <v>14431.41</v>
      </c>
      <c r="R338" s="2" t="s">
        <v>129</v>
      </c>
      <c r="S338" s="2">
        <v>801</v>
      </c>
      <c r="T338" s="2">
        <v>82</v>
      </c>
      <c r="U338" s="2" t="s">
        <v>39</v>
      </c>
      <c r="V338" s="2" t="s">
        <v>122</v>
      </c>
      <c r="W338" s="2">
        <v>3</v>
      </c>
      <c r="X338" s="2">
        <v>6.5</v>
      </c>
    </row>
    <row r="339" spans="1:24" ht="15" customHeight="1">
      <c r="A339" s="2" t="s">
        <v>1254</v>
      </c>
      <c r="B339" s="2" t="s">
        <v>1255</v>
      </c>
      <c r="C339" s="2">
        <v>21</v>
      </c>
      <c r="D339" s="2" t="s">
        <v>93</v>
      </c>
      <c r="E339" s="2" t="s">
        <v>1182</v>
      </c>
      <c r="F339" s="2" t="s">
        <v>103</v>
      </c>
      <c r="G339" s="2" t="s">
        <v>162</v>
      </c>
      <c r="H339" s="2" t="s">
        <v>104</v>
      </c>
      <c r="I339" s="2" t="s">
        <v>741</v>
      </c>
      <c r="J339" s="2" t="s">
        <v>113</v>
      </c>
      <c r="K339" s="2" t="s">
        <v>67</v>
      </c>
      <c r="L339" s="2" t="s">
        <v>68</v>
      </c>
      <c r="M339" s="2" t="s">
        <v>35</v>
      </c>
      <c r="N339" s="2" t="s">
        <v>60</v>
      </c>
      <c r="O339" s="2">
        <v>123029.34</v>
      </c>
      <c r="P339" s="2">
        <v>43.5</v>
      </c>
      <c r="Q339" s="2">
        <v>18801.54</v>
      </c>
      <c r="R339" s="2" t="s">
        <v>129</v>
      </c>
      <c r="S339" s="2">
        <v>764</v>
      </c>
      <c r="T339" s="2">
        <v>129</v>
      </c>
      <c r="U339" s="2" t="s">
        <v>83</v>
      </c>
      <c r="V339" s="2" t="s">
        <v>122</v>
      </c>
      <c r="W339" s="2">
        <v>4</v>
      </c>
      <c r="X339" s="2">
        <v>8.8000000000000007</v>
      </c>
    </row>
    <row r="340" spans="1:24" ht="15" customHeight="1">
      <c r="A340" s="2" t="s">
        <v>1256</v>
      </c>
      <c r="B340" s="2" t="s">
        <v>1257</v>
      </c>
      <c r="C340" s="2">
        <v>31</v>
      </c>
      <c r="D340" s="2" t="s">
        <v>93</v>
      </c>
      <c r="E340" s="2" t="s">
        <v>839</v>
      </c>
      <c r="F340" s="2" t="s">
        <v>57</v>
      </c>
      <c r="G340" s="2" t="s">
        <v>190</v>
      </c>
      <c r="H340" s="2" t="s">
        <v>32</v>
      </c>
      <c r="I340" s="2" t="s">
        <v>254</v>
      </c>
      <c r="J340" s="2" t="s">
        <v>48</v>
      </c>
      <c r="K340" s="2" t="s">
        <v>67</v>
      </c>
      <c r="L340" s="2" t="s">
        <v>68</v>
      </c>
      <c r="M340" s="2" t="s">
        <v>0</v>
      </c>
      <c r="N340" s="2" t="s">
        <v>70</v>
      </c>
      <c r="O340" s="2">
        <v>32119.32</v>
      </c>
      <c r="P340" s="2">
        <v>54.6</v>
      </c>
      <c r="Q340" s="2">
        <v>27158.45</v>
      </c>
      <c r="R340" s="2" t="s">
        <v>138</v>
      </c>
      <c r="S340" s="2">
        <v>863</v>
      </c>
      <c r="T340" s="2">
        <v>110</v>
      </c>
      <c r="U340" s="2" t="s">
        <v>83</v>
      </c>
      <c r="V340" s="2" t="s">
        <v>73</v>
      </c>
      <c r="W340" s="2">
        <v>5</v>
      </c>
      <c r="X340" s="2">
        <v>3.3</v>
      </c>
    </row>
    <row r="341" spans="1:24" ht="15" customHeight="1">
      <c r="A341" s="2" t="s">
        <v>1258</v>
      </c>
      <c r="B341" s="2" t="s">
        <v>1259</v>
      </c>
      <c r="C341" s="2">
        <v>9</v>
      </c>
      <c r="D341" s="2" t="s">
        <v>177</v>
      </c>
      <c r="E341" s="2" t="s">
        <v>1260</v>
      </c>
      <c r="F341" s="2" t="s">
        <v>167</v>
      </c>
      <c r="G341" s="2" t="s">
        <v>179</v>
      </c>
      <c r="H341" s="2" t="s">
        <v>79</v>
      </c>
      <c r="I341" s="2" t="s">
        <v>890</v>
      </c>
      <c r="J341" s="2" t="s">
        <v>81</v>
      </c>
      <c r="K341" s="2" t="s">
        <v>106</v>
      </c>
      <c r="L341" s="2" t="s">
        <v>50</v>
      </c>
      <c r="M341" s="2" t="s">
        <v>51</v>
      </c>
      <c r="N341" s="2" t="s">
        <v>36</v>
      </c>
      <c r="O341" s="2">
        <v>41096.92</v>
      </c>
      <c r="P341" s="2">
        <v>13.6</v>
      </c>
      <c r="Q341" s="2">
        <v>53703.51</v>
      </c>
      <c r="R341" s="2" t="s">
        <v>37</v>
      </c>
      <c r="S341" s="2">
        <v>544</v>
      </c>
      <c r="T341" s="2">
        <v>25</v>
      </c>
      <c r="U341" s="2" t="s">
        <v>39</v>
      </c>
      <c r="V341" s="2" t="s">
        <v>73</v>
      </c>
      <c r="W341" s="2">
        <v>4</v>
      </c>
      <c r="X341" s="2">
        <v>1.4</v>
      </c>
    </row>
    <row r="342" spans="1:24" ht="15" customHeight="1">
      <c r="A342" s="2" t="s">
        <v>1261</v>
      </c>
      <c r="B342" s="2" t="s">
        <v>1262</v>
      </c>
      <c r="C342" s="2">
        <v>23</v>
      </c>
      <c r="D342" s="2" t="s">
        <v>28</v>
      </c>
      <c r="E342" s="2" t="s">
        <v>971</v>
      </c>
      <c r="F342" s="2" t="s">
        <v>167</v>
      </c>
      <c r="G342" s="2" t="s">
        <v>96</v>
      </c>
      <c r="H342" s="2" t="s">
        <v>126</v>
      </c>
      <c r="I342" s="2" t="s">
        <v>163</v>
      </c>
      <c r="J342" s="2" t="s">
        <v>90</v>
      </c>
      <c r="K342" s="2" t="s">
        <v>67</v>
      </c>
      <c r="L342" s="2" t="s">
        <v>68</v>
      </c>
      <c r="M342" s="2" t="s">
        <v>35</v>
      </c>
      <c r="N342" s="2" t="s">
        <v>36</v>
      </c>
      <c r="O342" s="2">
        <v>74129.960000000006</v>
      </c>
      <c r="P342" s="2">
        <v>73</v>
      </c>
      <c r="Q342" s="2">
        <v>14317.17</v>
      </c>
      <c r="R342" s="2" t="s">
        <v>129</v>
      </c>
      <c r="S342" s="2">
        <v>371</v>
      </c>
      <c r="T342" s="2">
        <v>85</v>
      </c>
      <c r="U342" s="2" t="s">
        <v>39</v>
      </c>
      <c r="V342" s="2" t="s">
        <v>98</v>
      </c>
      <c r="W342" s="2">
        <v>4</v>
      </c>
      <c r="X342" s="2">
        <v>3.3</v>
      </c>
    </row>
    <row r="343" spans="1:24" ht="15" customHeight="1">
      <c r="A343" s="2" t="s">
        <v>1263</v>
      </c>
      <c r="B343" s="2" t="s">
        <v>1264</v>
      </c>
      <c r="C343" s="2">
        <v>10</v>
      </c>
      <c r="D343" s="2" t="s">
        <v>93</v>
      </c>
      <c r="E343" s="2" t="s">
        <v>1265</v>
      </c>
      <c r="F343" s="2" t="s">
        <v>103</v>
      </c>
      <c r="G343" s="2" t="s">
        <v>162</v>
      </c>
      <c r="H343" s="2" t="s">
        <v>152</v>
      </c>
      <c r="I343" s="2" t="s">
        <v>331</v>
      </c>
      <c r="J343" s="2" t="s">
        <v>90</v>
      </c>
      <c r="K343" s="2" t="s">
        <v>49</v>
      </c>
      <c r="L343" s="2" t="s">
        <v>50</v>
      </c>
      <c r="M343" s="2" t="s">
        <v>51</v>
      </c>
      <c r="N343" s="2" t="s">
        <v>60</v>
      </c>
      <c r="O343" s="2">
        <v>81164.03</v>
      </c>
      <c r="P343" s="2">
        <v>16</v>
      </c>
      <c r="Q343" s="2">
        <v>5634.61</v>
      </c>
      <c r="R343" s="2" t="s">
        <v>129</v>
      </c>
      <c r="S343" s="2">
        <v>643</v>
      </c>
      <c r="T343" s="2">
        <v>188</v>
      </c>
      <c r="U343" s="2" t="s">
        <v>38</v>
      </c>
      <c r="V343" s="2" t="s">
        <v>38</v>
      </c>
      <c r="W343" s="2">
        <v>3</v>
      </c>
      <c r="X343" s="2">
        <v>4.4000000000000004</v>
      </c>
    </row>
    <row r="344" spans="1:24" ht="15" customHeight="1">
      <c r="A344" s="2" t="s">
        <v>1266</v>
      </c>
      <c r="B344" s="2" t="s">
        <v>1267</v>
      </c>
      <c r="C344" s="2">
        <v>27</v>
      </c>
      <c r="D344" s="2" t="s">
        <v>188</v>
      </c>
      <c r="E344" s="2" t="s">
        <v>418</v>
      </c>
      <c r="F344" s="2" t="s">
        <v>184</v>
      </c>
      <c r="G344" s="2" t="s">
        <v>162</v>
      </c>
      <c r="H344" s="2" t="s">
        <v>79</v>
      </c>
      <c r="I344" s="2" t="s">
        <v>1268</v>
      </c>
      <c r="J344" s="2" t="s">
        <v>128</v>
      </c>
      <c r="K344" s="2" t="s">
        <v>67</v>
      </c>
      <c r="L344" s="2" t="s">
        <v>68</v>
      </c>
      <c r="M344" s="2" t="s">
        <v>51</v>
      </c>
      <c r="N344" s="2" t="s">
        <v>36</v>
      </c>
      <c r="O344" s="2">
        <v>105891.88</v>
      </c>
      <c r="P344" s="2">
        <v>20.5</v>
      </c>
      <c r="Q344" s="2">
        <v>5356.44</v>
      </c>
      <c r="R344" s="2" t="s">
        <v>129</v>
      </c>
      <c r="S344" s="2">
        <v>410</v>
      </c>
      <c r="T344" s="2">
        <v>160</v>
      </c>
      <c r="U344" s="2" t="s">
        <v>39</v>
      </c>
      <c r="V344" s="2" t="s">
        <v>38</v>
      </c>
      <c r="W344" s="2">
        <v>3</v>
      </c>
      <c r="X344" s="2">
        <v>3.8</v>
      </c>
    </row>
    <row r="345" spans="1:24" ht="15" customHeight="1">
      <c r="A345" s="2" t="s">
        <v>1269</v>
      </c>
      <c r="B345" s="2" t="s">
        <v>1270</v>
      </c>
      <c r="C345" s="2">
        <v>25</v>
      </c>
      <c r="D345" s="2" t="s">
        <v>93</v>
      </c>
      <c r="E345" s="2" t="s">
        <v>323</v>
      </c>
      <c r="F345" s="2" t="s">
        <v>88</v>
      </c>
      <c r="G345" s="2" t="s">
        <v>31</v>
      </c>
      <c r="H345" s="2" t="s">
        <v>58</v>
      </c>
      <c r="I345" s="2" t="s">
        <v>1271</v>
      </c>
      <c r="J345" s="2" t="s">
        <v>128</v>
      </c>
      <c r="K345" s="2" t="s">
        <v>67</v>
      </c>
      <c r="L345" s="2" t="s">
        <v>68</v>
      </c>
      <c r="M345" s="2" t="s">
        <v>0</v>
      </c>
      <c r="N345" s="2" t="s">
        <v>36</v>
      </c>
      <c r="O345" s="2">
        <v>26334.01</v>
      </c>
      <c r="P345" s="2">
        <v>44.2</v>
      </c>
      <c r="Q345" s="2">
        <v>17386.91</v>
      </c>
      <c r="R345" s="2" t="s">
        <v>148</v>
      </c>
      <c r="S345" s="2">
        <v>610</v>
      </c>
      <c r="T345" s="2">
        <v>16</v>
      </c>
      <c r="U345" s="2" t="s">
        <v>72</v>
      </c>
      <c r="V345" s="2" t="s">
        <v>72</v>
      </c>
      <c r="W345" s="2">
        <v>2</v>
      </c>
      <c r="X345" s="2">
        <v>2.9</v>
      </c>
    </row>
    <row r="346" spans="1:24" ht="15" customHeight="1">
      <c r="A346" s="2" t="s">
        <v>1272</v>
      </c>
      <c r="B346" s="2" t="s">
        <v>1273</v>
      </c>
      <c r="C346" s="2">
        <v>25</v>
      </c>
      <c r="D346" s="2" t="s">
        <v>118</v>
      </c>
      <c r="E346" s="2" t="s">
        <v>974</v>
      </c>
      <c r="F346" s="2" t="s">
        <v>44</v>
      </c>
      <c r="G346" s="2" t="s">
        <v>162</v>
      </c>
      <c r="H346" s="2" t="s">
        <v>126</v>
      </c>
      <c r="I346" s="2" t="s">
        <v>1274</v>
      </c>
      <c r="J346" s="2" t="s">
        <v>90</v>
      </c>
      <c r="K346" s="2" t="s">
        <v>67</v>
      </c>
      <c r="L346" s="2" t="s">
        <v>68</v>
      </c>
      <c r="M346" s="2" t="s">
        <v>51</v>
      </c>
      <c r="N346" s="2" t="s">
        <v>36</v>
      </c>
      <c r="O346" s="2">
        <v>33525.47</v>
      </c>
      <c r="P346" s="2">
        <v>11.1</v>
      </c>
      <c r="Q346" s="2">
        <v>13131.47</v>
      </c>
      <c r="R346" s="2" t="s">
        <v>158</v>
      </c>
      <c r="S346" s="2">
        <v>554</v>
      </c>
      <c r="T346" s="2">
        <v>163</v>
      </c>
      <c r="U346" s="2" t="s">
        <v>73</v>
      </c>
      <c r="V346" s="2" t="s">
        <v>72</v>
      </c>
      <c r="W346" s="2">
        <v>3</v>
      </c>
      <c r="X346" s="2">
        <v>8.3000000000000007</v>
      </c>
    </row>
    <row r="347" spans="1:24" ht="15" customHeight="1">
      <c r="A347" s="2" t="s">
        <v>1275</v>
      </c>
      <c r="B347" s="2" t="s">
        <v>1276</v>
      </c>
      <c r="C347" s="2">
        <v>33</v>
      </c>
      <c r="D347" s="2" t="s">
        <v>171</v>
      </c>
      <c r="E347" s="2" t="s">
        <v>94</v>
      </c>
      <c r="F347" s="2" t="s">
        <v>167</v>
      </c>
      <c r="G347" s="2" t="s">
        <v>190</v>
      </c>
      <c r="H347" s="2" t="s">
        <v>79</v>
      </c>
      <c r="I347" s="2" t="s">
        <v>1277</v>
      </c>
      <c r="J347" s="2" t="s">
        <v>128</v>
      </c>
      <c r="K347" s="2" t="s">
        <v>67</v>
      </c>
      <c r="L347" s="2" t="s">
        <v>68</v>
      </c>
      <c r="M347" s="2" t="s">
        <v>35</v>
      </c>
      <c r="N347" s="2" t="s">
        <v>36</v>
      </c>
      <c r="O347" s="2">
        <v>71867.39</v>
      </c>
      <c r="P347" s="2">
        <v>63.7</v>
      </c>
      <c r="Q347" s="2">
        <v>50031.14</v>
      </c>
      <c r="R347" s="2" t="s">
        <v>52</v>
      </c>
      <c r="S347" s="2">
        <v>839</v>
      </c>
      <c r="T347" s="2">
        <v>80</v>
      </c>
      <c r="U347" s="2" t="s">
        <v>73</v>
      </c>
      <c r="V347" s="2" t="s">
        <v>73</v>
      </c>
      <c r="W347" s="2">
        <v>4</v>
      </c>
      <c r="X347" s="2">
        <v>4.0999999999999996</v>
      </c>
    </row>
    <row r="348" spans="1:24" ht="15" customHeight="1">
      <c r="A348" s="2" t="s">
        <v>1278</v>
      </c>
      <c r="B348" s="2" t="s">
        <v>1279</v>
      </c>
      <c r="C348" s="2"/>
      <c r="D348" s="2" t="s">
        <v>118</v>
      </c>
      <c r="E348" s="2" t="s">
        <v>1280</v>
      </c>
      <c r="F348" s="2" t="s">
        <v>57</v>
      </c>
      <c r="G348" s="2" t="s">
        <v>190</v>
      </c>
      <c r="H348" s="2" t="s">
        <v>104</v>
      </c>
      <c r="I348" s="2" t="s">
        <v>1281</v>
      </c>
      <c r="J348" s="2" t="s">
        <v>81</v>
      </c>
      <c r="K348" s="2"/>
      <c r="L348" s="2"/>
      <c r="M348" s="2" t="s">
        <v>51</v>
      </c>
      <c r="N348" s="2" t="s">
        <v>70</v>
      </c>
      <c r="O348" s="2">
        <v>12762.72</v>
      </c>
      <c r="P348" s="2">
        <v>14.4</v>
      </c>
      <c r="Q348" s="2">
        <v>40204.75</v>
      </c>
      <c r="R348" s="2" t="s">
        <v>129</v>
      </c>
      <c r="S348" s="2">
        <v>771</v>
      </c>
      <c r="T348" s="2">
        <v>21</v>
      </c>
      <c r="U348" s="2" t="s">
        <v>122</v>
      </c>
      <c r="V348" s="2" t="s">
        <v>122</v>
      </c>
      <c r="W348" s="2">
        <v>5</v>
      </c>
      <c r="X348" s="2">
        <v>1.3</v>
      </c>
    </row>
    <row r="349" spans="1:24" ht="15" customHeight="1">
      <c r="A349" s="2" t="s">
        <v>1282</v>
      </c>
      <c r="B349" s="2" t="s">
        <v>1283</v>
      </c>
      <c r="C349" s="2">
        <v>27</v>
      </c>
      <c r="D349" s="2" t="s">
        <v>93</v>
      </c>
      <c r="E349" s="2" t="s">
        <v>627</v>
      </c>
      <c r="F349" s="2" t="s">
        <v>184</v>
      </c>
      <c r="G349" s="2" t="s">
        <v>162</v>
      </c>
      <c r="H349" s="2" t="s">
        <v>104</v>
      </c>
      <c r="I349" s="2" t="s">
        <v>1284</v>
      </c>
      <c r="J349" s="2" t="s">
        <v>34</v>
      </c>
      <c r="K349" s="2" t="s">
        <v>67</v>
      </c>
      <c r="L349" s="2" t="s">
        <v>68</v>
      </c>
      <c r="M349" s="2" t="s">
        <v>35</v>
      </c>
      <c r="N349" s="2" t="s">
        <v>60</v>
      </c>
      <c r="O349" s="2">
        <v>48629.37</v>
      </c>
      <c r="P349" s="2">
        <v>79.2</v>
      </c>
      <c r="Q349" s="2">
        <v>387.05</v>
      </c>
      <c r="R349" s="2" t="s">
        <v>129</v>
      </c>
      <c r="S349" s="2">
        <v>505</v>
      </c>
      <c r="T349" s="2">
        <v>0</v>
      </c>
      <c r="U349" s="2" t="s">
        <v>108</v>
      </c>
      <c r="V349" s="2" t="s">
        <v>83</v>
      </c>
      <c r="W349" s="2">
        <v>2</v>
      </c>
      <c r="X349" s="2">
        <v>1.4</v>
      </c>
    </row>
    <row r="350" spans="1:24" ht="15" customHeight="1">
      <c r="A350" s="2" t="s">
        <v>1285</v>
      </c>
      <c r="B350" s="2" t="s">
        <v>1286</v>
      </c>
      <c r="C350" s="2">
        <v>31</v>
      </c>
      <c r="D350" s="2" t="s">
        <v>93</v>
      </c>
      <c r="E350" s="2" t="s">
        <v>978</v>
      </c>
      <c r="F350" s="2" t="s">
        <v>103</v>
      </c>
      <c r="G350" s="2" t="s">
        <v>217</v>
      </c>
      <c r="H350" s="2" t="s">
        <v>104</v>
      </c>
      <c r="I350" s="2" t="s">
        <v>1287</v>
      </c>
      <c r="J350" s="2" t="s">
        <v>48</v>
      </c>
      <c r="K350" s="2" t="s">
        <v>67</v>
      </c>
      <c r="L350" s="2" t="s">
        <v>68</v>
      </c>
      <c r="M350" s="2" t="s">
        <v>51</v>
      </c>
      <c r="N350" s="2" t="s">
        <v>36</v>
      </c>
      <c r="O350" s="2">
        <v>8140.39</v>
      </c>
      <c r="P350" s="2">
        <v>60.8</v>
      </c>
      <c r="Q350" s="2">
        <v>14440.91</v>
      </c>
      <c r="R350" s="2"/>
      <c r="S350" s="2">
        <v>505</v>
      </c>
      <c r="T350" s="2">
        <v>74</v>
      </c>
      <c r="U350" s="2" t="s">
        <v>72</v>
      </c>
      <c r="V350" s="2" t="s">
        <v>38</v>
      </c>
      <c r="W350" s="2">
        <v>3</v>
      </c>
      <c r="X350" s="2">
        <v>3.8</v>
      </c>
    </row>
    <row r="351" spans="1:24" ht="15" customHeight="1">
      <c r="A351" s="2" t="s">
        <v>1288</v>
      </c>
      <c r="B351" s="2" t="s">
        <v>1289</v>
      </c>
      <c r="C351" s="2">
        <v>32</v>
      </c>
      <c r="D351" s="2" t="s">
        <v>28</v>
      </c>
      <c r="E351" s="2" t="s">
        <v>1290</v>
      </c>
      <c r="F351" s="2" t="s">
        <v>103</v>
      </c>
      <c r="G351" s="2" t="s">
        <v>31</v>
      </c>
      <c r="H351" s="2" t="s">
        <v>32</v>
      </c>
      <c r="I351" s="2" t="s">
        <v>1291</v>
      </c>
      <c r="J351" s="2" t="s">
        <v>90</v>
      </c>
      <c r="K351" s="2" t="s">
        <v>67</v>
      </c>
      <c r="L351" s="2" t="s">
        <v>68</v>
      </c>
      <c r="M351" s="2" t="s">
        <v>51</v>
      </c>
      <c r="N351" s="2" t="s">
        <v>36</v>
      </c>
      <c r="O351" s="2">
        <v>69449.509999999995</v>
      </c>
      <c r="P351" s="2">
        <v>31.6</v>
      </c>
      <c r="Q351" s="2">
        <v>8358.2099999999991</v>
      </c>
      <c r="R351" s="2" t="s">
        <v>107</v>
      </c>
      <c r="S351" s="2" t="s">
        <v>195</v>
      </c>
      <c r="T351" s="2">
        <v>40</v>
      </c>
      <c r="U351" s="2" t="s">
        <v>39</v>
      </c>
      <c r="V351" s="2" t="s">
        <v>73</v>
      </c>
      <c r="W351" s="2">
        <v>5</v>
      </c>
      <c r="X351" s="2">
        <v>1</v>
      </c>
    </row>
    <row r="352" spans="1:24" ht="15" customHeight="1">
      <c r="A352" s="2" t="s">
        <v>1292</v>
      </c>
      <c r="B352" s="2" t="s">
        <v>1293</v>
      </c>
      <c r="C352" s="2">
        <v>42</v>
      </c>
      <c r="D352" s="2" t="s">
        <v>177</v>
      </c>
      <c r="E352" s="2" t="s">
        <v>430</v>
      </c>
      <c r="F352" s="2" t="s">
        <v>57</v>
      </c>
      <c r="G352" s="2" t="s">
        <v>190</v>
      </c>
      <c r="H352" s="2" t="s">
        <v>126</v>
      </c>
      <c r="I352" s="2" t="s">
        <v>802</v>
      </c>
      <c r="J352" s="2" t="s">
        <v>113</v>
      </c>
      <c r="K352" s="2" t="s">
        <v>67</v>
      </c>
      <c r="L352" s="2" t="s">
        <v>68</v>
      </c>
      <c r="M352" s="2" t="s">
        <v>51</v>
      </c>
      <c r="N352" s="2" t="s">
        <v>60</v>
      </c>
      <c r="O352" s="2">
        <v>88525.65</v>
      </c>
      <c r="P352" s="2">
        <v>63.2</v>
      </c>
      <c r="Q352" s="2">
        <v>31526.03</v>
      </c>
      <c r="R352" s="2" t="s">
        <v>61</v>
      </c>
      <c r="S352" s="2">
        <v>894</v>
      </c>
      <c r="T352" s="2">
        <v>158</v>
      </c>
      <c r="U352" s="2" t="s">
        <v>72</v>
      </c>
      <c r="V352" s="2" t="s">
        <v>108</v>
      </c>
      <c r="W352" s="2">
        <v>2</v>
      </c>
      <c r="X352" s="2">
        <v>2.5</v>
      </c>
    </row>
    <row r="353" spans="1:24" ht="15" customHeight="1">
      <c r="A353" s="2" t="s">
        <v>1294</v>
      </c>
      <c r="B353" s="2" t="s">
        <v>1295</v>
      </c>
      <c r="C353" s="2">
        <v>36</v>
      </c>
      <c r="D353" s="2" t="s">
        <v>28</v>
      </c>
      <c r="E353" s="2" t="s">
        <v>791</v>
      </c>
      <c r="F353" s="2" t="s">
        <v>167</v>
      </c>
      <c r="G353" s="2" t="s">
        <v>31</v>
      </c>
      <c r="H353" s="2" t="s">
        <v>79</v>
      </c>
      <c r="I353" s="2" t="s">
        <v>33</v>
      </c>
      <c r="J353" s="2" t="s">
        <v>81</v>
      </c>
      <c r="K353" s="2" t="s">
        <v>67</v>
      </c>
      <c r="L353" s="2" t="s">
        <v>68</v>
      </c>
      <c r="M353" s="2" t="s">
        <v>0</v>
      </c>
      <c r="N353" s="2" t="s">
        <v>36</v>
      </c>
      <c r="O353" s="2">
        <v>15567.85</v>
      </c>
      <c r="P353" s="2">
        <v>50.5</v>
      </c>
      <c r="Q353" s="2">
        <v>50440.76</v>
      </c>
      <c r="R353" s="2" t="s">
        <v>61</v>
      </c>
      <c r="S353" s="2">
        <v>410</v>
      </c>
      <c r="T353" s="2">
        <v>96</v>
      </c>
      <c r="U353" s="2" t="s">
        <v>83</v>
      </c>
      <c r="V353" s="2" t="s">
        <v>122</v>
      </c>
      <c r="W353" s="2">
        <v>4</v>
      </c>
      <c r="X353" s="2">
        <v>4.2</v>
      </c>
    </row>
    <row r="354" spans="1:24" ht="15" customHeight="1">
      <c r="A354" s="2" t="s">
        <v>1296</v>
      </c>
      <c r="B354" s="2" t="s">
        <v>1297</v>
      </c>
      <c r="C354" s="2">
        <v>16</v>
      </c>
      <c r="D354" s="2" t="s">
        <v>171</v>
      </c>
      <c r="E354" s="2" t="s">
        <v>209</v>
      </c>
      <c r="F354" s="2" t="s">
        <v>167</v>
      </c>
      <c r="G354" s="2" t="s">
        <v>31</v>
      </c>
      <c r="H354" s="2" t="s">
        <v>32</v>
      </c>
      <c r="I354" s="2" t="s">
        <v>415</v>
      </c>
      <c r="J354" s="2" t="s">
        <v>34</v>
      </c>
      <c r="K354" s="2" t="s">
        <v>114</v>
      </c>
      <c r="L354" s="2" t="s">
        <v>115</v>
      </c>
      <c r="M354" s="2" t="s">
        <v>35</v>
      </c>
      <c r="N354" s="2" t="s">
        <v>60</v>
      </c>
      <c r="O354" s="2">
        <v>57136.35</v>
      </c>
      <c r="P354" s="2">
        <v>46</v>
      </c>
      <c r="Q354" s="2">
        <v>4317.91</v>
      </c>
      <c r="R354" s="2" t="s">
        <v>97</v>
      </c>
      <c r="S354" s="2">
        <v>494</v>
      </c>
      <c r="T354" s="2">
        <v>146</v>
      </c>
      <c r="U354" s="2" t="s">
        <v>38</v>
      </c>
      <c r="V354" s="2" t="s">
        <v>39</v>
      </c>
      <c r="W354" s="2">
        <v>1</v>
      </c>
      <c r="X354" s="2">
        <v>4.2</v>
      </c>
    </row>
    <row r="355" spans="1:24" ht="15" customHeight="1">
      <c r="A355" s="2" t="s">
        <v>1298</v>
      </c>
      <c r="B355" s="2" t="s">
        <v>1299</v>
      </c>
      <c r="C355" s="2">
        <v>42</v>
      </c>
      <c r="D355" s="2" t="s">
        <v>101</v>
      </c>
      <c r="E355" s="2" t="s">
        <v>1300</v>
      </c>
      <c r="F355" s="2" t="s">
        <v>77</v>
      </c>
      <c r="G355" s="2" t="s">
        <v>31</v>
      </c>
      <c r="H355" s="2" t="s">
        <v>65</v>
      </c>
      <c r="I355" s="2" t="s">
        <v>1301</v>
      </c>
      <c r="J355" s="2" t="s">
        <v>90</v>
      </c>
      <c r="K355" s="2" t="s">
        <v>67</v>
      </c>
      <c r="L355" s="2" t="s">
        <v>68</v>
      </c>
      <c r="M355" s="2" t="s">
        <v>35</v>
      </c>
      <c r="N355" s="2" t="s">
        <v>70</v>
      </c>
      <c r="O355" s="2">
        <v>61611.83</v>
      </c>
      <c r="P355" s="2">
        <v>70.400000000000006</v>
      </c>
      <c r="Q355" s="2">
        <v>9471.7800000000007</v>
      </c>
      <c r="R355" s="2" t="s">
        <v>138</v>
      </c>
      <c r="S355" s="2">
        <v>847</v>
      </c>
      <c r="T355" s="2">
        <v>132</v>
      </c>
      <c r="U355" s="2" t="s">
        <v>73</v>
      </c>
      <c r="V355" s="2" t="s">
        <v>108</v>
      </c>
      <c r="W355" s="2">
        <v>5</v>
      </c>
      <c r="X355" s="2">
        <v>4.5</v>
      </c>
    </row>
    <row r="356" spans="1:24" ht="15" customHeight="1">
      <c r="A356" s="2" t="s">
        <v>1302</v>
      </c>
      <c r="B356" s="2" t="s">
        <v>1303</v>
      </c>
      <c r="C356" s="2">
        <v>7</v>
      </c>
      <c r="D356" s="2" t="s">
        <v>86</v>
      </c>
      <c r="E356" s="2" t="s">
        <v>830</v>
      </c>
      <c r="F356" s="2" t="s">
        <v>167</v>
      </c>
      <c r="G356" s="2" t="s">
        <v>96</v>
      </c>
      <c r="H356" s="2" t="s">
        <v>245</v>
      </c>
      <c r="I356" s="2" t="s">
        <v>1304</v>
      </c>
      <c r="J356" s="2" t="s">
        <v>48</v>
      </c>
      <c r="K356" s="2" t="s">
        <v>106</v>
      </c>
      <c r="L356" s="2" t="s">
        <v>50</v>
      </c>
      <c r="M356" s="2" t="s">
        <v>69</v>
      </c>
      <c r="N356" s="2" t="s">
        <v>70</v>
      </c>
      <c r="O356" s="2">
        <v>15572.23</v>
      </c>
      <c r="P356" s="2">
        <v>72.8</v>
      </c>
      <c r="Q356" s="2">
        <v>42185.45</v>
      </c>
      <c r="R356" s="2" t="s">
        <v>61</v>
      </c>
      <c r="S356" s="2">
        <v>372</v>
      </c>
      <c r="T356" s="2">
        <v>153</v>
      </c>
      <c r="U356" s="2" t="s">
        <v>98</v>
      </c>
      <c r="V356" s="2" t="s">
        <v>122</v>
      </c>
      <c r="W356" s="2">
        <v>1</v>
      </c>
      <c r="X356" s="2">
        <v>1.4</v>
      </c>
    </row>
    <row r="357" spans="1:24" ht="15" customHeight="1">
      <c r="A357" s="2" t="s">
        <v>1305</v>
      </c>
      <c r="B357" s="2" t="s">
        <v>1306</v>
      </c>
      <c r="C357" s="2">
        <v>28</v>
      </c>
      <c r="D357" s="2" t="s">
        <v>177</v>
      </c>
      <c r="E357" s="2" t="s">
        <v>1307</v>
      </c>
      <c r="F357" s="2" t="s">
        <v>167</v>
      </c>
      <c r="G357" s="2" t="s">
        <v>162</v>
      </c>
      <c r="H357" s="2" t="s">
        <v>245</v>
      </c>
      <c r="I357" s="2" t="s">
        <v>1308</v>
      </c>
      <c r="J357" s="2" t="s">
        <v>48</v>
      </c>
      <c r="K357" s="2" t="s">
        <v>67</v>
      </c>
      <c r="L357" s="2" t="s">
        <v>68</v>
      </c>
      <c r="M357" s="2" t="s">
        <v>69</v>
      </c>
      <c r="N357" s="2" t="s">
        <v>70</v>
      </c>
      <c r="O357" s="2">
        <v>12560.36</v>
      </c>
      <c r="P357" s="2">
        <v>57.2</v>
      </c>
      <c r="Q357" s="2">
        <v>25783.119999999999</v>
      </c>
      <c r="R357" s="2" t="s">
        <v>129</v>
      </c>
      <c r="S357" s="2">
        <v>441</v>
      </c>
      <c r="T357" s="2">
        <v>30</v>
      </c>
      <c r="U357" s="2" t="s">
        <v>38</v>
      </c>
      <c r="V357" s="2" t="s">
        <v>122</v>
      </c>
      <c r="W357" s="2">
        <v>4</v>
      </c>
      <c r="X357" s="2">
        <v>8.3000000000000007</v>
      </c>
    </row>
    <row r="358" spans="1:24" ht="15" customHeight="1">
      <c r="A358" s="2" t="s">
        <v>1309</v>
      </c>
      <c r="B358" s="2" t="s">
        <v>1310</v>
      </c>
      <c r="C358" s="2">
        <v>6</v>
      </c>
      <c r="D358" s="2" t="s">
        <v>118</v>
      </c>
      <c r="E358" s="2" t="s">
        <v>631</v>
      </c>
      <c r="F358" s="2" t="s">
        <v>184</v>
      </c>
      <c r="G358" s="2" t="s">
        <v>162</v>
      </c>
      <c r="H358" s="2" t="s">
        <v>245</v>
      </c>
      <c r="I358" s="2" t="s">
        <v>331</v>
      </c>
      <c r="J358" s="2" t="s">
        <v>34</v>
      </c>
      <c r="K358" s="2" t="s">
        <v>106</v>
      </c>
      <c r="L358" s="2" t="s">
        <v>50</v>
      </c>
      <c r="M358" s="2" t="s">
        <v>51</v>
      </c>
      <c r="N358" s="2" t="s">
        <v>70</v>
      </c>
      <c r="O358" s="2">
        <v>55701.78</v>
      </c>
      <c r="P358" s="2">
        <v>23.3</v>
      </c>
      <c r="Q358" s="2">
        <v>17544.759999999998</v>
      </c>
      <c r="R358" s="2" t="s">
        <v>107</v>
      </c>
      <c r="S358" s="2">
        <v>790</v>
      </c>
      <c r="T358" s="2">
        <v>168</v>
      </c>
      <c r="U358" s="2" t="s">
        <v>108</v>
      </c>
      <c r="V358" s="2" t="s">
        <v>39</v>
      </c>
      <c r="W358" s="2">
        <v>4</v>
      </c>
      <c r="X358" s="2">
        <v>6.5</v>
      </c>
    </row>
    <row r="359" spans="1:24" ht="15" customHeight="1">
      <c r="A359" s="2" t="s">
        <v>1311</v>
      </c>
      <c r="B359" s="2" t="s">
        <v>1312</v>
      </c>
      <c r="C359" s="2">
        <v>20</v>
      </c>
      <c r="D359" s="2" t="s">
        <v>42</v>
      </c>
      <c r="E359" s="2" t="s">
        <v>399</v>
      </c>
      <c r="F359" s="2" t="s">
        <v>184</v>
      </c>
      <c r="G359" s="2" t="s">
        <v>190</v>
      </c>
      <c r="H359" s="2" t="s">
        <v>104</v>
      </c>
      <c r="I359" s="2" t="s">
        <v>404</v>
      </c>
      <c r="J359" s="2" t="s">
        <v>90</v>
      </c>
      <c r="K359" s="2" t="s">
        <v>67</v>
      </c>
      <c r="L359" s="2" t="s">
        <v>68</v>
      </c>
      <c r="M359" s="2" t="s">
        <v>51</v>
      </c>
      <c r="N359" s="2" t="s">
        <v>36</v>
      </c>
      <c r="O359" s="2">
        <v>75500.12</v>
      </c>
      <c r="P359" s="2">
        <v>73.400000000000006</v>
      </c>
      <c r="Q359" s="2">
        <v>50485.52</v>
      </c>
      <c r="R359" s="2" t="s">
        <v>148</v>
      </c>
      <c r="S359" s="2">
        <v>612</v>
      </c>
      <c r="T359" s="2">
        <v>53</v>
      </c>
      <c r="U359" s="2" t="s">
        <v>122</v>
      </c>
      <c r="V359" s="2" t="s">
        <v>108</v>
      </c>
      <c r="W359" s="2">
        <v>2</v>
      </c>
      <c r="X359" s="2">
        <v>6.4</v>
      </c>
    </row>
    <row r="360" spans="1:24" ht="15" customHeight="1">
      <c r="A360" s="2" t="s">
        <v>1313</v>
      </c>
      <c r="B360" s="2" t="s">
        <v>1314</v>
      </c>
      <c r="C360" s="2">
        <v>13</v>
      </c>
      <c r="D360" s="2" t="s">
        <v>118</v>
      </c>
      <c r="E360" s="2" t="s">
        <v>1315</v>
      </c>
      <c r="F360" s="2" t="s">
        <v>77</v>
      </c>
      <c r="G360" s="2" t="s">
        <v>190</v>
      </c>
      <c r="H360" s="2" t="s">
        <v>32</v>
      </c>
      <c r="I360" s="2" t="s">
        <v>33</v>
      </c>
      <c r="J360" s="2" t="s">
        <v>90</v>
      </c>
      <c r="K360" s="2" t="s">
        <v>49</v>
      </c>
      <c r="L360" s="2" t="s">
        <v>50</v>
      </c>
      <c r="M360" s="2" t="s">
        <v>35</v>
      </c>
      <c r="N360" s="2" t="s">
        <v>70</v>
      </c>
      <c r="O360" s="2">
        <v>7733.03</v>
      </c>
      <c r="P360" s="2">
        <v>38.299999999999997</v>
      </c>
      <c r="Q360" s="2">
        <v>13466.91</v>
      </c>
      <c r="R360" s="2" t="s">
        <v>138</v>
      </c>
      <c r="S360" s="2">
        <v>741</v>
      </c>
      <c r="T360" s="2">
        <v>169</v>
      </c>
      <c r="U360" s="2" t="s">
        <v>72</v>
      </c>
      <c r="V360" s="2" t="s">
        <v>72</v>
      </c>
      <c r="W360" s="2">
        <v>5</v>
      </c>
      <c r="X360" s="2">
        <v>6.9</v>
      </c>
    </row>
    <row r="361" spans="1:24" ht="15" customHeight="1">
      <c r="A361" s="2" t="s">
        <v>1316</v>
      </c>
      <c r="B361" s="2" t="s">
        <v>1317</v>
      </c>
      <c r="C361" s="2">
        <v>22</v>
      </c>
      <c r="D361" s="2" t="s">
        <v>93</v>
      </c>
      <c r="E361" s="2" t="s">
        <v>1135</v>
      </c>
      <c r="F361" s="2" t="s">
        <v>120</v>
      </c>
      <c r="G361" s="2" t="s">
        <v>179</v>
      </c>
      <c r="H361" s="2" t="s">
        <v>58</v>
      </c>
      <c r="I361" s="2" t="s">
        <v>127</v>
      </c>
      <c r="J361" s="2" t="s">
        <v>48</v>
      </c>
      <c r="K361" s="2" t="s">
        <v>67</v>
      </c>
      <c r="L361" s="2" t="s">
        <v>68</v>
      </c>
      <c r="M361" s="2" t="s">
        <v>51</v>
      </c>
      <c r="N361" s="2" t="s">
        <v>36</v>
      </c>
      <c r="O361" s="2">
        <v>72207.87</v>
      </c>
      <c r="P361" s="2">
        <v>47.6</v>
      </c>
      <c r="Q361" s="2">
        <v>31134.77</v>
      </c>
      <c r="R361" s="2" t="s">
        <v>97</v>
      </c>
      <c r="S361" s="2">
        <v>778</v>
      </c>
      <c r="T361" s="2">
        <v>60</v>
      </c>
      <c r="U361" s="2" t="s">
        <v>108</v>
      </c>
      <c r="V361" s="2" t="s">
        <v>38</v>
      </c>
      <c r="W361" s="2">
        <v>1</v>
      </c>
      <c r="X361" s="2">
        <v>9</v>
      </c>
    </row>
    <row r="362" spans="1:24" ht="15" customHeight="1">
      <c r="A362" s="2" t="s">
        <v>1318</v>
      </c>
      <c r="B362" s="2" t="s">
        <v>1319</v>
      </c>
      <c r="C362" s="2">
        <v>42</v>
      </c>
      <c r="D362" s="2" t="s">
        <v>188</v>
      </c>
      <c r="E362" s="2" t="s">
        <v>971</v>
      </c>
      <c r="F362" s="2" t="s">
        <v>88</v>
      </c>
      <c r="G362" s="2" t="s">
        <v>190</v>
      </c>
      <c r="H362" s="2" t="s">
        <v>126</v>
      </c>
      <c r="I362" s="2" t="s">
        <v>1320</v>
      </c>
      <c r="J362" s="2" t="s">
        <v>81</v>
      </c>
      <c r="K362" s="2" t="s">
        <v>67</v>
      </c>
      <c r="L362" s="2" t="s">
        <v>68</v>
      </c>
      <c r="M362" s="2" t="s">
        <v>51</v>
      </c>
      <c r="N362" s="2" t="s">
        <v>60</v>
      </c>
      <c r="O362" s="2"/>
      <c r="P362" s="2">
        <v>5.7</v>
      </c>
      <c r="Q362" s="2">
        <v>2220.23</v>
      </c>
      <c r="R362" s="2" t="s">
        <v>158</v>
      </c>
      <c r="S362" s="2">
        <v>869</v>
      </c>
      <c r="T362" s="2">
        <v>14</v>
      </c>
      <c r="U362" s="2" t="s">
        <v>122</v>
      </c>
      <c r="V362" s="2" t="s">
        <v>72</v>
      </c>
      <c r="W362" s="2">
        <v>4</v>
      </c>
      <c r="X362" s="2">
        <v>2</v>
      </c>
    </row>
    <row r="363" spans="1:24" ht="15" customHeight="1">
      <c r="A363" s="2" t="s">
        <v>1321</v>
      </c>
      <c r="B363" s="2" t="s">
        <v>1322</v>
      </c>
      <c r="C363" s="2">
        <v>37</v>
      </c>
      <c r="D363" s="2" t="s">
        <v>101</v>
      </c>
      <c r="E363" s="2" t="s">
        <v>1323</v>
      </c>
      <c r="F363" s="2" t="s">
        <v>57</v>
      </c>
      <c r="G363" s="2" t="s">
        <v>162</v>
      </c>
      <c r="H363" s="2" t="s">
        <v>104</v>
      </c>
      <c r="I363" s="2" t="s">
        <v>1324</v>
      </c>
      <c r="J363" s="2" t="s">
        <v>48</v>
      </c>
      <c r="K363" s="2" t="s">
        <v>67</v>
      </c>
      <c r="L363" s="2" t="s">
        <v>68</v>
      </c>
      <c r="M363" s="2" t="s">
        <v>51</v>
      </c>
      <c r="N363" s="2" t="s">
        <v>70</v>
      </c>
      <c r="O363" s="2">
        <v>11083.56</v>
      </c>
      <c r="P363" s="2">
        <v>9.6</v>
      </c>
      <c r="Q363" s="2">
        <v>42872.97</v>
      </c>
      <c r="R363" s="2" t="s">
        <v>158</v>
      </c>
      <c r="S363" s="2">
        <v>316</v>
      </c>
      <c r="T363" s="2">
        <v>90</v>
      </c>
      <c r="U363" s="2" t="s">
        <v>83</v>
      </c>
      <c r="V363" s="2" t="s">
        <v>72</v>
      </c>
      <c r="W363" s="2">
        <v>1</v>
      </c>
      <c r="X363" s="2">
        <v>4.8</v>
      </c>
    </row>
    <row r="364" spans="1:24" ht="15" customHeight="1">
      <c r="A364" s="2" t="s">
        <v>1325</v>
      </c>
      <c r="B364" s="2" t="s">
        <v>1326</v>
      </c>
      <c r="C364" s="2">
        <v>19</v>
      </c>
      <c r="D364" s="2" t="s">
        <v>171</v>
      </c>
      <c r="E364" s="2" t="s">
        <v>510</v>
      </c>
      <c r="F364" s="2" t="s">
        <v>95</v>
      </c>
      <c r="G364" s="2" t="s">
        <v>31</v>
      </c>
      <c r="H364" s="2" t="s">
        <v>58</v>
      </c>
      <c r="I364" s="2" t="s">
        <v>1327</v>
      </c>
      <c r="J364" s="2" t="s">
        <v>81</v>
      </c>
      <c r="K364" s="2" t="s">
        <v>147</v>
      </c>
      <c r="L364" s="2" t="s">
        <v>115</v>
      </c>
      <c r="M364" s="2" t="s">
        <v>51</v>
      </c>
      <c r="N364" s="2" t="s">
        <v>70</v>
      </c>
      <c r="O364" s="2">
        <v>135121.87</v>
      </c>
      <c r="P364" s="2">
        <v>75.7</v>
      </c>
      <c r="Q364" s="2">
        <v>17643.78</v>
      </c>
      <c r="R364" s="2" t="s">
        <v>52</v>
      </c>
      <c r="S364" s="2">
        <v>677</v>
      </c>
      <c r="T364" s="2">
        <v>38</v>
      </c>
      <c r="U364" s="2" t="s">
        <v>108</v>
      </c>
      <c r="V364" s="2" t="s">
        <v>122</v>
      </c>
      <c r="W364" s="2">
        <v>5</v>
      </c>
      <c r="X364" s="2">
        <v>6.6</v>
      </c>
    </row>
    <row r="365" spans="1:24" ht="15" customHeight="1">
      <c r="A365" s="2" t="s">
        <v>1328</v>
      </c>
      <c r="B365" s="2" t="s">
        <v>1329</v>
      </c>
      <c r="C365" s="2">
        <v>28</v>
      </c>
      <c r="D365" s="2" t="s">
        <v>118</v>
      </c>
      <c r="E365" s="2" t="s">
        <v>1330</v>
      </c>
      <c r="F365" s="2" t="s">
        <v>44</v>
      </c>
      <c r="G365" s="2" t="s">
        <v>217</v>
      </c>
      <c r="H365" s="2" t="s">
        <v>58</v>
      </c>
      <c r="I365" s="2" t="s">
        <v>518</v>
      </c>
      <c r="J365" s="2" t="s">
        <v>81</v>
      </c>
      <c r="K365" s="2" t="s">
        <v>67</v>
      </c>
      <c r="L365" s="2" t="s">
        <v>68</v>
      </c>
      <c r="M365" s="2" t="s">
        <v>51</v>
      </c>
      <c r="N365" s="2" t="s">
        <v>36</v>
      </c>
      <c r="O365" s="2">
        <v>120739.8</v>
      </c>
      <c r="P365" s="2">
        <v>54.4</v>
      </c>
      <c r="Q365" s="2">
        <v>31220.16</v>
      </c>
      <c r="R365" s="2" t="s">
        <v>158</v>
      </c>
      <c r="S365" s="2">
        <v>499</v>
      </c>
      <c r="T365" s="2">
        <v>75</v>
      </c>
      <c r="U365" s="2" t="s">
        <v>122</v>
      </c>
      <c r="V365" s="2" t="s">
        <v>122</v>
      </c>
      <c r="W365" s="2">
        <v>2</v>
      </c>
      <c r="X365" s="2">
        <v>4.4000000000000004</v>
      </c>
    </row>
    <row r="366" spans="1:24" ht="15" customHeight="1">
      <c r="A366" s="2" t="s">
        <v>1331</v>
      </c>
      <c r="B366" s="2" t="s">
        <v>1332</v>
      </c>
      <c r="C366" s="2">
        <v>21</v>
      </c>
      <c r="D366" s="2" t="s">
        <v>177</v>
      </c>
      <c r="E366" s="2" t="s">
        <v>620</v>
      </c>
      <c r="F366" s="2" t="s">
        <v>88</v>
      </c>
      <c r="G366" s="2" t="s">
        <v>31</v>
      </c>
      <c r="H366" s="2" t="s">
        <v>173</v>
      </c>
      <c r="I366" s="2" t="s">
        <v>1333</v>
      </c>
      <c r="J366" s="2" t="s">
        <v>113</v>
      </c>
      <c r="K366" s="2" t="s">
        <v>67</v>
      </c>
      <c r="L366" s="2" t="s">
        <v>68</v>
      </c>
      <c r="M366" s="2" t="s">
        <v>35</v>
      </c>
      <c r="N366" s="2" t="s">
        <v>60</v>
      </c>
      <c r="O366" s="2">
        <v>139228.96</v>
      </c>
      <c r="P366" s="2">
        <v>73.2</v>
      </c>
      <c r="Q366" s="2">
        <v>40446.31</v>
      </c>
      <c r="R366" s="2" t="s">
        <v>148</v>
      </c>
      <c r="S366" s="2">
        <v>566</v>
      </c>
      <c r="T366" s="2">
        <v>87</v>
      </c>
      <c r="U366" s="2" t="s">
        <v>72</v>
      </c>
      <c r="V366" s="2" t="s">
        <v>98</v>
      </c>
      <c r="W366" s="2">
        <v>4</v>
      </c>
      <c r="X366" s="2">
        <v>4.8</v>
      </c>
    </row>
    <row r="367" spans="1:24" ht="15" customHeight="1">
      <c r="A367" s="2" t="s">
        <v>1334</v>
      </c>
      <c r="B367" s="2" t="s">
        <v>1335</v>
      </c>
      <c r="C367" s="2">
        <v>18</v>
      </c>
      <c r="D367" s="2" t="s">
        <v>118</v>
      </c>
      <c r="E367" s="2" t="s">
        <v>1336</v>
      </c>
      <c r="F367" s="2" t="s">
        <v>30</v>
      </c>
      <c r="G367" s="2" t="s">
        <v>179</v>
      </c>
      <c r="H367" s="2" t="s">
        <v>126</v>
      </c>
      <c r="I367" s="2" t="s">
        <v>404</v>
      </c>
      <c r="J367" s="2" t="s">
        <v>34</v>
      </c>
      <c r="K367" s="2" t="s">
        <v>147</v>
      </c>
      <c r="L367" s="2" t="s">
        <v>115</v>
      </c>
      <c r="M367" s="2" t="s">
        <v>51</v>
      </c>
      <c r="N367" s="2" t="s">
        <v>60</v>
      </c>
      <c r="O367" s="2">
        <v>105056.75</v>
      </c>
      <c r="P367" s="2">
        <v>14.9</v>
      </c>
      <c r="Q367" s="2">
        <v>52012.800000000003</v>
      </c>
      <c r="R367" s="2" t="s">
        <v>158</v>
      </c>
      <c r="S367" s="2">
        <v>662</v>
      </c>
      <c r="T367" s="2">
        <v>178</v>
      </c>
      <c r="U367" s="2" t="s">
        <v>122</v>
      </c>
      <c r="V367" s="2" t="s">
        <v>122</v>
      </c>
      <c r="W367" s="2">
        <v>3</v>
      </c>
      <c r="X367" s="2">
        <v>5.5</v>
      </c>
    </row>
    <row r="368" spans="1:24" ht="15" customHeight="1">
      <c r="A368" s="2" t="s">
        <v>1337</v>
      </c>
      <c r="B368" s="2" t="s">
        <v>1338</v>
      </c>
      <c r="C368" s="2">
        <v>8</v>
      </c>
      <c r="D368" s="2" t="s">
        <v>86</v>
      </c>
      <c r="E368" s="2" t="s">
        <v>1339</v>
      </c>
      <c r="F368" s="2" t="s">
        <v>95</v>
      </c>
      <c r="G368" s="2" t="s">
        <v>45</v>
      </c>
      <c r="H368" s="2" t="s">
        <v>58</v>
      </c>
      <c r="I368" s="2" t="s">
        <v>1340</v>
      </c>
      <c r="J368" s="2" t="s">
        <v>48</v>
      </c>
      <c r="K368" s="2" t="s">
        <v>106</v>
      </c>
      <c r="L368" s="2" t="s">
        <v>50</v>
      </c>
      <c r="M368" s="2" t="s">
        <v>35</v>
      </c>
      <c r="N368" s="2" t="s">
        <v>36</v>
      </c>
      <c r="O368" s="2">
        <v>17149.48</v>
      </c>
      <c r="P368" s="2">
        <v>49.5</v>
      </c>
      <c r="Q368" s="2">
        <v>22192.43</v>
      </c>
      <c r="R368" s="2" t="s">
        <v>107</v>
      </c>
      <c r="S368" s="2">
        <v>688</v>
      </c>
      <c r="T368" s="2">
        <v>45</v>
      </c>
      <c r="U368" s="2" t="s">
        <v>72</v>
      </c>
      <c r="V368" s="2" t="s">
        <v>122</v>
      </c>
      <c r="W368" s="2">
        <v>4</v>
      </c>
      <c r="X368" s="2">
        <v>3.4</v>
      </c>
    </row>
    <row r="369" spans="1:24" ht="15" customHeight="1">
      <c r="A369" s="2" t="s">
        <v>1341</v>
      </c>
      <c r="B369" s="2" t="s">
        <v>1342</v>
      </c>
      <c r="C369" s="2">
        <v>43</v>
      </c>
      <c r="D369" s="2" t="s">
        <v>42</v>
      </c>
      <c r="E369" s="2" t="s">
        <v>773</v>
      </c>
      <c r="F369" s="2" t="s">
        <v>88</v>
      </c>
      <c r="G369" s="2" t="s">
        <v>217</v>
      </c>
      <c r="H369" s="2" t="s">
        <v>79</v>
      </c>
      <c r="I369" s="2" t="s">
        <v>1343</v>
      </c>
      <c r="J369" s="2" t="s">
        <v>113</v>
      </c>
      <c r="K369" s="2" t="s">
        <v>67</v>
      </c>
      <c r="L369" s="2" t="s">
        <v>68</v>
      </c>
      <c r="M369" s="2" t="s">
        <v>51</v>
      </c>
      <c r="N369" s="2" t="s">
        <v>36</v>
      </c>
      <c r="O369" s="2">
        <v>50583.27</v>
      </c>
      <c r="P369" s="2">
        <v>17.399999999999999</v>
      </c>
      <c r="Q369" s="2">
        <v>17270.59</v>
      </c>
      <c r="R369" s="2" t="s">
        <v>158</v>
      </c>
      <c r="S369" s="2">
        <v>529</v>
      </c>
      <c r="T369" s="2">
        <v>73</v>
      </c>
      <c r="U369" s="2" t="s">
        <v>72</v>
      </c>
      <c r="V369" s="2" t="s">
        <v>122</v>
      </c>
      <c r="W369" s="2">
        <v>2</v>
      </c>
      <c r="X369" s="2">
        <v>1.3</v>
      </c>
    </row>
    <row r="370" spans="1:24" ht="15" customHeight="1">
      <c r="A370" s="2" t="s">
        <v>1344</v>
      </c>
      <c r="B370" s="2" t="s">
        <v>1345</v>
      </c>
      <c r="C370" s="2">
        <v>16</v>
      </c>
      <c r="D370" s="2" t="s">
        <v>55</v>
      </c>
      <c r="E370" s="2" t="s">
        <v>1346</v>
      </c>
      <c r="F370" s="2" t="s">
        <v>184</v>
      </c>
      <c r="G370" s="2" t="s">
        <v>78</v>
      </c>
      <c r="H370" s="2" t="s">
        <v>245</v>
      </c>
      <c r="I370" s="2" t="s">
        <v>1347</v>
      </c>
      <c r="J370" s="2" t="s">
        <v>128</v>
      </c>
      <c r="K370" s="2" t="s">
        <v>114</v>
      </c>
      <c r="L370" s="2" t="s">
        <v>115</v>
      </c>
      <c r="M370" s="2" t="s">
        <v>51</v>
      </c>
      <c r="N370" s="2" t="s">
        <v>36</v>
      </c>
      <c r="O370" s="2">
        <v>69499.58</v>
      </c>
      <c r="P370" s="2">
        <v>39</v>
      </c>
      <c r="Q370" s="2">
        <v>55079.71</v>
      </c>
      <c r="R370" s="2" t="s">
        <v>82</v>
      </c>
      <c r="S370" s="2">
        <v>755</v>
      </c>
      <c r="T370" s="2">
        <v>126</v>
      </c>
      <c r="U370" s="2" t="s">
        <v>72</v>
      </c>
      <c r="V370" s="2" t="s">
        <v>122</v>
      </c>
      <c r="W370" s="2">
        <v>1</v>
      </c>
      <c r="X370" s="2">
        <v>8.6999999999999993</v>
      </c>
    </row>
    <row r="371" spans="1:24" ht="15" customHeight="1">
      <c r="A371" s="2" t="s">
        <v>1348</v>
      </c>
      <c r="B371" s="2" t="s">
        <v>1349</v>
      </c>
      <c r="C371" s="2">
        <v>20</v>
      </c>
      <c r="D371" s="2" t="s">
        <v>86</v>
      </c>
      <c r="E371" s="2" t="s">
        <v>1065</v>
      </c>
      <c r="F371" s="2" t="s">
        <v>88</v>
      </c>
      <c r="G371" s="2" t="s">
        <v>190</v>
      </c>
      <c r="H371" s="2" t="s">
        <v>152</v>
      </c>
      <c r="I371" s="2" t="s">
        <v>404</v>
      </c>
      <c r="J371" s="2" t="s">
        <v>48</v>
      </c>
      <c r="K371" s="2" t="s">
        <v>67</v>
      </c>
      <c r="L371" s="2" t="s">
        <v>68</v>
      </c>
      <c r="M371" s="2" t="s">
        <v>51</v>
      </c>
      <c r="N371" s="2" t="s">
        <v>60</v>
      </c>
      <c r="O371" s="2">
        <v>67839.759999999995</v>
      </c>
      <c r="P371" s="2">
        <v>64.599999999999994</v>
      </c>
      <c r="Q371" s="2">
        <v>19051.63</v>
      </c>
      <c r="R371" s="2" t="s">
        <v>82</v>
      </c>
      <c r="S371" s="2">
        <v>308</v>
      </c>
      <c r="T371" s="2">
        <v>150</v>
      </c>
      <c r="U371" s="2" t="s">
        <v>39</v>
      </c>
      <c r="V371" s="2" t="s">
        <v>122</v>
      </c>
      <c r="W371" s="2">
        <v>4</v>
      </c>
      <c r="X371" s="2">
        <v>1.8</v>
      </c>
    </row>
    <row r="372" spans="1:24" ht="15" customHeight="1">
      <c r="A372" s="2" t="s">
        <v>1350</v>
      </c>
      <c r="B372" s="2" t="s">
        <v>1351</v>
      </c>
      <c r="C372" s="2">
        <v>24</v>
      </c>
      <c r="D372" s="2" t="s">
        <v>101</v>
      </c>
      <c r="E372" s="2" t="s">
        <v>688</v>
      </c>
      <c r="F372" s="2" t="s">
        <v>30</v>
      </c>
      <c r="G372" s="2" t="s">
        <v>78</v>
      </c>
      <c r="H372" s="2" t="s">
        <v>245</v>
      </c>
      <c r="I372" s="2" t="s">
        <v>1352</v>
      </c>
      <c r="J372" s="2" t="s">
        <v>48</v>
      </c>
      <c r="K372" s="2" t="s">
        <v>67</v>
      </c>
      <c r="L372" s="2" t="s">
        <v>68</v>
      </c>
      <c r="M372" s="2" t="s">
        <v>35</v>
      </c>
      <c r="N372" s="2" t="s">
        <v>70</v>
      </c>
      <c r="O372" s="2">
        <v>93939.839999999997</v>
      </c>
      <c r="P372" s="2">
        <v>22.6</v>
      </c>
      <c r="Q372" s="2">
        <v>20922.23</v>
      </c>
      <c r="R372" s="2" t="s">
        <v>148</v>
      </c>
      <c r="S372" s="2">
        <v>607</v>
      </c>
      <c r="T372" s="2">
        <v>74</v>
      </c>
      <c r="U372" s="2" t="s">
        <v>73</v>
      </c>
      <c r="V372" s="2" t="s">
        <v>38</v>
      </c>
      <c r="W372" s="2">
        <v>5</v>
      </c>
      <c r="X372" s="2">
        <v>4.5999999999999996</v>
      </c>
    </row>
    <row r="373" spans="1:24" ht="15" customHeight="1">
      <c r="A373" s="2" t="s">
        <v>1353</v>
      </c>
      <c r="B373" s="2" t="s">
        <v>1354</v>
      </c>
      <c r="C373" s="2">
        <v>24</v>
      </c>
      <c r="D373" s="2" t="s">
        <v>177</v>
      </c>
      <c r="E373" s="2" t="s">
        <v>541</v>
      </c>
      <c r="F373" s="2" t="s">
        <v>95</v>
      </c>
      <c r="G373" s="2" t="s">
        <v>31</v>
      </c>
      <c r="H373" s="2" t="s">
        <v>79</v>
      </c>
      <c r="I373" s="2" t="s">
        <v>191</v>
      </c>
      <c r="J373" s="2" t="s">
        <v>128</v>
      </c>
      <c r="K373" s="2" t="s">
        <v>67</v>
      </c>
      <c r="L373" s="2" t="s">
        <v>68</v>
      </c>
      <c r="M373" s="2" t="s">
        <v>51</v>
      </c>
      <c r="N373" s="2" t="s">
        <v>70</v>
      </c>
      <c r="O373" s="2">
        <v>126817.52</v>
      </c>
      <c r="P373" s="2">
        <v>50.1</v>
      </c>
      <c r="Q373" s="2">
        <v>41233.32</v>
      </c>
      <c r="R373" s="2" t="s">
        <v>61</v>
      </c>
      <c r="S373" s="2">
        <v>574</v>
      </c>
      <c r="T373" s="2">
        <v>200</v>
      </c>
      <c r="U373" s="2" t="s">
        <v>72</v>
      </c>
      <c r="V373" s="2" t="s">
        <v>38</v>
      </c>
      <c r="W373" s="2">
        <v>3</v>
      </c>
      <c r="X373" s="2">
        <v>4</v>
      </c>
    </row>
    <row r="374" spans="1:24" ht="15" customHeight="1">
      <c r="A374" s="2" t="s">
        <v>1355</v>
      </c>
      <c r="B374" s="2" t="s">
        <v>1356</v>
      </c>
      <c r="C374" s="2">
        <v>22</v>
      </c>
      <c r="D374" s="2" t="s">
        <v>86</v>
      </c>
      <c r="E374" s="2" t="s">
        <v>1357</v>
      </c>
      <c r="F374" s="2" t="s">
        <v>167</v>
      </c>
      <c r="G374" s="2" t="s">
        <v>96</v>
      </c>
      <c r="H374" s="2" t="s">
        <v>245</v>
      </c>
      <c r="I374" s="2" t="s">
        <v>1358</v>
      </c>
      <c r="J374" s="2" t="s">
        <v>81</v>
      </c>
      <c r="K374" s="2" t="s">
        <v>67</v>
      </c>
      <c r="L374" s="2" t="s">
        <v>68</v>
      </c>
      <c r="M374" s="2" t="s">
        <v>51</v>
      </c>
      <c r="N374" s="2" t="s">
        <v>36</v>
      </c>
      <c r="O374" s="2">
        <v>20995.759999999998</v>
      </c>
      <c r="P374" s="2">
        <v>50.8</v>
      </c>
      <c r="Q374" s="2">
        <v>7752.92</v>
      </c>
      <c r="R374" s="2" t="s">
        <v>82</v>
      </c>
      <c r="S374" s="2">
        <v>321</v>
      </c>
      <c r="T374" s="2">
        <v>23</v>
      </c>
      <c r="U374" s="2" t="s">
        <v>38</v>
      </c>
      <c r="V374" s="2" t="s">
        <v>108</v>
      </c>
      <c r="W374" s="2">
        <v>5</v>
      </c>
      <c r="X374" s="2">
        <v>2.2999999999999998</v>
      </c>
    </row>
    <row r="375" spans="1:24" ht="15" customHeight="1">
      <c r="A375" s="2" t="s">
        <v>1359</v>
      </c>
      <c r="B375" s="2" t="s">
        <v>1360</v>
      </c>
      <c r="C375" s="2">
        <v>40</v>
      </c>
      <c r="D375" s="2" t="s">
        <v>28</v>
      </c>
      <c r="E375" s="2" t="s">
        <v>213</v>
      </c>
      <c r="F375" s="2" t="s">
        <v>57</v>
      </c>
      <c r="G375" s="2" t="s">
        <v>96</v>
      </c>
      <c r="H375" s="2" t="s">
        <v>173</v>
      </c>
      <c r="I375" s="2" t="s">
        <v>1361</v>
      </c>
      <c r="J375" s="2" t="s">
        <v>90</v>
      </c>
      <c r="K375" s="2" t="s">
        <v>67</v>
      </c>
      <c r="L375" s="2" t="s">
        <v>68</v>
      </c>
      <c r="M375" s="2" t="s">
        <v>0</v>
      </c>
      <c r="N375" s="2" t="s">
        <v>36</v>
      </c>
      <c r="O375" s="2">
        <v>19865.509999999998</v>
      </c>
      <c r="P375" s="2">
        <v>41.4</v>
      </c>
      <c r="Q375" s="2">
        <v>9416.73</v>
      </c>
      <c r="R375" s="2" t="s">
        <v>138</v>
      </c>
      <c r="S375" s="2">
        <v>535</v>
      </c>
      <c r="T375" s="2">
        <v>176</v>
      </c>
      <c r="U375" s="2" t="s">
        <v>108</v>
      </c>
      <c r="V375" s="2" t="s">
        <v>72</v>
      </c>
      <c r="W375" s="2">
        <v>4</v>
      </c>
      <c r="X375" s="2">
        <v>6.1</v>
      </c>
    </row>
    <row r="376" spans="1:24" ht="15" customHeight="1">
      <c r="A376" s="2" t="s">
        <v>1362</v>
      </c>
      <c r="B376" s="2" t="s">
        <v>1363</v>
      </c>
      <c r="C376" s="2">
        <v>23</v>
      </c>
      <c r="D376" s="2" t="s">
        <v>93</v>
      </c>
      <c r="E376" s="2" t="s">
        <v>414</v>
      </c>
      <c r="F376" s="2" t="s">
        <v>95</v>
      </c>
      <c r="G376" s="2" t="s">
        <v>162</v>
      </c>
      <c r="H376" s="2" t="s">
        <v>245</v>
      </c>
      <c r="I376" s="2" t="s">
        <v>404</v>
      </c>
      <c r="J376" s="2" t="s">
        <v>48</v>
      </c>
      <c r="K376" s="2" t="s">
        <v>67</v>
      </c>
      <c r="L376" s="2" t="s">
        <v>68</v>
      </c>
      <c r="M376" s="2" t="s">
        <v>51</v>
      </c>
      <c r="N376" s="2" t="s">
        <v>36</v>
      </c>
      <c r="O376" s="2">
        <v>129598.94</v>
      </c>
      <c r="P376" s="2">
        <v>36.9</v>
      </c>
      <c r="Q376" s="2">
        <v>44609</v>
      </c>
      <c r="R376" s="2" t="s">
        <v>158</v>
      </c>
      <c r="S376" s="2">
        <v>769</v>
      </c>
      <c r="T376" s="2">
        <v>67</v>
      </c>
      <c r="U376" s="2" t="s">
        <v>73</v>
      </c>
      <c r="V376" s="2" t="s">
        <v>73</v>
      </c>
      <c r="W376" s="2">
        <v>1</v>
      </c>
      <c r="X376" s="2">
        <v>2.4</v>
      </c>
    </row>
    <row r="377" spans="1:24" ht="15" customHeight="1">
      <c r="A377" s="2" t="s">
        <v>1364</v>
      </c>
      <c r="B377" s="2" t="s">
        <v>1365</v>
      </c>
      <c r="C377" s="2">
        <v>24</v>
      </c>
      <c r="D377" s="2" t="s">
        <v>118</v>
      </c>
      <c r="E377" s="2" t="s">
        <v>1366</v>
      </c>
      <c r="F377" s="2" t="s">
        <v>103</v>
      </c>
      <c r="G377" s="2" t="s">
        <v>179</v>
      </c>
      <c r="H377" s="2" t="s">
        <v>173</v>
      </c>
      <c r="I377" s="2" t="s">
        <v>652</v>
      </c>
      <c r="J377" s="2" t="s">
        <v>34</v>
      </c>
      <c r="K377" s="2" t="s">
        <v>67</v>
      </c>
      <c r="L377" s="2" t="s">
        <v>68</v>
      </c>
      <c r="M377" s="2" t="s">
        <v>69</v>
      </c>
      <c r="N377" s="2" t="s">
        <v>60</v>
      </c>
      <c r="O377" s="2">
        <v>69827.37</v>
      </c>
      <c r="P377" s="2">
        <v>13.2</v>
      </c>
      <c r="Q377" s="2">
        <v>18636.59</v>
      </c>
      <c r="R377" s="2" t="s">
        <v>71</v>
      </c>
      <c r="S377" s="2">
        <v>397</v>
      </c>
      <c r="T377" s="2">
        <v>53</v>
      </c>
      <c r="U377" s="2" t="s">
        <v>39</v>
      </c>
      <c r="V377" s="2" t="s">
        <v>83</v>
      </c>
      <c r="W377" s="2">
        <v>4</v>
      </c>
      <c r="X377" s="2">
        <v>5.7</v>
      </c>
    </row>
    <row r="378" spans="1:24" ht="15" customHeight="1">
      <c r="A378" s="2" t="s">
        <v>1367</v>
      </c>
      <c r="B378" s="2" t="s">
        <v>1368</v>
      </c>
      <c r="C378" s="2">
        <v>42</v>
      </c>
      <c r="D378" s="2" t="s">
        <v>93</v>
      </c>
      <c r="E378" s="2" t="s">
        <v>611</v>
      </c>
      <c r="F378" s="2" t="s">
        <v>77</v>
      </c>
      <c r="G378" s="2" t="s">
        <v>179</v>
      </c>
      <c r="H378" s="2" t="s">
        <v>126</v>
      </c>
      <c r="I378" s="2" t="s">
        <v>1369</v>
      </c>
      <c r="J378" s="2" t="s">
        <v>48</v>
      </c>
      <c r="K378" s="2" t="s">
        <v>67</v>
      </c>
      <c r="L378" s="2" t="s">
        <v>68</v>
      </c>
      <c r="M378" s="2" t="s">
        <v>51</v>
      </c>
      <c r="N378" s="2" t="s">
        <v>60</v>
      </c>
      <c r="O378" s="2">
        <v>43881.01</v>
      </c>
      <c r="P378" s="2">
        <v>47.2</v>
      </c>
      <c r="Q378" s="2">
        <v>29323.61</v>
      </c>
      <c r="R378" s="2" t="s">
        <v>158</v>
      </c>
      <c r="S378" s="2">
        <v>541</v>
      </c>
      <c r="T378" s="2">
        <v>181</v>
      </c>
      <c r="U378" s="2" t="s">
        <v>72</v>
      </c>
      <c r="V378" s="2" t="s">
        <v>98</v>
      </c>
      <c r="W378" s="2">
        <v>1</v>
      </c>
      <c r="X378" s="2">
        <v>3.7</v>
      </c>
    </row>
    <row r="379" spans="1:24" ht="15" customHeight="1">
      <c r="A379" s="2" t="s">
        <v>1370</v>
      </c>
      <c r="B379" s="2" t="s">
        <v>1371</v>
      </c>
      <c r="C379" s="2">
        <v>13</v>
      </c>
      <c r="D379" s="2" t="s">
        <v>101</v>
      </c>
      <c r="E379" s="2" t="s">
        <v>935</v>
      </c>
      <c r="F379" s="2" t="s">
        <v>30</v>
      </c>
      <c r="G379" s="2" t="s">
        <v>162</v>
      </c>
      <c r="H379" s="2" t="s">
        <v>58</v>
      </c>
      <c r="I379" s="2" t="s">
        <v>1372</v>
      </c>
      <c r="J379" s="2" t="s">
        <v>34</v>
      </c>
      <c r="K379" s="2" t="s">
        <v>49</v>
      </c>
      <c r="L379" s="2" t="s">
        <v>50</v>
      </c>
      <c r="M379" s="2" t="s">
        <v>51</v>
      </c>
      <c r="N379" s="2" t="s">
        <v>70</v>
      </c>
      <c r="O379" s="2">
        <v>6342.49</v>
      </c>
      <c r="P379" s="2">
        <v>79.7</v>
      </c>
      <c r="Q379" s="2">
        <v>43196.58</v>
      </c>
      <c r="R379" s="2" t="s">
        <v>37</v>
      </c>
      <c r="S379" s="2">
        <v>835</v>
      </c>
      <c r="T379" s="2">
        <v>95</v>
      </c>
      <c r="U379" s="2" t="s">
        <v>83</v>
      </c>
      <c r="V379" s="2" t="s">
        <v>39</v>
      </c>
      <c r="W379" s="2">
        <v>5</v>
      </c>
      <c r="X379" s="2">
        <v>8.6</v>
      </c>
    </row>
    <row r="380" spans="1:24" ht="15" customHeight="1">
      <c r="A380" s="2" t="s">
        <v>1373</v>
      </c>
      <c r="B380" s="2" t="s">
        <v>1374</v>
      </c>
      <c r="C380" s="2">
        <v>36</v>
      </c>
      <c r="D380" s="2" t="s">
        <v>28</v>
      </c>
      <c r="E380" s="2" t="s">
        <v>978</v>
      </c>
      <c r="F380" s="2" t="s">
        <v>57</v>
      </c>
      <c r="G380" s="2" t="s">
        <v>217</v>
      </c>
      <c r="H380" s="2" t="s">
        <v>46</v>
      </c>
      <c r="I380" s="2" t="s">
        <v>1375</v>
      </c>
      <c r="J380" s="2" t="s">
        <v>34</v>
      </c>
      <c r="K380" s="2" t="s">
        <v>67</v>
      </c>
      <c r="L380" s="2" t="s">
        <v>68</v>
      </c>
      <c r="M380" s="2" t="s">
        <v>0</v>
      </c>
      <c r="N380" s="2" t="s">
        <v>60</v>
      </c>
      <c r="O380" s="2">
        <v>50216.87</v>
      </c>
      <c r="P380" s="2">
        <v>57.1</v>
      </c>
      <c r="Q380" s="2">
        <v>32263.89</v>
      </c>
      <c r="R380" s="2" t="s">
        <v>138</v>
      </c>
      <c r="S380" s="2">
        <v>362</v>
      </c>
      <c r="T380" s="2">
        <v>152</v>
      </c>
      <c r="U380" s="2" t="s">
        <v>108</v>
      </c>
      <c r="V380" s="2" t="s">
        <v>39</v>
      </c>
      <c r="W380" s="2">
        <v>3</v>
      </c>
      <c r="X380" s="2">
        <v>5.8</v>
      </c>
    </row>
    <row r="381" spans="1:24" ht="15" customHeight="1">
      <c r="A381" s="2" t="s">
        <v>1376</v>
      </c>
      <c r="B381" s="2" t="s">
        <v>1377</v>
      </c>
      <c r="C381" s="2">
        <v>33</v>
      </c>
      <c r="D381" s="2" t="s">
        <v>42</v>
      </c>
      <c r="E381" s="2" t="s">
        <v>961</v>
      </c>
      <c r="F381" s="2" t="s">
        <v>95</v>
      </c>
      <c r="G381" s="2" t="s">
        <v>190</v>
      </c>
      <c r="H381" s="2" t="s">
        <v>46</v>
      </c>
      <c r="I381" s="2" t="s">
        <v>1378</v>
      </c>
      <c r="J381" s="2" t="s">
        <v>90</v>
      </c>
      <c r="K381" s="2" t="s">
        <v>67</v>
      </c>
      <c r="L381" s="2" t="s">
        <v>68</v>
      </c>
      <c r="M381" s="2" t="s">
        <v>51</v>
      </c>
      <c r="N381" s="2" t="s">
        <v>60</v>
      </c>
      <c r="O381" s="2">
        <v>45597.9</v>
      </c>
      <c r="P381" s="2">
        <v>12.7</v>
      </c>
      <c r="Q381" s="2">
        <v>47813.07</v>
      </c>
      <c r="R381" s="2" t="s">
        <v>107</v>
      </c>
      <c r="S381" s="2">
        <v>638</v>
      </c>
      <c r="T381" s="2">
        <v>151</v>
      </c>
      <c r="U381" s="2" t="s">
        <v>73</v>
      </c>
      <c r="V381" s="2" t="s">
        <v>83</v>
      </c>
      <c r="W381" s="2">
        <v>1</v>
      </c>
      <c r="X381" s="2">
        <v>7.2</v>
      </c>
    </row>
    <row r="382" spans="1:24" ht="15" customHeight="1">
      <c r="A382" s="2" t="s">
        <v>1379</v>
      </c>
      <c r="B382" s="2" t="s">
        <v>1380</v>
      </c>
      <c r="C382" s="2">
        <v>45</v>
      </c>
      <c r="D382" s="2" t="s">
        <v>101</v>
      </c>
      <c r="E382" s="2" t="s">
        <v>315</v>
      </c>
      <c r="F382" s="2" t="s">
        <v>44</v>
      </c>
      <c r="G382" s="2" t="s">
        <v>96</v>
      </c>
      <c r="H382" s="2" t="s">
        <v>65</v>
      </c>
      <c r="I382" s="2" t="s">
        <v>1081</v>
      </c>
      <c r="J382" s="2" t="s">
        <v>113</v>
      </c>
      <c r="K382" s="2" t="s">
        <v>67</v>
      </c>
      <c r="L382" s="2" t="s">
        <v>68</v>
      </c>
      <c r="M382" s="2" t="s">
        <v>51</v>
      </c>
      <c r="N382" s="2" t="s">
        <v>36</v>
      </c>
      <c r="O382" s="2">
        <v>115201.08</v>
      </c>
      <c r="P382" s="2">
        <v>34.5</v>
      </c>
      <c r="Q382" s="2">
        <v>46435.18</v>
      </c>
      <c r="R382" s="2" t="s">
        <v>107</v>
      </c>
      <c r="S382" s="2">
        <v>663</v>
      </c>
      <c r="T382" s="2">
        <v>133</v>
      </c>
      <c r="U382" s="2" t="s">
        <v>72</v>
      </c>
      <c r="V382" s="2" t="s">
        <v>83</v>
      </c>
      <c r="W382" s="2">
        <v>3</v>
      </c>
      <c r="X382" s="2">
        <v>6.5</v>
      </c>
    </row>
    <row r="383" spans="1:24" ht="15" customHeight="1">
      <c r="A383" s="2" t="s">
        <v>1381</v>
      </c>
      <c r="B383" s="2" t="s">
        <v>1382</v>
      </c>
      <c r="C383" s="2">
        <v>37</v>
      </c>
      <c r="D383" s="2" t="s">
        <v>188</v>
      </c>
      <c r="E383" s="2" t="s">
        <v>552</v>
      </c>
      <c r="F383" s="2" t="s">
        <v>95</v>
      </c>
      <c r="G383" s="2" t="s">
        <v>96</v>
      </c>
      <c r="H383" s="2" t="s">
        <v>79</v>
      </c>
      <c r="I383" s="2" t="s">
        <v>1383</v>
      </c>
      <c r="J383" s="2" t="s">
        <v>48</v>
      </c>
      <c r="K383" s="2" t="s">
        <v>67</v>
      </c>
      <c r="L383" s="2" t="s">
        <v>68</v>
      </c>
      <c r="M383" s="2" t="s">
        <v>51</v>
      </c>
      <c r="N383" s="2" t="s">
        <v>36</v>
      </c>
      <c r="O383" s="2">
        <v>86170.13</v>
      </c>
      <c r="P383" s="2">
        <v>75.5</v>
      </c>
      <c r="Q383" s="2">
        <v>22947.439999999999</v>
      </c>
      <c r="R383" s="2" t="s">
        <v>71</v>
      </c>
      <c r="S383" s="2">
        <v>500</v>
      </c>
      <c r="T383" s="2">
        <v>134</v>
      </c>
      <c r="U383" s="2" t="s">
        <v>108</v>
      </c>
      <c r="V383" s="2" t="s">
        <v>38</v>
      </c>
      <c r="W383" s="2">
        <v>1</v>
      </c>
      <c r="X383" s="2">
        <v>8.1999999999999993</v>
      </c>
    </row>
    <row r="384" spans="1:24" ht="15" customHeight="1">
      <c r="A384" s="2" t="s">
        <v>1384</v>
      </c>
      <c r="B384" s="2" t="s">
        <v>1385</v>
      </c>
      <c r="C384" s="2">
        <v>6</v>
      </c>
      <c r="D384" s="2" t="s">
        <v>188</v>
      </c>
      <c r="E384" s="2" t="s">
        <v>119</v>
      </c>
      <c r="F384" s="2" t="s">
        <v>103</v>
      </c>
      <c r="G384" s="2" t="s">
        <v>179</v>
      </c>
      <c r="H384" s="2" t="s">
        <v>245</v>
      </c>
      <c r="I384" s="2" t="s">
        <v>380</v>
      </c>
      <c r="J384" s="2" t="s">
        <v>81</v>
      </c>
      <c r="K384" s="2" t="s">
        <v>106</v>
      </c>
      <c r="L384" s="2" t="s">
        <v>50</v>
      </c>
      <c r="M384" s="2" t="s">
        <v>51</v>
      </c>
      <c r="N384" s="2" t="s">
        <v>70</v>
      </c>
      <c r="O384" s="2">
        <v>149598.57999999999</v>
      </c>
      <c r="P384" s="2">
        <v>41.8</v>
      </c>
      <c r="Q384" s="2">
        <v>28406.9</v>
      </c>
      <c r="R384" s="2"/>
      <c r="S384" s="2">
        <v>406</v>
      </c>
      <c r="T384" s="2">
        <v>7</v>
      </c>
      <c r="U384" s="2" t="s">
        <v>83</v>
      </c>
      <c r="V384" s="2" t="s">
        <v>108</v>
      </c>
      <c r="W384" s="2">
        <v>4</v>
      </c>
      <c r="X384" s="2">
        <v>7.6</v>
      </c>
    </row>
    <row r="385" spans="1:24" ht="15" customHeight="1">
      <c r="A385" s="2" t="s">
        <v>1386</v>
      </c>
      <c r="B385" s="2" t="s">
        <v>1387</v>
      </c>
      <c r="C385" s="2">
        <v>9</v>
      </c>
      <c r="D385" s="2" t="s">
        <v>188</v>
      </c>
      <c r="E385" s="2" t="s">
        <v>1388</v>
      </c>
      <c r="F385" s="2" t="s">
        <v>77</v>
      </c>
      <c r="G385" s="2" t="s">
        <v>78</v>
      </c>
      <c r="H385" s="2" t="s">
        <v>32</v>
      </c>
      <c r="I385" s="2" t="s">
        <v>274</v>
      </c>
      <c r="J385" s="2" t="s">
        <v>48</v>
      </c>
      <c r="K385" s="2" t="s">
        <v>106</v>
      </c>
      <c r="L385" s="2" t="s">
        <v>50</v>
      </c>
      <c r="M385" s="2" t="s">
        <v>35</v>
      </c>
      <c r="N385" s="2" t="s">
        <v>36</v>
      </c>
      <c r="O385" s="2">
        <v>141923.64000000001</v>
      </c>
      <c r="P385" s="2">
        <v>75.5</v>
      </c>
      <c r="Q385" s="2">
        <v>24190.39</v>
      </c>
      <c r="R385" s="2" t="s">
        <v>82</v>
      </c>
      <c r="S385" s="2">
        <v>366</v>
      </c>
      <c r="T385" s="2">
        <v>194</v>
      </c>
      <c r="U385" s="2" t="s">
        <v>122</v>
      </c>
      <c r="V385" s="2" t="s">
        <v>83</v>
      </c>
      <c r="W385" s="2">
        <v>4</v>
      </c>
      <c r="X385" s="2">
        <v>0.9</v>
      </c>
    </row>
    <row r="386" spans="1:24" ht="15" customHeight="1">
      <c r="A386" s="2" t="s">
        <v>1389</v>
      </c>
      <c r="B386" s="2" t="s">
        <v>1390</v>
      </c>
      <c r="C386" s="2">
        <v>32</v>
      </c>
      <c r="D386" s="2" t="s">
        <v>93</v>
      </c>
      <c r="E386" s="2" t="s">
        <v>244</v>
      </c>
      <c r="F386" s="2" t="s">
        <v>184</v>
      </c>
      <c r="G386" s="2" t="s">
        <v>96</v>
      </c>
      <c r="H386" s="2" t="s">
        <v>65</v>
      </c>
      <c r="I386" s="2" t="s">
        <v>80</v>
      </c>
      <c r="J386" s="2" t="s">
        <v>81</v>
      </c>
      <c r="K386" s="2" t="s">
        <v>67</v>
      </c>
      <c r="L386" s="2" t="s">
        <v>68</v>
      </c>
      <c r="M386" s="2" t="s">
        <v>69</v>
      </c>
      <c r="N386" s="2" t="s">
        <v>60</v>
      </c>
      <c r="O386" s="2">
        <v>31462.639999999999</v>
      </c>
      <c r="P386" s="2">
        <v>28.8</v>
      </c>
      <c r="Q386" s="2">
        <v>37597.5</v>
      </c>
      <c r="R386" s="2" t="s">
        <v>52</v>
      </c>
      <c r="S386" s="2">
        <v>310</v>
      </c>
      <c r="T386" s="2">
        <v>95</v>
      </c>
      <c r="U386" s="2" t="s">
        <v>72</v>
      </c>
      <c r="V386" s="2" t="s">
        <v>122</v>
      </c>
      <c r="W386" s="2">
        <v>2</v>
      </c>
      <c r="X386" s="2">
        <v>6.9</v>
      </c>
    </row>
    <row r="387" spans="1:24" ht="15" customHeight="1">
      <c r="A387" s="2" t="s">
        <v>1391</v>
      </c>
      <c r="B387" s="2" t="s">
        <v>1392</v>
      </c>
      <c r="C387" s="2">
        <v>30</v>
      </c>
      <c r="D387" s="2" t="s">
        <v>28</v>
      </c>
      <c r="E387" s="2" t="s">
        <v>1393</v>
      </c>
      <c r="F387" s="2" t="s">
        <v>120</v>
      </c>
      <c r="G387" s="2" t="s">
        <v>96</v>
      </c>
      <c r="H387" s="2" t="s">
        <v>58</v>
      </c>
      <c r="I387" s="2" t="s">
        <v>1394</v>
      </c>
      <c r="J387" s="2" t="s">
        <v>34</v>
      </c>
      <c r="K387" s="2" t="s">
        <v>67</v>
      </c>
      <c r="L387" s="2" t="s">
        <v>68</v>
      </c>
      <c r="M387" s="2" t="s">
        <v>51</v>
      </c>
      <c r="N387" s="2" t="s">
        <v>70</v>
      </c>
      <c r="O387" s="2">
        <v>43359.05</v>
      </c>
      <c r="P387" s="2">
        <v>48.4</v>
      </c>
      <c r="Q387" s="2">
        <v>20931.55</v>
      </c>
      <c r="R387" s="2"/>
      <c r="S387" s="2">
        <v>760</v>
      </c>
      <c r="T387" s="2">
        <v>175</v>
      </c>
      <c r="U387" s="2" t="s">
        <v>108</v>
      </c>
      <c r="V387" s="2" t="s">
        <v>39</v>
      </c>
      <c r="W387" s="2">
        <v>5</v>
      </c>
      <c r="X387" s="2">
        <v>5.3</v>
      </c>
    </row>
    <row r="388" spans="1:24" ht="15" customHeight="1">
      <c r="A388" s="2" t="s">
        <v>1395</v>
      </c>
      <c r="B388" s="2" t="s">
        <v>1396</v>
      </c>
      <c r="C388" s="2">
        <v>24</v>
      </c>
      <c r="D388" s="2" t="s">
        <v>86</v>
      </c>
      <c r="E388" s="2" t="s">
        <v>1397</v>
      </c>
      <c r="F388" s="2" t="s">
        <v>184</v>
      </c>
      <c r="G388" s="2" t="s">
        <v>190</v>
      </c>
      <c r="H388" s="2" t="s">
        <v>65</v>
      </c>
      <c r="I388" s="2" t="s">
        <v>1398</v>
      </c>
      <c r="J388" s="2" t="s">
        <v>113</v>
      </c>
      <c r="K388" s="2" t="s">
        <v>67</v>
      </c>
      <c r="L388" s="2" t="s">
        <v>68</v>
      </c>
      <c r="M388" s="2" t="s">
        <v>35</v>
      </c>
      <c r="N388" s="2" t="s">
        <v>36</v>
      </c>
      <c r="O388" s="2">
        <v>100458.17</v>
      </c>
      <c r="P388" s="2">
        <v>15.5</v>
      </c>
      <c r="Q388" s="2">
        <v>35209.25</v>
      </c>
      <c r="R388" s="2" t="s">
        <v>129</v>
      </c>
      <c r="S388" s="2">
        <v>686</v>
      </c>
      <c r="T388" s="2">
        <v>8</v>
      </c>
      <c r="U388" s="2" t="s">
        <v>72</v>
      </c>
      <c r="V388" s="2" t="s">
        <v>72</v>
      </c>
      <c r="W388" s="2">
        <v>2</v>
      </c>
      <c r="X388" s="2">
        <v>4.0999999999999996</v>
      </c>
    </row>
    <row r="389" spans="1:24" ht="15" customHeight="1">
      <c r="A389" s="2" t="s">
        <v>1399</v>
      </c>
      <c r="B389" s="2" t="s">
        <v>1400</v>
      </c>
      <c r="C389" s="2">
        <v>12</v>
      </c>
      <c r="D389" s="2" t="s">
        <v>86</v>
      </c>
      <c r="E389" s="2" t="s">
        <v>1401</v>
      </c>
      <c r="F389" s="2" t="s">
        <v>103</v>
      </c>
      <c r="G389" s="2" t="s">
        <v>217</v>
      </c>
      <c r="H389" s="2" t="s">
        <v>245</v>
      </c>
      <c r="I389" s="2" t="s">
        <v>1333</v>
      </c>
      <c r="J389" s="2" t="s">
        <v>48</v>
      </c>
      <c r="K389" s="2" t="s">
        <v>49</v>
      </c>
      <c r="L389" s="2" t="s">
        <v>50</v>
      </c>
      <c r="M389" s="2" t="s">
        <v>51</v>
      </c>
      <c r="N389" s="2" t="s">
        <v>70</v>
      </c>
      <c r="O389" s="2">
        <v>109889.01</v>
      </c>
      <c r="P389" s="2">
        <v>41.2</v>
      </c>
      <c r="Q389" s="2">
        <v>24069.19</v>
      </c>
      <c r="R389" s="2" t="s">
        <v>52</v>
      </c>
      <c r="S389" s="2">
        <v>819</v>
      </c>
      <c r="T389" s="2">
        <v>109</v>
      </c>
      <c r="U389" s="2" t="s">
        <v>73</v>
      </c>
      <c r="V389" s="2" t="s">
        <v>83</v>
      </c>
      <c r="W389" s="2">
        <v>5</v>
      </c>
      <c r="X389" s="2">
        <v>1.9</v>
      </c>
    </row>
    <row r="390" spans="1:24" ht="15" customHeight="1">
      <c r="A390" s="2" t="s">
        <v>1402</v>
      </c>
      <c r="B390" s="2" t="s">
        <v>1403</v>
      </c>
      <c r="C390" s="2">
        <v>39</v>
      </c>
      <c r="D390" s="2" t="s">
        <v>55</v>
      </c>
      <c r="E390" s="2" t="s">
        <v>1404</v>
      </c>
      <c r="F390" s="2" t="s">
        <v>57</v>
      </c>
      <c r="G390" s="2" t="s">
        <v>96</v>
      </c>
      <c r="H390" s="2" t="s">
        <v>245</v>
      </c>
      <c r="I390" s="2" t="s">
        <v>1405</v>
      </c>
      <c r="J390" s="2" t="s">
        <v>128</v>
      </c>
      <c r="K390" s="2" t="s">
        <v>67</v>
      </c>
      <c r="L390" s="2" t="s">
        <v>68</v>
      </c>
      <c r="M390" s="2" t="s">
        <v>51</v>
      </c>
      <c r="N390" s="2" t="s">
        <v>60</v>
      </c>
      <c r="O390" s="2">
        <v>100498.25</v>
      </c>
      <c r="P390" s="2">
        <v>17.899999999999999</v>
      </c>
      <c r="Q390" s="2">
        <v>18451.61</v>
      </c>
      <c r="R390" s="2" t="s">
        <v>52</v>
      </c>
      <c r="S390" s="2">
        <v>508</v>
      </c>
      <c r="T390" s="2">
        <v>185</v>
      </c>
      <c r="U390" s="2" t="s">
        <v>83</v>
      </c>
      <c r="V390" s="2" t="s">
        <v>72</v>
      </c>
      <c r="W390" s="2">
        <v>4</v>
      </c>
      <c r="X390" s="2">
        <v>1.9</v>
      </c>
    </row>
    <row r="391" spans="1:24" ht="15" customHeight="1">
      <c r="A391" s="2" t="s">
        <v>1406</v>
      </c>
      <c r="B391" s="2" t="s">
        <v>1407</v>
      </c>
      <c r="C391" s="2">
        <v>31</v>
      </c>
      <c r="D391" s="2" t="s">
        <v>118</v>
      </c>
      <c r="E391" s="2" t="s">
        <v>1408</v>
      </c>
      <c r="F391" s="2" t="s">
        <v>103</v>
      </c>
      <c r="G391" s="2" t="s">
        <v>78</v>
      </c>
      <c r="H391" s="2" t="s">
        <v>65</v>
      </c>
      <c r="I391" s="2" t="s">
        <v>1409</v>
      </c>
      <c r="J391" s="2" t="s">
        <v>113</v>
      </c>
      <c r="K391" s="2" t="s">
        <v>67</v>
      </c>
      <c r="L391" s="2" t="s">
        <v>68</v>
      </c>
      <c r="M391" s="2" t="s">
        <v>51</v>
      </c>
      <c r="N391" s="2" t="s">
        <v>36</v>
      </c>
      <c r="O391" s="2">
        <v>110903.96</v>
      </c>
      <c r="P391" s="2">
        <v>34.5</v>
      </c>
      <c r="Q391" s="2">
        <v>4299.41</v>
      </c>
      <c r="R391" s="2" t="s">
        <v>129</v>
      </c>
      <c r="S391" s="2">
        <v>900</v>
      </c>
      <c r="T391" s="2">
        <v>155</v>
      </c>
      <c r="U391" s="2" t="s">
        <v>83</v>
      </c>
      <c r="V391" s="2" t="s">
        <v>38</v>
      </c>
      <c r="W391" s="2">
        <v>3</v>
      </c>
      <c r="X391" s="2">
        <v>4.8</v>
      </c>
    </row>
    <row r="392" spans="1:24" ht="15" customHeight="1">
      <c r="A392" s="2" t="s">
        <v>1410</v>
      </c>
      <c r="B392" s="2" t="s">
        <v>1411</v>
      </c>
      <c r="C392" s="2">
        <v>31</v>
      </c>
      <c r="D392" s="2" t="s">
        <v>101</v>
      </c>
      <c r="E392" s="2" t="s">
        <v>965</v>
      </c>
      <c r="F392" s="2" t="s">
        <v>167</v>
      </c>
      <c r="G392" s="2" t="s">
        <v>162</v>
      </c>
      <c r="H392" s="2" t="s">
        <v>104</v>
      </c>
      <c r="I392" s="2" t="s">
        <v>1412</v>
      </c>
      <c r="J392" s="2" t="s">
        <v>113</v>
      </c>
      <c r="K392" s="2" t="s">
        <v>67</v>
      </c>
      <c r="L392" s="2" t="s">
        <v>68</v>
      </c>
      <c r="M392" s="2" t="s">
        <v>51</v>
      </c>
      <c r="N392" s="2" t="s">
        <v>70</v>
      </c>
      <c r="O392" s="2">
        <v>50108.35</v>
      </c>
      <c r="P392" s="2">
        <v>41</v>
      </c>
      <c r="Q392" s="2">
        <v>15661.17</v>
      </c>
      <c r="R392" s="2" t="s">
        <v>138</v>
      </c>
      <c r="S392" s="2">
        <v>467</v>
      </c>
      <c r="T392" s="2">
        <v>132</v>
      </c>
      <c r="U392" s="2" t="s">
        <v>98</v>
      </c>
      <c r="V392" s="2" t="s">
        <v>122</v>
      </c>
      <c r="W392" s="2">
        <v>1</v>
      </c>
      <c r="X392" s="2">
        <v>6.1</v>
      </c>
    </row>
    <row r="393" spans="1:24" ht="15" customHeight="1">
      <c r="A393" s="2" t="s">
        <v>1413</v>
      </c>
      <c r="B393" s="2" t="s">
        <v>1414</v>
      </c>
      <c r="C393" s="2">
        <v>16</v>
      </c>
      <c r="D393" s="2" t="s">
        <v>28</v>
      </c>
      <c r="E393" s="2" t="s">
        <v>893</v>
      </c>
      <c r="F393" s="2" t="s">
        <v>95</v>
      </c>
      <c r="G393" s="2" t="s">
        <v>45</v>
      </c>
      <c r="H393" s="2" t="s">
        <v>245</v>
      </c>
      <c r="I393" s="2" t="s">
        <v>1415</v>
      </c>
      <c r="J393" s="2" t="s">
        <v>113</v>
      </c>
      <c r="K393" s="2" t="s">
        <v>114</v>
      </c>
      <c r="L393" s="2" t="s">
        <v>115</v>
      </c>
      <c r="M393" s="2" t="s">
        <v>51</v>
      </c>
      <c r="N393" s="2" t="s">
        <v>70</v>
      </c>
      <c r="O393" s="2">
        <v>112599.43</v>
      </c>
      <c r="P393" s="2">
        <v>65.5</v>
      </c>
      <c r="Q393" s="2">
        <v>54492.65</v>
      </c>
      <c r="R393" s="2" t="s">
        <v>37</v>
      </c>
      <c r="S393" s="2">
        <v>784</v>
      </c>
      <c r="T393" s="2">
        <v>136</v>
      </c>
      <c r="U393" s="2" t="s">
        <v>72</v>
      </c>
      <c r="V393" s="2" t="s">
        <v>98</v>
      </c>
      <c r="W393" s="2">
        <v>5</v>
      </c>
      <c r="X393" s="2">
        <v>7</v>
      </c>
    </row>
    <row r="394" spans="1:24" ht="15" customHeight="1">
      <c r="A394" s="2" t="s">
        <v>1416</v>
      </c>
      <c r="B394" s="2" t="s">
        <v>1417</v>
      </c>
      <c r="C394" s="2">
        <v>6</v>
      </c>
      <c r="D394" s="2" t="s">
        <v>171</v>
      </c>
      <c r="E394" s="2" t="s">
        <v>816</v>
      </c>
      <c r="F394" s="2" t="s">
        <v>184</v>
      </c>
      <c r="G394" s="2" t="s">
        <v>45</v>
      </c>
      <c r="H394" s="2" t="s">
        <v>58</v>
      </c>
      <c r="I394" s="2" t="s">
        <v>415</v>
      </c>
      <c r="J394" s="2" t="s">
        <v>90</v>
      </c>
      <c r="K394" s="2" t="s">
        <v>106</v>
      </c>
      <c r="L394" s="2" t="s">
        <v>50</v>
      </c>
      <c r="M394" s="2" t="s">
        <v>51</v>
      </c>
      <c r="N394" s="2" t="s">
        <v>60</v>
      </c>
      <c r="O394" s="2">
        <v>133929.06</v>
      </c>
      <c r="P394" s="2">
        <v>23.9</v>
      </c>
      <c r="Q394" s="2">
        <v>20247.7</v>
      </c>
      <c r="R394" s="2" t="s">
        <v>138</v>
      </c>
      <c r="S394" s="2">
        <v>855</v>
      </c>
      <c r="T394" s="2">
        <v>75</v>
      </c>
      <c r="U394" s="2" t="s">
        <v>73</v>
      </c>
      <c r="V394" s="2" t="s">
        <v>98</v>
      </c>
      <c r="W394" s="2">
        <v>3</v>
      </c>
      <c r="X394" s="2">
        <v>3</v>
      </c>
    </row>
    <row r="395" spans="1:24" ht="15" customHeight="1">
      <c r="A395" s="2" t="s">
        <v>1418</v>
      </c>
      <c r="B395" s="2" t="s">
        <v>1419</v>
      </c>
      <c r="C395" s="2">
        <v>8</v>
      </c>
      <c r="D395" s="2" t="s">
        <v>28</v>
      </c>
      <c r="E395" s="2" t="s">
        <v>430</v>
      </c>
      <c r="F395" s="2" t="s">
        <v>184</v>
      </c>
      <c r="G395" s="2" t="s">
        <v>31</v>
      </c>
      <c r="H395" s="2" t="s">
        <v>79</v>
      </c>
      <c r="I395" s="2" t="s">
        <v>1420</v>
      </c>
      <c r="J395" s="2" t="s">
        <v>128</v>
      </c>
      <c r="K395" s="2" t="s">
        <v>106</v>
      </c>
      <c r="L395" s="2" t="s">
        <v>50</v>
      </c>
      <c r="M395" s="2" t="s">
        <v>51</v>
      </c>
      <c r="N395" s="2" t="s">
        <v>36</v>
      </c>
      <c r="O395" s="2">
        <v>40394.6</v>
      </c>
      <c r="P395" s="2">
        <v>67.599999999999994</v>
      </c>
      <c r="Q395" s="2">
        <v>43961.27</v>
      </c>
      <c r="R395" s="2"/>
      <c r="S395" s="2">
        <v>769</v>
      </c>
      <c r="T395" s="2">
        <v>83</v>
      </c>
      <c r="U395" s="2" t="s">
        <v>72</v>
      </c>
      <c r="V395" s="2" t="s">
        <v>108</v>
      </c>
      <c r="W395" s="2">
        <v>4</v>
      </c>
      <c r="X395" s="2">
        <v>4.9000000000000004</v>
      </c>
    </row>
    <row r="396" spans="1:24" ht="15" customHeight="1">
      <c r="A396" s="2" t="s">
        <v>1421</v>
      </c>
      <c r="B396" s="2" t="s">
        <v>1422</v>
      </c>
      <c r="C396" s="2">
        <v>25</v>
      </c>
      <c r="D396" s="2" t="s">
        <v>177</v>
      </c>
      <c r="E396" s="2" t="s">
        <v>1423</v>
      </c>
      <c r="F396" s="2" t="s">
        <v>77</v>
      </c>
      <c r="G396" s="2" t="s">
        <v>31</v>
      </c>
      <c r="H396" s="2" t="s">
        <v>58</v>
      </c>
      <c r="I396" s="2" t="s">
        <v>1424</v>
      </c>
      <c r="J396" s="2" t="s">
        <v>128</v>
      </c>
      <c r="K396" s="2" t="s">
        <v>67</v>
      </c>
      <c r="L396" s="2" t="s">
        <v>68</v>
      </c>
      <c r="M396" s="2" t="s">
        <v>51</v>
      </c>
      <c r="N396" s="2" t="s">
        <v>60</v>
      </c>
      <c r="O396" s="2">
        <v>105667.29</v>
      </c>
      <c r="P396" s="2">
        <v>48</v>
      </c>
      <c r="Q396" s="2">
        <v>12912.56</v>
      </c>
      <c r="R396" s="2" t="s">
        <v>158</v>
      </c>
      <c r="S396" s="2">
        <v>490</v>
      </c>
      <c r="T396" s="2">
        <v>171</v>
      </c>
      <c r="U396" s="2" t="s">
        <v>98</v>
      </c>
      <c r="V396" s="2" t="s">
        <v>122</v>
      </c>
      <c r="W396" s="2">
        <v>3</v>
      </c>
      <c r="X396" s="2">
        <v>0.5</v>
      </c>
    </row>
    <row r="397" spans="1:24" ht="15" customHeight="1">
      <c r="A397" s="2" t="s">
        <v>1425</v>
      </c>
      <c r="B397" s="2" t="s">
        <v>1426</v>
      </c>
      <c r="C397" s="2">
        <v>14</v>
      </c>
      <c r="D397" s="2" t="s">
        <v>42</v>
      </c>
      <c r="E397" s="2" t="s">
        <v>488</v>
      </c>
      <c r="F397" s="2" t="s">
        <v>88</v>
      </c>
      <c r="G397" s="2" t="s">
        <v>31</v>
      </c>
      <c r="H397" s="2" t="s">
        <v>104</v>
      </c>
      <c r="I397" s="2" t="s">
        <v>1427</v>
      </c>
      <c r="J397" s="2" t="s">
        <v>34</v>
      </c>
      <c r="K397" s="2" t="s">
        <v>114</v>
      </c>
      <c r="L397" s="2" t="s">
        <v>115</v>
      </c>
      <c r="M397" s="2" t="s">
        <v>35</v>
      </c>
      <c r="N397" s="2" t="s">
        <v>36</v>
      </c>
      <c r="O397" s="2">
        <v>93350.84</v>
      </c>
      <c r="P397" s="2">
        <v>36.6</v>
      </c>
      <c r="Q397" s="2">
        <v>35713.85</v>
      </c>
      <c r="R397" s="2" t="s">
        <v>107</v>
      </c>
      <c r="S397" s="2">
        <v>787</v>
      </c>
      <c r="T397" s="2">
        <v>3</v>
      </c>
      <c r="U397" s="2" t="s">
        <v>38</v>
      </c>
      <c r="V397" s="2" t="s">
        <v>38</v>
      </c>
      <c r="W397" s="2">
        <v>4</v>
      </c>
      <c r="X397" s="2">
        <v>1.8</v>
      </c>
    </row>
    <row r="398" spans="1:24" ht="15" customHeight="1">
      <c r="A398" s="2" t="s">
        <v>1428</v>
      </c>
      <c r="B398" s="2" t="s">
        <v>1429</v>
      </c>
      <c r="C398" s="2">
        <v>40</v>
      </c>
      <c r="D398" s="2" t="s">
        <v>118</v>
      </c>
      <c r="E398" s="2" t="s">
        <v>132</v>
      </c>
      <c r="F398" s="2" t="s">
        <v>44</v>
      </c>
      <c r="G398" s="2" t="s">
        <v>31</v>
      </c>
      <c r="H398" s="2" t="s">
        <v>152</v>
      </c>
      <c r="I398" s="2" t="s">
        <v>1430</v>
      </c>
      <c r="J398" s="2" t="s">
        <v>48</v>
      </c>
      <c r="K398" s="2" t="s">
        <v>67</v>
      </c>
      <c r="L398" s="2" t="s">
        <v>68</v>
      </c>
      <c r="M398" s="2" t="s">
        <v>51</v>
      </c>
      <c r="N398" s="2" t="s">
        <v>70</v>
      </c>
      <c r="O398" s="2">
        <v>113874.34</v>
      </c>
      <c r="P398" s="2">
        <v>40.1</v>
      </c>
      <c r="Q398" s="2">
        <v>9354.0300000000007</v>
      </c>
      <c r="R398" s="2" t="s">
        <v>148</v>
      </c>
      <c r="S398" s="2">
        <v>660</v>
      </c>
      <c r="T398" s="2">
        <v>106</v>
      </c>
      <c r="U398" s="2" t="s">
        <v>122</v>
      </c>
      <c r="V398" s="2" t="s">
        <v>39</v>
      </c>
      <c r="W398" s="2">
        <v>4</v>
      </c>
      <c r="X398" s="2">
        <v>8.3000000000000007</v>
      </c>
    </row>
    <row r="399" spans="1:24" ht="15" customHeight="1">
      <c r="A399" s="2" t="s">
        <v>1431</v>
      </c>
      <c r="B399" s="2" t="s">
        <v>1432</v>
      </c>
      <c r="C399" s="2">
        <v>13</v>
      </c>
      <c r="D399" s="2" t="s">
        <v>118</v>
      </c>
      <c r="E399" s="2" t="s">
        <v>1433</v>
      </c>
      <c r="F399" s="2" t="s">
        <v>30</v>
      </c>
      <c r="G399" s="2" t="s">
        <v>190</v>
      </c>
      <c r="H399" s="2" t="s">
        <v>79</v>
      </c>
      <c r="I399" s="2" t="s">
        <v>1434</v>
      </c>
      <c r="J399" s="2" t="s">
        <v>128</v>
      </c>
      <c r="K399" s="2" t="s">
        <v>49</v>
      </c>
      <c r="L399" s="2" t="s">
        <v>50</v>
      </c>
      <c r="M399" s="2" t="s">
        <v>51</v>
      </c>
      <c r="N399" s="2" t="s">
        <v>36</v>
      </c>
      <c r="O399" s="2">
        <v>45437.56</v>
      </c>
      <c r="P399" s="2">
        <v>52.3</v>
      </c>
      <c r="Q399" s="2">
        <v>39854.07</v>
      </c>
      <c r="R399" s="2" t="s">
        <v>37</v>
      </c>
      <c r="S399" s="2">
        <v>814</v>
      </c>
      <c r="T399" s="2">
        <v>100</v>
      </c>
      <c r="U399" s="2" t="s">
        <v>98</v>
      </c>
      <c r="V399" s="2" t="s">
        <v>73</v>
      </c>
      <c r="W399" s="2">
        <v>3</v>
      </c>
      <c r="X399" s="2">
        <v>7.5</v>
      </c>
    </row>
    <row r="400" spans="1:24" ht="15" customHeight="1">
      <c r="A400" s="2" t="s">
        <v>1435</v>
      </c>
      <c r="B400" s="2" t="s">
        <v>1436</v>
      </c>
      <c r="C400" s="2">
        <v>17</v>
      </c>
      <c r="D400" s="2" t="s">
        <v>42</v>
      </c>
      <c r="E400" s="2" t="s">
        <v>1437</v>
      </c>
      <c r="F400" s="2" t="s">
        <v>88</v>
      </c>
      <c r="G400" s="2" t="s">
        <v>45</v>
      </c>
      <c r="H400" s="2" t="s">
        <v>79</v>
      </c>
      <c r="I400" s="2" t="s">
        <v>1438</v>
      </c>
      <c r="J400" s="2" t="s">
        <v>113</v>
      </c>
      <c r="K400" s="2" t="s">
        <v>147</v>
      </c>
      <c r="L400" s="2" t="s">
        <v>115</v>
      </c>
      <c r="M400" s="2" t="s">
        <v>51</v>
      </c>
      <c r="N400" s="2" t="s">
        <v>36</v>
      </c>
      <c r="O400" s="2">
        <v>37507.93</v>
      </c>
      <c r="P400" s="2">
        <v>42.8</v>
      </c>
      <c r="Q400" s="2">
        <v>4830.3500000000004</v>
      </c>
      <c r="R400" s="2" t="s">
        <v>107</v>
      </c>
      <c r="S400" s="2">
        <v>323</v>
      </c>
      <c r="T400" s="2">
        <v>63</v>
      </c>
      <c r="U400" s="2" t="s">
        <v>98</v>
      </c>
      <c r="V400" s="2" t="s">
        <v>122</v>
      </c>
      <c r="W400" s="2">
        <v>1</v>
      </c>
      <c r="X400" s="2">
        <v>6.8</v>
      </c>
    </row>
    <row r="401" spans="1:24" ht="15" customHeight="1">
      <c r="A401" s="2" t="s">
        <v>1439</v>
      </c>
      <c r="B401" s="2" t="s">
        <v>1440</v>
      </c>
      <c r="C401" s="2">
        <v>41</v>
      </c>
      <c r="D401" s="2" t="s">
        <v>101</v>
      </c>
      <c r="E401" s="2" t="s">
        <v>1441</v>
      </c>
      <c r="F401" s="2" t="s">
        <v>167</v>
      </c>
      <c r="G401" s="2" t="s">
        <v>217</v>
      </c>
      <c r="H401" s="2" t="s">
        <v>152</v>
      </c>
      <c r="I401" s="2" t="s">
        <v>1442</v>
      </c>
      <c r="J401" s="2" t="s">
        <v>90</v>
      </c>
      <c r="K401" s="2" t="s">
        <v>67</v>
      </c>
      <c r="L401" s="2" t="s">
        <v>68</v>
      </c>
      <c r="M401" s="2" t="s">
        <v>51</v>
      </c>
      <c r="N401" s="2" t="s">
        <v>70</v>
      </c>
      <c r="O401" s="2">
        <v>71582.97</v>
      </c>
      <c r="P401" s="2">
        <v>38.299999999999997</v>
      </c>
      <c r="Q401" s="2">
        <v>14513.02</v>
      </c>
      <c r="R401" s="2" t="s">
        <v>97</v>
      </c>
      <c r="S401" s="2">
        <v>812</v>
      </c>
      <c r="T401" s="2">
        <v>154</v>
      </c>
      <c r="U401" s="2" t="s">
        <v>39</v>
      </c>
      <c r="V401" s="2" t="s">
        <v>98</v>
      </c>
      <c r="W401" s="2">
        <v>1</v>
      </c>
      <c r="X401" s="2">
        <v>0.6</v>
      </c>
    </row>
    <row r="402" spans="1:24" ht="15" customHeight="1">
      <c r="A402" s="2" t="s">
        <v>1443</v>
      </c>
      <c r="B402" s="2" t="s">
        <v>1444</v>
      </c>
      <c r="C402" s="2">
        <v>39</v>
      </c>
      <c r="D402" s="2" t="s">
        <v>177</v>
      </c>
      <c r="E402" s="2" t="s">
        <v>1445</v>
      </c>
      <c r="F402" s="2" t="s">
        <v>95</v>
      </c>
      <c r="G402" s="2" t="s">
        <v>190</v>
      </c>
      <c r="H402" s="2" t="s">
        <v>46</v>
      </c>
      <c r="I402" s="2" t="s">
        <v>254</v>
      </c>
      <c r="J402" s="2" t="s">
        <v>113</v>
      </c>
      <c r="K402" s="2" t="s">
        <v>67</v>
      </c>
      <c r="L402" s="2" t="s">
        <v>68</v>
      </c>
      <c r="M402" s="2" t="s">
        <v>51</v>
      </c>
      <c r="N402" s="2" t="s">
        <v>70</v>
      </c>
      <c r="O402" s="2">
        <v>122691.05</v>
      </c>
      <c r="P402" s="2">
        <v>59.4</v>
      </c>
      <c r="Q402" s="2">
        <v>2394.39</v>
      </c>
      <c r="R402" s="2" t="s">
        <v>129</v>
      </c>
      <c r="S402" s="2">
        <v>823</v>
      </c>
      <c r="T402" s="2">
        <v>112</v>
      </c>
      <c r="U402" s="2" t="s">
        <v>72</v>
      </c>
      <c r="V402" s="2" t="s">
        <v>83</v>
      </c>
      <c r="W402" s="2">
        <v>3</v>
      </c>
      <c r="X402" s="2">
        <v>6.9</v>
      </c>
    </row>
    <row r="403" spans="1:24" ht="15" customHeight="1">
      <c r="A403" s="2" t="s">
        <v>1446</v>
      </c>
      <c r="B403" s="2" t="s">
        <v>1447</v>
      </c>
      <c r="C403" s="2">
        <v>16</v>
      </c>
      <c r="D403" s="2" t="s">
        <v>177</v>
      </c>
      <c r="E403" s="2" t="s">
        <v>1105</v>
      </c>
      <c r="F403" s="2" t="s">
        <v>57</v>
      </c>
      <c r="G403" s="2" t="s">
        <v>78</v>
      </c>
      <c r="H403" s="2" t="s">
        <v>152</v>
      </c>
      <c r="I403" s="2" t="s">
        <v>1096</v>
      </c>
      <c r="J403" s="2" t="s">
        <v>48</v>
      </c>
      <c r="K403" s="2" t="s">
        <v>114</v>
      </c>
      <c r="L403" s="2" t="s">
        <v>115</v>
      </c>
      <c r="M403" s="2" t="s">
        <v>51</v>
      </c>
      <c r="N403" s="2" t="s">
        <v>36</v>
      </c>
      <c r="O403" s="2">
        <v>76278.649999999994</v>
      </c>
      <c r="P403" s="2">
        <v>24.5</v>
      </c>
      <c r="Q403" s="2">
        <v>17717.52</v>
      </c>
      <c r="R403" s="2" t="s">
        <v>158</v>
      </c>
      <c r="S403" s="2">
        <v>761</v>
      </c>
      <c r="T403" s="2">
        <v>145</v>
      </c>
      <c r="U403" s="2" t="s">
        <v>72</v>
      </c>
      <c r="V403" s="2" t="s">
        <v>83</v>
      </c>
      <c r="W403" s="2">
        <v>5</v>
      </c>
      <c r="X403" s="2">
        <v>3</v>
      </c>
    </row>
    <row r="404" spans="1:24" ht="15" customHeight="1">
      <c r="A404" s="2" t="s">
        <v>1448</v>
      </c>
      <c r="B404" s="2" t="s">
        <v>1449</v>
      </c>
      <c r="C404" s="2">
        <v>29</v>
      </c>
      <c r="D404" s="2" t="s">
        <v>42</v>
      </c>
      <c r="E404" s="2" t="s">
        <v>1450</v>
      </c>
      <c r="F404" s="2" t="s">
        <v>57</v>
      </c>
      <c r="G404" s="2" t="s">
        <v>190</v>
      </c>
      <c r="H404" s="2" t="s">
        <v>152</v>
      </c>
      <c r="I404" s="2" t="s">
        <v>673</v>
      </c>
      <c r="J404" s="2" t="s">
        <v>48</v>
      </c>
      <c r="K404" s="2" t="s">
        <v>67</v>
      </c>
      <c r="L404" s="2" t="s">
        <v>68</v>
      </c>
      <c r="M404" s="2" t="s">
        <v>51</v>
      </c>
      <c r="N404" s="2" t="s">
        <v>36</v>
      </c>
      <c r="O404" s="2">
        <v>47388.27</v>
      </c>
      <c r="P404" s="2">
        <v>52.8</v>
      </c>
      <c r="Q404" s="2">
        <v>1680.28</v>
      </c>
      <c r="R404" s="2" t="s">
        <v>61</v>
      </c>
      <c r="S404" s="2">
        <v>451</v>
      </c>
      <c r="T404" s="2">
        <v>66</v>
      </c>
      <c r="U404" s="2" t="s">
        <v>73</v>
      </c>
      <c r="V404" s="2" t="s">
        <v>39</v>
      </c>
      <c r="W404" s="2">
        <v>3</v>
      </c>
      <c r="X404" s="2">
        <v>6</v>
      </c>
    </row>
    <row r="405" spans="1:24" ht="15" customHeight="1">
      <c r="A405" s="2" t="s">
        <v>1451</v>
      </c>
      <c r="B405" s="2" t="s">
        <v>1452</v>
      </c>
      <c r="C405" s="2">
        <v>39</v>
      </c>
      <c r="D405" s="2" t="s">
        <v>177</v>
      </c>
      <c r="E405" s="2" t="s">
        <v>541</v>
      </c>
      <c r="F405" s="2" t="s">
        <v>103</v>
      </c>
      <c r="G405" s="2" t="s">
        <v>217</v>
      </c>
      <c r="H405" s="2" t="s">
        <v>46</v>
      </c>
      <c r="I405" s="2" t="s">
        <v>1372</v>
      </c>
      <c r="J405" s="2" t="s">
        <v>90</v>
      </c>
      <c r="K405" s="2" t="s">
        <v>67</v>
      </c>
      <c r="L405" s="2" t="s">
        <v>68</v>
      </c>
      <c r="M405" s="2" t="s">
        <v>69</v>
      </c>
      <c r="N405" s="2" t="s">
        <v>60</v>
      </c>
      <c r="O405" s="2">
        <v>49849.7</v>
      </c>
      <c r="P405" s="2">
        <v>25.9</v>
      </c>
      <c r="Q405" s="2">
        <v>46680.86</v>
      </c>
      <c r="R405" s="2" t="s">
        <v>52</v>
      </c>
      <c r="S405" s="2">
        <v>665</v>
      </c>
      <c r="T405" s="2">
        <v>145</v>
      </c>
      <c r="U405" s="2" t="s">
        <v>83</v>
      </c>
      <c r="V405" s="2" t="s">
        <v>122</v>
      </c>
      <c r="W405" s="2">
        <v>1</v>
      </c>
      <c r="X405" s="2">
        <v>3.9</v>
      </c>
    </row>
    <row r="406" spans="1:24" ht="15" customHeight="1">
      <c r="A406" s="2" t="s">
        <v>1453</v>
      </c>
      <c r="B406" s="2" t="s">
        <v>1454</v>
      </c>
      <c r="C406" s="2">
        <v>10</v>
      </c>
      <c r="D406" s="2" t="s">
        <v>171</v>
      </c>
      <c r="E406" s="2" t="s">
        <v>1455</v>
      </c>
      <c r="F406" s="2" t="s">
        <v>184</v>
      </c>
      <c r="G406" s="2" t="s">
        <v>31</v>
      </c>
      <c r="H406" s="2" t="s">
        <v>245</v>
      </c>
      <c r="I406" s="2" t="s">
        <v>1456</v>
      </c>
      <c r="J406" s="2" t="s">
        <v>34</v>
      </c>
      <c r="K406" s="2" t="s">
        <v>49</v>
      </c>
      <c r="L406" s="2" t="s">
        <v>50</v>
      </c>
      <c r="M406" s="2" t="s">
        <v>35</v>
      </c>
      <c r="N406" s="2" t="s">
        <v>36</v>
      </c>
      <c r="O406" s="2">
        <v>140768.35</v>
      </c>
      <c r="P406" s="2">
        <v>22.1</v>
      </c>
      <c r="Q406" s="2">
        <v>43042.82</v>
      </c>
      <c r="R406" s="2" t="s">
        <v>71</v>
      </c>
      <c r="S406" s="2">
        <v>572</v>
      </c>
      <c r="T406" s="2">
        <v>23</v>
      </c>
      <c r="U406" s="2" t="s">
        <v>108</v>
      </c>
      <c r="V406" s="2" t="s">
        <v>122</v>
      </c>
      <c r="W406" s="2">
        <v>1</v>
      </c>
      <c r="X406" s="2">
        <v>2.2999999999999998</v>
      </c>
    </row>
    <row r="407" spans="1:24" ht="15" customHeight="1">
      <c r="A407" s="2" t="s">
        <v>1457</v>
      </c>
      <c r="B407" s="2" t="s">
        <v>1458</v>
      </c>
      <c r="C407" s="2">
        <v>36</v>
      </c>
      <c r="D407" s="2" t="s">
        <v>188</v>
      </c>
      <c r="E407" s="2" t="s">
        <v>754</v>
      </c>
      <c r="F407" s="2" t="s">
        <v>44</v>
      </c>
      <c r="G407" s="2" t="s">
        <v>96</v>
      </c>
      <c r="H407" s="2" t="s">
        <v>65</v>
      </c>
      <c r="I407" s="2" t="s">
        <v>1459</v>
      </c>
      <c r="J407" s="2" t="s">
        <v>90</v>
      </c>
      <c r="K407" s="2" t="s">
        <v>67</v>
      </c>
      <c r="L407" s="2" t="s">
        <v>68</v>
      </c>
      <c r="M407" s="2" t="s">
        <v>69</v>
      </c>
      <c r="N407" s="2" t="s">
        <v>36</v>
      </c>
      <c r="O407" s="2">
        <v>36174.120000000003</v>
      </c>
      <c r="P407" s="2">
        <v>47.7</v>
      </c>
      <c r="Q407" s="2">
        <v>34902.81</v>
      </c>
      <c r="R407" s="2" t="s">
        <v>97</v>
      </c>
      <c r="S407" s="2">
        <v>499</v>
      </c>
      <c r="T407" s="2">
        <v>162</v>
      </c>
      <c r="U407" s="2" t="s">
        <v>72</v>
      </c>
      <c r="V407" s="2" t="s">
        <v>73</v>
      </c>
      <c r="W407" s="2">
        <v>5</v>
      </c>
      <c r="X407" s="2">
        <v>2.8</v>
      </c>
    </row>
    <row r="408" spans="1:24" ht="15" customHeight="1">
      <c r="A408" s="2" t="s">
        <v>1460</v>
      </c>
      <c r="B408" s="2" t="s">
        <v>1461</v>
      </c>
      <c r="C408" s="2">
        <v>36</v>
      </c>
      <c r="D408" s="2" t="s">
        <v>42</v>
      </c>
      <c r="E408" s="2" t="s">
        <v>1462</v>
      </c>
      <c r="F408" s="2" t="s">
        <v>184</v>
      </c>
      <c r="G408" s="2" t="s">
        <v>78</v>
      </c>
      <c r="H408" s="2" t="s">
        <v>173</v>
      </c>
      <c r="I408" s="2" t="s">
        <v>1463</v>
      </c>
      <c r="J408" s="2" t="s">
        <v>48</v>
      </c>
      <c r="K408" s="2" t="s">
        <v>67</v>
      </c>
      <c r="L408" s="2" t="s">
        <v>68</v>
      </c>
      <c r="M408" s="2" t="s">
        <v>51</v>
      </c>
      <c r="N408" s="2" t="s">
        <v>60</v>
      </c>
      <c r="O408" s="2">
        <v>75699.16</v>
      </c>
      <c r="P408" s="2">
        <v>78.099999999999994</v>
      </c>
      <c r="Q408" s="2">
        <v>28230.38</v>
      </c>
      <c r="R408" s="2" t="s">
        <v>52</v>
      </c>
      <c r="S408" s="2">
        <v>367</v>
      </c>
      <c r="T408" s="2">
        <v>172</v>
      </c>
      <c r="U408" s="2" t="s">
        <v>72</v>
      </c>
      <c r="V408" s="2" t="s">
        <v>38</v>
      </c>
      <c r="W408" s="2">
        <v>5</v>
      </c>
      <c r="X408" s="2">
        <v>7.5</v>
      </c>
    </row>
    <row r="409" spans="1:24" ht="15" customHeight="1">
      <c r="A409" s="2" t="s">
        <v>1464</v>
      </c>
      <c r="B409" s="2" t="s">
        <v>1465</v>
      </c>
      <c r="C409" s="2">
        <v>20</v>
      </c>
      <c r="D409" s="2" t="s">
        <v>86</v>
      </c>
      <c r="E409" s="2" t="s">
        <v>1466</v>
      </c>
      <c r="F409" s="2" t="s">
        <v>88</v>
      </c>
      <c r="G409" s="2" t="s">
        <v>45</v>
      </c>
      <c r="H409" s="2" t="s">
        <v>65</v>
      </c>
      <c r="I409" s="2" t="s">
        <v>1244</v>
      </c>
      <c r="J409" s="2" t="s">
        <v>128</v>
      </c>
      <c r="K409" s="2" t="s">
        <v>67</v>
      </c>
      <c r="L409" s="2" t="s">
        <v>68</v>
      </c>
      <c r="M409" s="2" t="s">
        <v>35</v>
      </c>
      <c r="N409" s="2" t="s">
        <v>60</v>
      </c>
      <c r="O409" s="2">
        <v>128591.81</v>
      </c>
      <c r="P409" s="2">
        <v>16.8</v>
      </c>
      <c r="Q409" s="2">
        <v>57402.42</v>
      </c>
      <c r="R409" s="2" t="s">
        <v>129</v>
      </c>
      <c r="S409" s="2">
        <v>726</v>
      </c>
      <c r="T409" s="2">
        <v>68</v>
      </c>
      <c r="U409" s="2" t="s">
        <v>122</v>
      </c>
      <c r="V409" s="2" t="s">
        <v>38</v>
      </c>
      <c r="W409" s="2">
        <v>3</v>
      </c>
      <c r="X409" s="2">
        <v>1.7</v>
      </c>
    </row>
    <row r="410" spans="1:24" ht="15" customHeight="1">
      <c r="A410" s="2" t="s">
        <v>1467</v>
      </c>
      <c r="B410" s="2" t="s">
        <v>1468</v>
      </c>
      <c r="C410" s="2">
        <v>26</v>
      </c>
      <c r="D410" s="2" t="s">
        <v>42</v>
      </c>
      <c r="E410" s="2" t="s">
        <v>853</v>
      </c>
      <c r="F410" s="2" t="s">
        <v>95</v>
      </c>
      <c r="G410" s="2" t="s">
        <v>179</v>
      </c>
      <c r="H410" s="2" t="s">
        <v>245</v>
      </c>
      <c r="I410" s="2" t="s">
        <v>1469</v>
      </c>
      <c r="J410" s="2" t="s">
        <v>48</v>
      </c>
      <c r="K410" s="2" t="s">
        <v>67</v>
      </c>
      <c r="L410" s="2" t="s">
        <v>68</v>
      </c>
      <c r="M410" s="2" t="s">
        <v>51</v>
      </c>
      <c r="N410" s="2" t="s">
        <v>70</v>
      </c>
      <c r="O410" s="2">
        <v>7824.55</v>
      </c>
      <c r="P410" s="2">
        <v>20.6</v>
      </c>
      <c r="Q410" s="2">
        <v>43000.36</v>
      </c>
      <c r="R410" s="2" t="s">
        <v>158</v>
      </c>
      <c r="S410" s="2">
        <v>324</v>
      </c>
      <c r="T410" s="2">
        <v>97</v>
      </c>
      <c r="U410" s="2" t="s">
        <v>39</v>
      </c>
      <c r="V410" s="2" t="s">
        <v>98</v>
      </c>
      <c r="W410" s="2">
        <v>3</v>
      </c>
      <c r="X410" s="2">
        <v>1.4</v>
      </c>
    </row>
    <row r="411" spans="1:24" ht="15" customHeight="1">
      <c r="A411" s="2" t="s">
        <v>1470</v>
      </c>
      <c r="B411" s="2" t="s">
        <v>1471</v>
      </c>
      <c r="C411" s="2">
        <v>36</v>
      </c>
      <c r="D411" s="2" t="s">
        <v>188</v>
      </c>
      <c r="E411" s="2" t="s">
        <v>885</v>
      </c>
      <c r="F411" s="2" t="s">
        <v>95</v>
      </c>
      <c r="G411" s="2" t="s">
        <v>45</v>
      </c>
      <c r="H411" s="2" t="s">
        <v>104</v>
      </c>
      <c r="I411" s="2" t="s">
        <v>854</v>
      </c>
      <c r="J411" s="2" t="s">
        <v>90</v>
      </c>
      <c r="K411" s="2" t="s">
        <v>67</v>
      </c>
      <c r="L411" s="2" t="s">
        <v>68</v>
      </c>
      <c r="M411" s="2" t="s">
        <v>35</v>
      </c>
      <c r="N411" s="2" t="s">
        <v>70</v>
      </c>
      <c r="O411" s="2">
        <v>82994.880000000005</v>
      </c>
      <c r="P411" s="2">
        <v>26.3</v>
      </c>
      <c r="Q411" s="2">
        <v>28310.45</v>
      </c>
      <c r="R411" s="2" t="s">
        <v>82</v>
      </c>
      <c r="S411" s="2">
        <v>632</v>
      </c>
      <c r="T411" s="2">
        <v>187</v>
      </c>
      <c r="U411" s="2" t="s">
        <v>39</v>
      </c>
      <c r="V411" s="2" t="s">
        <v>122</v>
      </c>
      <c r="W411" s="2">
        <v>5</v>
      </c>
      <c r="X411" s="2">
        <v>2.2000000000000002</v>
      </c>
    </row>
    <row r="412" spans="1:24" ht="15" customHeight="1">
      <c r="A412" s="2" t="s">
        <v>1472</v>
      </c>
      <c r="B412" s="2" t="s">
        <v>1473</v>
      </c>
      <c r="C412" s="2">
        <v>42</v>
      </c>
      <c r="D412" s="2" t="s">
        <v>171</v>
      </c>
      <c r="E412" s="2" t="s">
        <v>1167</v>
      </c>
      <c r="F412" s="2" t="s">
        <v>77</v>
      </c>
      <c r="G412" s="2" t="s">
        <v>162</v>
      </c>
      <c r="H412" s="2" t="s">
        <v>79</v>
      </c>
      <c r="I412" s="2" t="s">
        <v>1474</v>
      </c>
      <c r="J412" s="2" t="s">
        <v>128</v>
      </c>
      <c r="K412" s="2" t="s">
        <v>67</v>
      </c>
      <c r="L412" s="2" t="s">
        <v>68</v>
      </c>
      <c r="M412" s="2" t="s">
        <v>51</v>
      </c>
      <c r="N412" s="2" t="s">
        <v>60</v>
      </c>
      <c r="O412" s="2">
        <v>31700.3</v>
      </c>
      <c r="P412" s="2">
        <v>39.6</v>
      </c>
      <c r="Q412" s="2">
        <v>19980.73</v>
      </c>
      <c r="R412" s="2" t="s">
        <v>37</v>
      </c>
      <c r="S412" s="2">
        <v>561</v>
      </c>
      <c r="T412" s="2">
        <v>5</v>
      </c>
      <c r="U412" s="2" t="s">
        <v>108</v>
      </c>
      <c r="V412" s="2" t="s">
        <v>73</v>
      </c>
      <c r="W412" s="2">
        <v>4</v>
      </c>
      <c r="X412" s="2">
        <v>7.4</v>
      </c>
    </row>
    <row r="413" spans="1:24" ht="15" customHeight="1">
      <c r="A413" s="2" t="s">
        <v>1475</v>
      </c>
      <c r="B413" s="2" t="s">
        <v>1476</v>
      </c>
      <c r="C413" s="2">
        <v>9</v>
      </c>
      <c r="D413" s="2" t="s">
        <v>188</v>
      </c>
      <c r="E413" s="2" t="s">
        <v>1477</v>
      </c>
      <c r="F413" s="2" t="s">
        <v>44</v>
      </c>
      <c r="G413" s="2" t="s">
        <v>96</v>
      </c>
      <c r="H413" s="2" t="s">
        <v>46</v>
      </c>
      <c r="I413" s="2" t="s">
        <v>1478</v>
      </c>
      <c r="J413" s="2" t="s">
        <v>48</v>
      </c>
      <c r="K413" s="2" t="s">
        <v>106</v>
      </c>
      <c r="L413" s="2" t="s">
        <v>50</v>
      </c>
      <c r="M413" s="2" t="s">
        <v>0</v>
      </c>
      <c r="N413" s="2" t="s">
        <v>60</v>
      </c>
      <c r="O413" s="2">
        <v>146262.99</v>
      </c>
      <c r="P413" s="2">
        <v>44.9</v>
      </c>
      <c r="Q413" s="2">
        <v>47915.46</v>
      </c>
      <c r="R413" s="2" t="s">
        <v>97</v>
      </c>
      <c r="S413" s="2">
        <v>495</v>
      </c>
      <c r="T413" s="2">
        <v>196</v>
      </c>
      <c r="U413" s="2" t="s">
        <v>38</v>
      </c>
      <c r="V413" s="2" t="s">
        <v>73</v>
      </c>
      <c r="W413" s="2">
        <v>2</v>
      </c>
      <c r="X413" s="2">
        <v>6</v>
      </c>
    </row>
    <row r="414" spans="1:24" ht="15" customHeight="1">
      <c r="A414" s="2" t="s">
        <v>1479</v>
      </c>
      <c r="B414" s="2" t="s">
        <v>1480</v>
      </c>
      <c r="C414" s="2">
        <v>27</v>
      </c>
      <c r="D414" s="2" t="s">
        <v>171</v>
      </c>
      <c r="E414" s="2" t="s">
        <v>900</v>
      </c>
      <c r="F414" s="2" t="s">
        <v>95</v>
      </c>
      <c r="G414" s="2" t="s">
        <v>162</v>
      </c>
      <c r="H414" s="2" t="s">
        <v>58</v>
      </c>
      <c r="I414" s="2" t="s">
        <v>890</v>
      </c>
      <c r="J414" s="2" t="s">
        <v>90</v>
      </c>
      <c r="K414" s="2" t="s">
        <v>67</v>
      </c>
      <c r="L414" s="2" t="s">
        <v>68</v>
      </c>
      <c r="M414" s="2" t="s">
        <v>35</v>
      </c>
      <c r="N414" s="2" t="s">
        <v>60</v>
      </c>
      <c r="O414" s="2">
        <v>42533.68</v>
      </c>
      <c r="P414" s="2">
        <v>55.6</v>
      </c>
      <c r="Q414" s="2">
        <v>19597.16</v>
      </c>
      <c r="R414" s="2" t="s">
        <v>129</v>
      </c>
      <c r="S414" s="2">
        <v>505</v>
      </c>
      <c r="T414" s="2">
        <v>147</v>
      </c>
      <c r="U414" s="2" t="s">
        <v>39</v>
      </c>
      <c r="V414" s="2" t="s">
        <v>83</v>
      </c>
      <c r="W414" s="2">
        <v>2</v>
      </c>
      <c r="X414" s="2">
        <v>3.1</v>
      </c>
    </row>
    <row r="415" spans="1:24" ht="15" customHeight="1">
      <c r="A415" s="2" t="s">
        <v>1481</v>
      </c>
      <c r="B415" s="2" t="s">
        <v>1482</v>
      </c>
      <c r="C415" s="2">
        <v>8</v>
      </c>
      <c r="D415" s="2" t="s">
        <v>55</v>
      </c>
      <c r="E415" s="2" t="s">
        <v>315</v>
      </c>
      <c r="F415" s="2" t="s">
        <v>30</v>
      </c>
      <c r="G415" s="2" t="s">
        <v>96</v>
      </c>
      <c r="H415" s="2" t="s">
        <v>173</v>
      </c>
      <c r="I415" s="2" t="s">
        <v>1483</v>
      </c>
      <c r="J415" s="2" t="s">
        <v>128</v>
      </c>
      <c r="K415" s="2" t="s">
        <v>106</v>
      </c>
      <c r="L415" s="2" t="s">
        <v>50</v>
      </c>
      <c r="M415" s="2" t="s">
        <v>35</v>
      </c>
      <c r="N415" s="2" t="s">
        <v>60</v>
      </c>
      <c r="O415" s="2">
        <v>140763.82999999999</v>
      </c>
      <c r="P415" s="2">
        <v>31.7</v>
      </c>
      <c r="Q415" s="2">
        <v>8238.73</v>
      </c>
      <c r="R415" s="2" t="s">
        <v>138</v>
      </c>
      <c r="S415" s="2">
        <v>684</v>
      </c>
      <c r="T415" s="2">
        <v>190</v>
      </c>
      <c r="U415" s="2" t="s">
        <v>98</v>
      </c>
      <c r="V415" s="2" t="s">
        <v>98</v>
      </c>
      <c r="W415" s="2">
        <v>4</v>
      </c>
      <c r="X415" s="2">
        <v>3.9</v>
      </c>
    </row>
    <row r="416" spans="1:24" ht="15" customHeight="1">
      <c r="A416" s="2" t="s">
        <v>1484</v>
      </c>
      <c r="B416" s="2" t="s">
        <v>1485</v>
      </c>
      <c r="C416" s="2">
        <v>13</v>
      </c>
      <c r="D416" s="2" t="s">
        <v>101</v>
      </c>
      <c r="E416" s="2" t="s">
        <v>791</v>
      </c>
      <c r="F416" s="2" t="s">
        <v>120</v>
      </c>
      <c r="G416" s="2" t="s">
        <v>31</v>
      </c>
      <c r="H416" s="2" t="s">
        <v>79</v>
      </c>
      <c r="I416" s="2" t="s">
        <v>1486</v>
      </c>
      <c r="J416" s="2" t="s">
        <v>48</v>
      </c>
      <c r="K416" s="2" t="s">
        <v>49</v>
      </c>
      <c r="L416" s="2" t="s">
        <v>50</v>
      </c>
      <c r="M416" s="2" t="s">
        <v>51</v>
      </c>
      <c r="N416" s="2" t="s">
        <v>60</v>
      </c>
      <c r="O416" s="2">
        <v>147847.06</v>
      </c>
      <c r="P416" s="2">
        <v>32</v>
      </c>
      <c r="Q416" s="2">
        <v>15317.07</v>
      </c>
      <c r="R416" s="2" t="s">
        <v>97</v>
      </c>
      <c r="S416" s="2" t="s">
        <v>195</v>
      </c>
      <c r="T416" s="2">
        <v>107</v>
      </c>
      <c r="U416" s="2" t="s">
        <v>72</v>
      </c>
      <c r="V416" s="2" t="s">
        <v>38</v>
      </c>
      <c r="W416" s="2">
        <v>3</v>
      </c>
      <c r="X416" s="2">
        <v>7.6</v>
      </c>
    </row>
    <row r="417" spans="1:24" ht="15" customHeight="1">
      <c r="A417" s="2" t="s">
        <v>1487</v>
      </c>
      <c r="B417" s="2" t="s">
        <v>1488</v>
      </c>
      <c r="C417" s="2">
        <v>25</v>
      </c>
      <c r="D417" s="2" t="s">
        <v>93</v>
      </c>
      <c r="E417" s="2" t="s">
        <v>1489</v>
      </c>
      <c r="F417" s="2" t="s">
        <v>95</v>
      </c>
      <c r="G417" s="2" t="s">
        <v>45</v>
      </c>
      <c r="H417" s="2" t="s">
        <v>245</v>
      </c>
      <c r="I417" s="2" t="s">
        <v>1490</v>
      </c>
      <c r="J417" s="2" t="s">
        <v>90</v>
      </c>
      <c r="K417" s="2" t="s">
        <v>67</v>
      </c>
      <c r="L417" s="2" t="s">
        <v>68</v>
      </c>
      <c r="M417" s="2" t="s">
        <v>35</v>
      </c>
      <c r="N417" s="2" t="s">
        <v>36</v>
      </c>
      <c r="O417" s="2">
        <v>6344.72</v>
      </c>
      <c r="P417" s="2">
        <v>15.5</v>
      </c>
      <c r="Q417" s="2">
        <v>28188.76</v>
      </c>
      <c r="R417" s="2" t="s">
        <v>71</v>
      </c>
      <c r="S417" s="2">
        <v>514</v>
      </c>
      <c r="T417" s="2">
        <v>169</v>
      </c>
      <c r="U417" s="2" t="s">
        <v>38</v>
      </c>
      <c r="V417" s="2" t="s">
        <v>39</v>
      </c>
      <c r="W417" s="2">
        <v>4</v>
      </c>
      <c r="X417" s="2">
        <v>2</v>
      </c>
    </row>
    <row r="418" spans="1:24" ht="15" customHeight="1">
      <c r="A418" s="2" t="s">
        <v>1491</v>
      </c>
      <c r="B418" s="2" t="s">
        <v>1492</v>
      </c>
      <c r="C418" s="2">
        <v>17</v>
      </c>
      <c r="D418" s="2" t="s">
        <v>188</v>
      </c>
      <c r="E418" s="2" t="s">
        <v>859</v>
      </c>
      <c r="F418" s="2" t="s">
        <v>44</v>
      </c>
      <c r="G418" s="2" t="s">
        <v>45</v>
      </c>
      <c r="H418" s="2" t="s">
        <v>104</v>
      </c>
      <c r="I418" s="2" t="s">
        <v>1493</v>
      </c>
      <c r="J418" s="2" t="s">
        <v>128</v>
      </c>
      <c r="K418" s="2" t="s">
        <v>147</v>
      </c>
      <c r="L418" s="2" t="s">
        <v>115</v>
      </c>
      <c r="M418" s="2" t="s">
        <v>69</v>
      </c>
      <c r="N418" s="2" t="s">
        <v>60</v>
      </c>
      <c r="O418" s="2">
        <v>53079.4</v>
      </c>
      <c r="P418" s="2">
        <v>7.6</v>
      </c>
      <c r="Q418" s="2">
        <v>52321.69</v>
      </c>
      <c r="R418" s="2" t="s">
        <v>138</v>
      </c>
      <c r="S418" s="2">
        <v>852</v>
      </c>
      <c r="T418" s="2">
        <v>153</v>
      </c>
      <c r="U418" s="2" t="s">
        <v>83</v>
      </c>
      <c r="V418" s="2" t="s">
        <v>108</v>
      </c>
      <c r="W418" s="2">
        <v>3</v>
      </c>
      <c r="X418" s="2">
        <v>8.1</v>
      </c>
    </row>
    <row r="419" spans="1:24" ht="15" customHeight="1">
      <c r="A419" s="2" t="s">
        <v>1494</v>
      </c>
      <c r="B419" s="2" t="s">
        <v>1495</v>
      </c>
      <c r="C419" s="2">
        <v>13</v>
      </c>
      <c r="D419" s="2" t="s">
        <v>177</v>
      </c>
      <c r="E419" s="2" t="s">
        <v>1496</v>
      </c>
      <c r="F419" s="2" t="s">
        <v>184</v>
      </c>
      <c r="G419" s="2" t="s">
        <v>45</v>
      </c>
      <c r="H419" s="2" t="s">
        <v>79</v>
      </c>
      <c r="I419" s="2" t="s">
        <v>1497</v>
      </c>
      <c r="J419" s="2" t="s">
        <v>113</v>
      </c>
      <c r="K419" s="2" t="s">
        <v>49</v>
      </c>
      <c r="L419" s="2" t="s">
        <v>50</v>
      </c>
      <c r="M419" s="2" t="s">
        <v>51</v>
      </c>
      <c r="N419" s="2" t="s">
        <v>60</v>
      </c>
      <c r="O419" s="2">
        <v>51817.09</v>
      </c>
      <c r="P419" s="2">
        <v>76.8</v>
      </c>
      <c r="Q419" s="2">
        <v>40105.919999999998</v>
      </c>
      <c r="R419" s="2" t="s">
        <v>97</v>
      </c>
      <c r="S419" s="2">
        <v>804</v>
      </c>
      <c r="T419" s="2">
        <v>146</v>
      </c>
      <c r="U419" s="2" t="s">
        <v>83</v>
      </c>
      <c r="V419" s="2" t="s">
        <v>83</v>
      </c>
      <c r="W419" s="2">
        <v>2</v>
      </c>
      <c r="X419" s="2">
        <v>2.4</v>
      </c>
    </row>
    <row r="420" spans="1:24" ht="15" customHeight="1">
      <c r="A420" s="2" t="s">
        <v>1498</v>
      </c>
      <c r="B420" s="2" t="s">
        <v>1499</v>
      </c>
      <c r="C420" s="2">
        <v>31</v>
      </c>
      <c r="D420" s="2" t="s">
        <v>171</v>
      </c>
      <c r="E420" s="2" t="s">
        <v>598</v>
      </c>
      <c r="F420" s="2" t="s">
        <v>167</v>
      </c>
      <c r="G420" s="2" t="s">
        <v>190</v>
      </c>
      <c r="H420" s="2" t="s">
        <v>79</v>
      </c>
      <c r="I420" s="2" t="s">
        <v>735</v>
      </c>
      <c r="J420" s="2" t="s">
        <v>48</v>
      </c>
      <c r="K420" s="2" t="s">
        <v>67</v>
      </c>
      <c r="L420" s="2" t="s">
        <v>68</v>
      </c>
      <c r="M420" s="2" t="s">
        <v>51</v>
      </c>
      <c r="N420" s="2" t="s">
        <v>70</v>
      </c>
      <c r="O420" s="2">
        <v>115184.57</v>
      </c>
      <c r="P420" s="2">
        <v>36.700000000000003</v>
      </c>
      <c r="Q420" s="2">
        <v>39672.11</v>
      </c>
      <c r="R420" s="2" t="s">
        <v>82</v>
      </c>
      <c r="S420" s="2">
        <v>694</v>
      </c>
      <c r="T420" s="2">
        <v>50</v>
      </c>
      <c r="U420" s="2" t="s">
        <v>108</v>
      </c>
      <c r="V420" s="2" t="s">
        <v>108</v>
      </c>
      <c r="W420" s="2">
        <v>2</v>
      </c>
      <c r="X420" s="2">
        <v>1.9</v>
      </c>
    </row>
    <row r="421" spans="1:24" ht="15" customHeight="1">
      <c r="A421" s="2" t="s">
        <v>1500</v>
      </c>
      <c r="B421" s="2" t="s">
        <v>1501</v>
      </c>
      <c r="C421" s="2">
        <v>36</v>
      </c>
      <c r="D421" s="2" t="s">
        <v>28</v>
      </c>
      <c r="E421" s="2" t="s">
        <v>730</v>
      </c>
      <c r="F421" s="2" t="s">
        <v>120</v>
      </c>
      <c r="G421" s="2" t="s">
        <v>179</v>
      </c>
      <c r="H421" s="2" t="s">
        <v>152</v>
      </c>
      <c r="I421" s="2" t="s">
        <v>1502</v>
      </c>
      <c r="J421" s="2" t="s">
        <v>81</v>
      </c>
      <c r="K421" s="2" t="s">
        <v>67</v>
      </c>
      <c r="L421" s="2" t="s">
        <v>68</v>
      </c>
      <c r="M421" s="2" t="s">
        <v>51</v>
      </c>
      <c r="N421" s="2" t="s">
        <v>36</v>
      </c>
      <c r="O421" s="2">
        <v>116434.1</v>
      </c>
      <c r="P421" s="2">
        <v>30.3</v>
      </c>
      <c r="Q421" s="2">
        <v>53551.61</v>
      </c>
      <c r="R421" s="2" t="s">
        <v>158</v>
      </c>
      <c r="S421" s="2">
        <v>799</v>
      </c>
      <c r="T421" s="2">
        <v>116</v>
      </c>
      <c r="U421" s="2" t="s">
        <v>122</v>
      </c>
      <c r="V421" s="2" t="s">
        <v>72</v>
      </c>
      <c r="W421" s="2">
        <v>3</v>
      </c>
      <c r="X421" s="2">
        <v>4.0999999999999996</v>
      </c>
    </row>
    <row r="422" spans="1:24" ht="15" customHeight="1">
      <c r="A422" s="2" t="s">
        <v>1503</v>
      </c>
      <c r="B422" s="2" t="s">
        <v>1504</v>
      </c>
      <c r="C422" s="2">
        <v>12</v>
      </c>
      <c r="D422" s="2" t="s">
        <v>118</v>
      </c>
      <c r="E422" s="2" t="s">
        <v>761</v>
      </c>
      <c r="F422" s="2" t="s">
        <v>30</v>
      </c>
      <c r="G422" s="2" t="s">
        <v>190</v>
      </c>
      <c r="H422" s="2" t="s">
        <v>79</v>
      </c>
      <c r="I422" s="2" t="s">
        <v>590</v>
      </c>
      <c r="J422" s="2" t="s">
        <v>81</v>
      </c>
      <c r="K422" s="2" t="s">
        <v>49</v>
      </c>
      <c r="L422" s="2" t="s">
        <v>50</v>
      </c>
      <c r="M422" s="2" t="s">
        <v>69</v>
      </c>
      <c r="N422" s="2" t="s">
        <v>36</v>
      </c>
      <c r="O422" s="2">
        <v>31478.79</v>
      </c>
      <c r="P422" s="2">
        <v>71.400000000000006</v>
      </c>
      <c r="Q422" s="2">
        <v>30654.28</v>
      </c>
      <c r="R422" s="2" t="s">
        <v>52</v>
      </c>
      <c r="S422" s="2">
        <v>317</v>
      </c>
      <c r="T422" s="2">
        <v>190</v>
      </c>
      <c r="U422" s="2" t="s">
        <v>39</v>
      </c>
      <c r="V422" s="2" t="s">
        <v>122</v>
      </c>
      <c r="W422" s="2">
        <v>5</v>
      </c>
      <c r="X422" s="2">
        <v>2.5</v>
      </c>
    </row>
    <row r="423" spans="1:24" ht="15" customHeight="1">
      <c r="A423" s="2" t="s">
        <v>1505</v>
      </c>
      <c r="B423" s="2" t="s">
        <v>1506</v>
      </c>
      <c r="C423" s="2">
        <v>29</v>
      </c>
      <c r="D423" s="2" t="s">
        <v>93</v>
      </c>
      <c r="E423" s="2" t="s">
        <v>441</v>
      </c>
      <c r="F423" s="2" t="s">
        <v>120</v>
      </c>
      <c r="G423" s="2" t="s">
        <v>78</v>
      </c>
      <c r="H423" s="2" t="s">
        <v>79</v>
      </c>
      <c r="I423" s="2" t="s">
        <v>1507</v>
      </c>
      <c r="J423" s="2" t="s">
        <v>128</v>
      </c>
      <c r="K423" s="2" t="s">
        <v>67</v>
      </c>
      <c r="L423" s="2" t="s">
        <v>68</v>
      </c>
      <c r="M423" s="2" t="s">
        <v>35</v>
      </c>
      <c r="N423" s="2" t="s">
        <v>70</v>
      </c>
      <c r="O423" s="2">
        <v>47991.98</v>
      </c>
      <c r="P423" s="2">
        <v>77.900000000000006</v>
      </c>
      <c r="Q423" s="2">
        <v>53624.67</v>
      </c>
      <c r="R423" s="2" t="s">
        <v>158</v>
      </c>
      <c r="S423" s="2">
        <v>439</v>
      </c>
      <c r="T423" s="2">
        <v>76</v>
      </c>
      <c r="U423" s="2" t="s">
        <v>108</v>
      </c>
      <c r="V423" s="2" t="s">
        <v>38</v>
      </c>
      <c r="W423" s="2">
        <v>2</v>
      </c>
      <c r="X423" s="2">
        <v>8.3000000000000007</v>
      </c>
    </row>
    <row r="424" spans="1:24" ht="15" customHeight="1">
      <c r="A424" s="2" t="s">
        <v>1508</v>
      </c>
      <c r="B424" s="2" t="s">
        <v>1509</v>
      </c>
      <c r="C424" s="2">
        <v>9</v>
      </c>
      <c r="D424" s="2" t="s">
        <v>28</v>
      </c>
      <c r="E424" s="2" t="s">
        <v>1135</v>
      </c>
      <c r="F424" s="2" t="s">
        <v>57</v>
      </c>
      <c r="G424" s="2" t="s">
        <v>78</v>
      </c>
      <c r="H424" s="2" t="s">
        <v>58</v>
      </c>
      <c r="I424" s="2" t="s">
        <v>1420</v>
      </c>
      <c r="J424" s="2" t="s">
        <v>81</v>
      </c>
      <c r="K424" s="2" t="s">
        <v>106</v>
      </c>
      <c r="L424" s="2" t="s">
        <v>50</v>
      </c>
      <c r="M424" s="2" t="s">
        <v>35</v>
      </c>
      <c r="N424" s="2" t="s">
        <v>60</v>
      </c>
      <c r="O424" s="2">
        <v>37814.230000000003</v>
      </c>
      <c r="P424" s="2">
        <v>15.5</v>
      </c>
      <c r="Q424" s="2">
        <v>24086.43</v>
      </c>
      <c r="R424" s="2"/>
      <c r="S424" s="2">
        <v>455</v>
      </c>
      <c r="T424" s="2">
        <v>36</v>
      </c>
      <c r="U424" s="2" t="s">
        <v>38</v>
      </c>
      <c r="V424" s="2" t="s">
        <v>108</v>
      </c>
      <c r="W424" s="2">
        <v>5</v>
      </c>
      <c r="X424" s="2">
        <v>3.1</v>
      </c>
    </row>
    <row r="425" spans="1:24" ht="15" customHeight="1">
      <c r="A425" s="2" t="s">
        <v>1510</v>
      </c>
      <c r="B425" s="2" t="s">
        <v>1511</v>
      </c>
      <c r="C425" s="2">
        <v>36</v>
      </c>
      <c r="D425" s="2" t="s">
        <v>118</v>
      </c>
      <c r="E425" s="2" t="s">
        <v>541</v>
      </c>
      <c r="F425" s="2" t="s">
        <v>30</v>
      </c>
      <c r="G425" s="2" t="s">
        <v>45</v>
      </c>
      <c r="H425" s="2" t="s">
        <v>79</v>
      </c>
      <c r="I425" s="2" t="s">
        <v>1512</v>
      </c>
      <c r="J425" s="2" t="s">
        <v>90</v>
      </c>
      <c r="K425" s="2" t="s">
        <v>67</v>
      </c>
      <c r="L425" s="2" t="s">
        <v>68</v>
      </c>
      <c r="M425" s="2" t="s">
        <v>51</v>
      </c>
      <c r="N425" s="2" t="s">
        <v>60</v>
      </c>
      <c r="O425" s="2">
        <v>95900.26</v>
      </c>
      <c r="P425" s="2">
        <v>17.600000000000001</v>
      </c>
      <c r="Q425" s="2">
        <v>42585.64</v>
      </c>
      <c r="R425" s="2" t="s">
        <v>158</v>
      </c>
      <c r="S425" s="2">
        <v>530</v>
      </c>
      <c r="T425" s="2">
        <v>22</v>
      </c>
      <c r="U425" s="2" t="s">
        <v>39</v>
      </c>
      <c r="V425" s="2" t="s">
        <v>73</v>
      </c>
      <c r="W425" s="2">
        <v>4</v>
      </c>
      <c r="X425" s="2">
        <v>1</v>
      </c>
    </row>
    <row r="426" spans="1:24" ht="15" customHeight="1">
      <c r="A426" s="2" t="s">
        <v>1513</v>
      </c>
      <c r="B426" s="2" t="s">
        <v>1514</v>
      </c>
      <c r="C426" s="2">
        <v>23</v>
      </c>
      <c r="D426" s="2" t="s">
        <v>171</v>
      </c>
      <c r="E426" s="2" t="s">
        <v>94</v>
      </c>
      <c r="F426" s="2" t="s">
        <v>77</v>
      </c>
      <c r="G426" s="2" t="s">
        <v>96</v>
      </c>
      <c r="H426" s="2" t="s">
        <v>65</v>
      </c>
      <c r="I426" s="2" t="s">
        <v>127</v>
      </c>
      <c r="J426" s="2" t="s">
        <v>34</v>
      </c>
      <c r="K426" s="2" t="s">
        <v>67</v>
      </c>
      <c r="L426" s="2" t="s">
        <v>68</v>
      </c>
      <c r="M426" s="2" t="s">
        <v>51</v>
      </c>
      <c r="N426" s="2" t="s">
        <v>70</v>
      </c>
      <c r="O426" s="2">
        <v>101516.13</v>
      </c>
      <c r="P426" s="2">
        <v>63.6</v>
      </c>
      <c r="Q426" s="2">
        <v>42511.75</v>
      </c>
      <c r="R426" s="2"/>
      <c r="S426" s="2">
        <v>879</v>
      </c>
      <c r="T426" s="2">
        <v>132</v>
      </c>
      <c r="U426" s="2" t="s">
        <v>72</v>
      </c>
      <c r="V426" s="2" t="s">
        <v>108</v>
      </c>
      <c r="W426" s="2">
        <v>5</v>
      </c>
      <c r="X426" s="2">
        <v>1.3</v>
      </c>
    </row>
    <row r="427" spans="1:24" ht="15" customHeight="1">
      <c r="A427" s="2" t="s">
        <v>1515</v>
      </c>
      <c r="B427" s="2" t="s">
        <v>1516</v>
      </c>
      <c r="C427" s="2">
        <v>43</v>
      </c>
      <c r="D427" s="2" t="s">
        <v>177</v>
      </c>
      <c r="E427" s="2" t="s">
        <v>651</v>
      </c>
      <c r="F427" s="2" t="s">
        <v>44</v>
      </c>
      <c r="G427" s="2" t="s">
        <v>96</v>
      </c>
      <c r="H427" s="2" t="s">
        <v>152</v>
      </c>
      <c r="I427" s="2" t="s">
        <v>191</v>
      </c>
      <c r="J427" s="2" t="s">
        <v>113</v>
      </c>
      <c r="K427" s="2" t="s">
        <v>67</v>
      </c>
      <c r="L427" s="2" t="s">
        <v>68</v>
      </c>
      <c r="M427" s="2" t="s">
        <v>51</v>
      </c>
      <c r="N427" s="2" t="s">
        <v>70</v>
      </c>
      <c r="O427" s="2">
        <v>102014.91</v>
      </c>
      <c r="P427" s="2">
        <v>47.5</v>
      </c>
      <c r="Q427" s="2">
        <v>1448.67</v>
      </c>
      <c r="R427" s="2" t="s">
        <v>138</v>
      </c>
      <c r="S427" s="2">
        <v>599</v>
      </c>
      <c r="T427" s="2">
        <v>7</v>
      </c>
      <c r="U427" s="2" t="s">
        <v>38</v>
      </c>
      <c r="V427" s="2" t="s">
        <v>38</v>
      </c>
      <c r="W427" s="2">
        <v>3</v>
      </c>
      <c r="X427" s="2">
        <v>8.8000000000000007</v>
      </c>
    </row>
    <row r="428" spans="1:24" ht="15" customHeight="1">
      <c r="A428" s="2" t="s">
        <v>1517</v>
      </c>
      <c r="B428" s="2" t="s">
        <v>1518</v>
      </c>
      <c r="C428" s="2">
        <v>9</v>
      </c>
      <c r="D428" s="2" t="s">
        <v>177</v>
      </c>
      <c r="E428" s="2" t="s">
        <v>209</v>
      </c>
      <c r="F428" s="2" t="s">
        <v>77</v>
      </c>
      <c r="G428" s="2" t="s">
        <v>217</v>
      </c>
      <c r="H428" s="2" t="s">
        <v>104</v>
      </c>
      <c r="I428" s="2" t="s">
        <v>1519</v>
      </c>
      <c r="J428" s="2" t="s">
        <v>48</v>
      </c>
      <c r="K428" s="2" t="s">
        <v>106</v>
      </c>
      <c r="L428" s="2" t="s">
        <v>50</v>
      </c>
      <c r="M428" s="2" t="s">
        <v>51</v>
      </c>
      <c r="N428" s="2" t="s">
        <v>60</v>
      </c>
      <c r="O428" s="2">
        <v>127484.38</v>
      </c>
      <c r="P428" s="2">
        <v>30</v>
      </c>
      <c r="Q428" s="2">
        <v>36984.160000000003</v>
      </c>
      <c r="R428" s="2" t="s">
        <v>148</v>
      </c>
      <c r="S428" s="2">
        <v>624</v>
      </c>
      <c r="T428" s="2">
        <v>25</v>
      </c>
      <c r="U428" s="2" t="s">
        <v>98</v>
      </c>
      <c r="V428" s="2" t="s">
        <v>73</v>
      </c>
      <c r="W428" s="2">
        <v>2</v>
      </c>
      <c r="X428" s="2">
        <v>6.9</v>
      </c>
    </row>
    <row r="429" spans="1:24" ht="15" customHeight="1">
      <c r="A429" s="2" t="s">
        <v>1520</v>
      </c>
      <c r="B429" s="2" t="s">
        <v>1521</v>
      </c>
      <c r="C429" s="2">
        <v>37</v>
      </c>
      <c r="D429" s="2" t="s">
        <v>42</v>
      </c>
      <c r="E429" s="2" t="s">
        <v>291</v>
      </c>
      <c r="F429" s="2" t="s">
        <v>88</v>
      </c>
      <c r="G429" s="2" t="s">
        <v>217</v>
      </c>
      <c r="H429" s="2" t="s">
        <v>79</v>
      </c>
      <c r="I429" s="2" t="s">
        <v>1522</v>
      </c>
      <c r="J429" s="2" t="s">
        <v>81</v>
      </c>
      <c r="K429" s="2" t="s">
        <v>67</v>
      </c>
      <c r="L429" s="2" t="s">
        <v>68</v>
      </c>
      <c r="M429" s="2" t="s">
        <v>51</v>
      </c>
      <c r="N429" s="2" t="s">
        <v>36</v>
      </c>
      <c r="O429" s="2">
        <v>86270.37</v>
      </c>
      <c r="P429" s="2">
        <v>45.4</v>
      </c>
      <c r="Q429" s="2">
        <v>23878.27</v>
      </c>
      <c r="R429" s="2" t="s">
        <v>82</v>
      </c>
      <c r="S429" s="2">
        <v>503</v>
      </c>
      <c r="T429" s="2">
        <v>182</v>
      </c>
      <c r="U429" s="2" t="s">
        <v>38</v>
      </c>
      <c r="V429" s="2" t="s">
        <v>122</v>
      </c>
      <c r="W429" s="2">
        <v>5</v>
      </c>
      <c r="X429" s="2">
        <v>3.5</v>
      </c>
    </row>
    <row r="430" spans="1:24" ht="15" customHeight="1">
      <c r="A430" s="2" t="s">
        <v>1523</v>
      </c>
      <c r="B430" s="2" t="s">
        <v>1524</v>
      </c>
      <c r="C430" s="2">
        <v>24</v>
      </c>
      <c r="D430" s="2" t="s">
        <v>86</v>
      </c>
      <c r="E430" s="2" t="s">
        <v>1144</v>
      </c>
      <c r="F430" s="2" t="s">
        <v>103</v>
      </c>
      <c r="G430" s="2" t="s">
        <v>162</v>
      </c>
      <c r="H430" s="2" t="s">
        <v>104</v>
      </c>
      <c r="I430" s="2" t="s">
        <v>1525</v>
      </c>
      <c r="J430" s="2" t="s">
        <v>90</v>
      </c>
      <c r="K430" s="2" t="s">
        <v>67</v>
      </c>
      <c r="L430" s="2" t="s">
        <v>68</v>
      </c>
      <c r="M430" s="2" t="s">
        <v>51</v>
      </c>
      <c r="N430" s="2" t="s">
        <v>60</v>
      </c>
      <c r="O430" s="2">
        <v>40576</v>
      </c>
      <c r="P430" s="2">
        <v>53.6</v>
      </c>
      <c r="Q430" s="2">
        <v>12958.09</v>
      </c>
      <c r="R430" s="2" t="s">
        <v>61</v>
      </c>
      <c r="S430" s="2">
        <v>549</v>
      </c>
      <c r="T430" s="2">
        <v>156</v>
      </c>
      <c r="U430" s="2" t="s">
        <v>73</v>
      </c>
      <c r="V430" s="2" t="s">
        <v>39</v>
      </c>
      <c r="W430" s="2">
        <v>4</v>
      </c>
      <c r="X430" s="2">
        <v>2.1</v>
      </c>
    </row>
    <row r="431" spans="1:24" ht="15" customHeight="1">
      <c r="A431" s="2" t="s">
        <v>1526</v>
      </c>
      <c r="B431" s="2" t="s">
        <v>1527</v>
      </c>
      <c r="C431" s="2">
        <v>42</v>
      </c>
      <c r="D431" s="2" t="s">
        <v>42</v>
      </c>
      <c r="E431" s="2" t="s">
        <v>1182</v>
      </c>
      <c r="F431" s="2" t="s">
        <v>88</v>
      </c>
      <c r="G431" s="2" t="s">
        <v>190</v>
      </c>
      <c r="H431" s="2" t="s">
        <v>58</v>
      </c>
      <c r="I431" s="2" t="s">
        <v>1528</v>
      </c>
      <c r="J431" s="2" t="s">
        <v>81</v>
      </c>
      <c r="K431" s="2" t="s">
        <v>67</v>
      </c>
      <c r="L431" s="2" t="s">
        <v>68</v>
      </c>
      <c r="M431" s="2" t="s">
        <v>51</v>
      </c>
      <c r="N431" s="2" t="s">
        <v>60</v>
      </c>
      <c r="O431" s="2">
        <v>51641.07</v>
      </c>
      <c r="P431" s="2">
        <v>57.7</v>
      </c>
      <c r="Q431" s="2">
        <v>47733.42</v>
      </c>
      <c r="R431" s="2" t="s">
        <v>148</v>
      </c>
      <c r="S431" s="2">
        <v>398</v>
      </c>
      <c r="T431" s="2">
        <v>200</v>
      </c>
      <c r="U431" s="2" t="s">
        <v>38</v>
      </c>
      <c r="V431" s="2" t="s">
        <v>83</v>
      </c>
      <c r="W431" s="2">
        <v>3</v>
      </c>
      <c r="X431" s="2">
        <v>6.6</v>
      </c>
    </row>
    <row r="432" spans="1:24" ht="15" customHeight="1">
      <c r="A432" s="2" t="s">
        <v>1529</v>
      </c>
      <c r="B432" s="2" t="s">
        <v>1530</v>
      </c>
      <c r="C432" s="2">
        <v>20</v>
      </c>
      <c r="D432" s="2" t="s">
        <v>42</v>
      </c>
      <c r="E432" s="2" t="s">
        <v>882</v>
      </c>
      <c r="F432" s="2" t="s">
        <v>44</v>
      </c>
      <c r="G432" s="2" t="s">
        <v>45</v>
      </c>
      <c r="H432" s="2" t="s">
        <v>32</v>
      </c>
      <c r="I432" s="2" t="s">
        <v>1531</v>
      </c>
      <c r="J432" s="2" t="s">
        <v>90</v>
      </c>
      <c r="K432" s="2" t="s">
        <v>67</v>
      </c>
      <c r="L432" s="2" t="s">
        <v>68</v>
      </c>
      <c r="M432" s="2" t="s">
        <v>51</v>
      </c>
      <c r="N432" s="2" t="s">
        <v>36</v>
      </c>
      <c r="O432" s="2">
        <v>70027.899999999994</v>
      </c>
      <c r="P432" s="2">
        <v>72.2</v>
      </c>
      <c r="Q432" s="2">
        <v>28597.59</v>
      </c>
      <c r="R432" s="2" t="s">
        <v>148</v>
      </c>
      <c r="S432" s="2">
        <v>365</v>
      </c>
      <c r="T432" s="2">
        <v>16</v>
      </c>
      <c r="U432" s="2" t="s">
        <v>38</v>
      </c>
      <c r="V432" s="2" t="s">
        <v>98</v>
      </c>
      <c r="W432" s="2">
        <v>4</v>
      </c>
      <c r="X432" s="2">
        <v>6.5</v>
      </c>
    </row>
    <row r="433" spans="1:24" ht="15" customHeight="1">
      <c r="A433" s="2" t="s">
        <v>1532</v>
      </c>
      <c r="B433" s="2" t="s">
        <v>1533</v>
      </c>
      <c r="C433" s="2">
        <v>19</v>
      </c>
      <c r="D433" s="2" t="s">
        <v>42</v>
      </c>
      <c r="E433" s="2" t="s">
        <v>726</v>
      </c>
      <c r="F433" s="2" t="s">
        <v>77</v>
      </c>
      <c r="G433" s="2" t="s">
        <v>96</v>
      </c>
      <c r="H433" s="2" t="s">
        <v>104</v>
      </c>
      <c r="I433" s="2" t="s">
        <v>1534</v>
      </c>
      <c r="J433" s="2" t="s">
        <v>81</v>
      </c>
      <c r="K433" s="2" t="s">
        <v>147</v>
      </c>
      <c r="L433" s="2" t="s">
        <v>115</v>
      </c>
      <c r="M433" s="2" t="s">
        <v>51</v>
      </c>
      <c r="N433" s="2" t="s">
        <v>60</v>
      </c>
      <c r="O433" s="2">
        <v>145778.84</v>
      </c>
      <c r="P433" s="2">
        <v>61.6</v>
      </c>
      <c r="Q433" s="2">
        <v>35246.86</v>
      </c>
      <c r="R433" s="2" t="s">
        <v>71</v>
      </c>
      <c r="S433" s="2">
        <v>842</v>
      </c>
      <c r="T433" s="2">
        <v>41</v>
      </c>
      <c r="U433" s="2" t="s">
        <v>83</v>
      </c>
      <c r="V433" s="2" t="s">
        <v>83</v>
      </c>
      <c r="W433" s="2">
        <v>1</v>
      </c>
      <c r="X433" s="2">
        <v>6</v>
      </c>
    </row>
    <row r="434" spans="1:24" ht="15" customHeight="1">
      <c r="A434" s="2" t="s">
        <v>1535</v>
      </c>
      <c r="B434" s="2" t="s">
        <v>1536</v>
      </c>
      <c r="C434" s="2">
        <v>11</v>
      </c>
      <c r="D434" s="2" t="s">
        <v>118</v>
      </c>
      <c r="E434" s="2" t="s">
        <v>839</v>
      </c>
      <c r="F434" s="2" t="s">
        <v>95</v>
      </c>
      <c r="G434" s="2" t="s">
        <v>179</v>
      </c>
      <c r="H434" s="2" t="s">
        <v>58</v>
      </c>
      <c r="I434" s="2" t="s">
        <v>917</v>
      </c>
      <c r="J434" s="2" t="s">
        <v>34</v>
      </c>
      <c r="K434" s="2" t="s">
        <v>49</v>
      </c>
      <c r="L434" s="2" t="s">
        <v>50</v>
      </c>
      <c r="M434" s="2" t="s">
        <v>35</v>
      </c>
      <c r="N434" s="2" t="s">
        <v>36</v>
      </c>
      <c r="O434" s="2">
        <v>67402.33</v>
      </c>
      <c r="P434" s="2">
        <v>11.8</v>
      </c>
      <c r="Q434" s="2">
        <v>15630.33</v>
      </c>
      <c r="R434" s="2" t="s">
        <v>52</v>
      </c>
      <c r="S434" s="2">
        <v>659</v>
      </c>
      <c r="T434" s="2">
        <v>162</v>
      </c>
      <c r="U434" s="2" t="s">
        <v>122</v>
      </c>
      <c r="V434" s="2" t="s">
        <v>72</v>
      </c>
      <c r="W434" s="2">
        <v>5</v>
      </c>
      <c r="X434" s="2">
        <v>2.7</v>
      </c>
    </row>
    <row r="435" spans="1:24" ht="15" customHeight="1">
      <c r="A435" s="2" t="s">
        <v>1537</v>
      </c>
      <c r="B435" s="2" t="s">
        <v>1538</v>
      </c>
      <c r="C435" s="2">
        <v>41</v>
      </c>
      <c r="D435" s="2" t="s">
        <v>86</v>
      </c>
      <c r="E435" s="2" t="s">
        <v>611</v>
      </c>
      <c r="F435" s="2" t="s">
        <v>44</v>
      </c>
      <c r="G435" s="2" t="s">
        <v>162</v>
      </c>
      <c r="H435" s="2" t="s">
        <v>245</v>
      </c>
      <c r="I435" s="2" t="s">
        <v>80</v>
      </c>
      <c r="J435" s="2" t="s">
        <v>81</v>
      </c>
      <c r="K435" s="2" t="s">
        <v>67</v>
      </c>
      <c r="L435" s="2" t="s">
        <v>68</v>
      </c>
      <c r="M435" s="2" t="s">
        <v>51</v>
      </c>
      <c r="N435" s="2" t="s">
        <v>60</v>
      </c>
      <c r="O435" s="2">
        <v>32329.9</v>
      </c>
      <c r="P435" s="2">
        <v>18.600000000000001</v>
      </c>
      <c r="Q435" s="2">
        <v>13102.43</v>
      </c>
      <c r="R435" s="2" t="s">
        <v>138</v>
      </c>
      <c r="S435" s="2">
        <v>458</v>
      </c>
      <c r="T435" s="2">
        <v>146</v>
      </c>
      <c r="U435" s="2" t="s">
        <v>98</v>
      </c>
      <c r="V435" s="2" t="s">
        <v>83</v>
      </c>
      <c r="W435" s="2">
        <v>4</v>
      </c>
      <c r="X435" s="2">
        <v>0.8</v>
      </c>
    </row>
    <row r="436" spans="1:24" ht="15" customHeight="1">
      <c r="A436" s="2" t="s">
        <v>1539</v>
      </c>
      <c r="B436" s="2" t="s">
        <v>1540</v>
      </c>
      <c r="C436" s="2">
        <v>13</v>
      </c>
      <c r="D436" s="2" t="s">
        <v>42</v>
      </c>
      <c r="E436" s="2" t="s">
        <v>637</v>
      </c>
      <c r="F436" s="2" t="s">
        <v>57</v>
      </c>
      <c r="G436" s="2" t="s">
        <v>217</v>
      </c>
      <c r="H436" s="2" t="s">
        <v>65</v>
      </c>
      <c r="I436" s="2" t="s">
        <v>1541</v>
      </c>
      <c r="J436" s="2" t="s">
        <v>81</v>
      </c>
      <c r="K436" s="2" t="s">
        <v>49</v>
      </c>
      <c r="L436" s="2" t="s">
        <v>50</v>
      </c>
      <c r="M436" s="2" t="s">
        <v>51</v>
      </c>
      <c r="N436" s="2" t="s">
        <v>36</v>
      </c>
      <c r="O436" s="2">
        <v>84457.16</v>
      </c>
      <c r="P436" s="2">
        <v>38.6</v>
      </c>
      <c r="Q436" s="2">
        <v>6982.9</v>
      </c>
      <c r="R436" s="2" t="s">
        <v>82</v>
      </c>
      <c r="S436" s="2">
        <v>646</v>
      </c>
      <c r="T436" s="2">
        <v>36</v>
      </c>
      <c r="U436" s="2" t="s">
        <v>98</v>
      </c>
      <c r="V436" s="2" t="s">
        <v>98</v>
      </c>
      <c r="W436" s="2">
        <v>1</v>
      </c>
      <c r="X436" s="2">
        <v>3.5</v>
      </c>
    </row>
    <row r="437" spans="1:24" ht="15" customHeight="1">
      <c r="A437" s="2" t="s">
        <v>1542</v>
      </c>
      <c r="B437" s="2" t="s">
        <v>1543</v>
      </c>
      <c r="C437" s="2">
        <v>43</v>
      </c>
      <c r="D437" s="2" t="s">
        <v>55</v>
      </c>
      <c r="E437" s="2" t="s">
        <v>1397</v>
      </c>
      <c r="F437" s="2" t="s">
        <v>88</v>
      </c>
      <c r="G437" s="2" t="s">
        <v>179</v>
      </c>
      <c r="H437" s="2" t="s">
        <v>46</v>
      </c>
      <c r="I437" s="2" t="s">
        <v>1544</v>
      </c>
      <c r="J437" s="2" t="s">
        <v>113</v>
      </c>
      <c r="K437" s="2" t="s">
        <v>67</v>
      </c>
      <c r="L437" s="2" t="s">
        <v>68</v>
      </c>
      <c r="M437" s="2" t="s">
        <v>51</v>
      </c>
      <c r="N437" s="2" t="s">
        <v>36</v>
      </c>
      <c r="O437" s="2">
        <v>66816.28</v>
      </c>
      <c r="P437" s="2">
        <v>11.2</v>
      </c>
      <c r="Q437" s="2">
        <v>1430.05</v>
      </c>
      <c r="R437" s="2" t="s">
        <v>61</v>
      </c>
      <c r="S437" s="2">
        <v>874</v>
      </c>
      <c r="T437" s="2">
        <v>99</v>
      </c>
      <c r="U437" s="2" t="s">
        <v>73</v>
      </c>
      <c r="V437" s="2" t="s">
        <v>72</v>
      </c>
      <c r="W437" s="2">
        <v>5</v>
      </c>
      <c r="X437" s="2">
        <v>7.6</v>
      </c>
    </row>
    <row r="438" spans="1:24" ht="15" customHeight="1">
      <c r="A438" s="2" t="s">
        <v>1545</v>
      </c>
      <c r="B438" s="2" t="s">
        <v>1546</v>
      </c>
      <c r="C438" s="2">
        <v>43</v>
      </c>
      <c r="D438" s="2" t="s">
        <v>86</v>
      </c>
      <c r="E438" s="2" t="s">
        <v>1462</v>
      </c>
      <c r="F438" s="2" t="s">
        <v>184</v>
      </c>
      <c r="G438" s="2" t="s">
        <v>162</v>
      </c>
      <c r="H438" s="2" t="s">
        <v>245</v>
      </c>
      <c r="I438" s="2" t="s">
        <v>1547</v>
      </c>
      <c r="J438" s="2" t="s">
        <v>81</v>
      </c>
      <c r="K438" s="2" t="s">
        <v>67</v>
      </c>
      <c r="L438" s="2" t="s">
        <v>68</v>
      </c>
      <c r="M438" s="2" t="s">
        <v>35</v>
      </c>
      <c r="N438" s="2" t="s">
        <v>70</v>
      </c>
      <c r="O438" s="2">
        <v>112088.31</v>
      </c>
      <c r="P438" s="2">
        <v>18.399999999999999</v>
      </c>
      <c r="Q438" s="2">
        <v>22249.439999999999</v>
      </c>
      <c r="R438" s="2" t="s">
        <v>82</v>
      </c>
      <c r="S438" s="2">
        <v>519</v>
      </c>
      <c r="T438" s="2">
        <v>47</v>
      </c>
      <c r="U438" s="2" t="s">
        <v>122</v>
      </c>
      <c r="V438" s="2" t="s">
        <v>83</v>
      </c>
      <c r="W438" s="2">
        <v>4</v>
      </c>
      <c r="X438" s="2">
        <v>2.2999999999999998</v>
      </c>
    </row>
    <row r="439" spans="1:24" ht="15" customHeight="1">
      <c r="A439" s="2" t="s">
        <v>1548</v>
      </c>
      <c r="B439" s="2" t="s">
        <v>1549</v>
      </c>
      <c r="C439" s="2"/>
      <c r="D439" s="2" t="s">
        <v>28</v>
      </c>
      <c r="E439" s="2" t="s">
        <v>1280</v>
      </c>
      <c r="F439" s="2" t="s">
        <v>30</v>
      </c>
      <c r="G439" s="2" t="s">
        <v>190</v>
      </c>
      <c r="H439" s="2" t="s">
        <v>245</v>
      </c>
      <c r="I439" s="2" t="s">
        <v>1550</v>
      </c>
      <c r="J439" s="2" t="s">
        <v>34</v>
      </c>
      <c r="K439" s="2"/>
      <c r="L439" s="2"/>
      <c r="M439" s="2" t="s">
        <v>51</v>
      </c>
      <c r="N439" s="2" t="s">
        <v>70</v>
      </c>
      <c r="O439" s="2">
        <v>138049.64000000001</v>
      </c>
      <c r="P439" s="2">
        <v>16.7</v>
      </c>
      <c r="Q439" s="2">
        <v>35925.1</v>
      </c>
      <c r="R439" s="2" t="s">
        <v>37</v>
      </c>
      <c r="S439" s="2">
        <v>732</v>
      </c>
      <c r="T439" s="2">
        <v>181</v>
      </c>
      <c r="U439" s="2" t="s">
        <v>39</v>
      </c>
      <c r="V439" s="2" t="s">
        <v>73</v>
      </c>
      <c r="W439" s="2">
        <v>1</v>
      </c>
      <c r="X439" s="2">
        <v>4</v>
      </c>
    </row>
    <row r="440" spans="1:24" ht="15" customHeight="1">
      <c r="A440" s="2" t="s">
        <v>1551</v>
      </c>
      <c r="B440" s="2" t="s">
        <v>1552</v>
      </c>
      <c r="C440" s="2">
        <v>18</v>
      </c>
      <c r="D440" s="2" t="s">
        <v>42</v>
      </c>
      <c r="E440" s="2" t="s">
        <v>971</v>
      </c>
      <c r="F440" s="2" t="s">
        <v>95</v>
      </c>
      <c r="G440" s="2" t="s">
        <v>162</v>
      </c>
      <c r="H440" s="2" t="s">
        <v>152</v>
      </c>
      <c r="I440" s="2" t="s">
        <v>1553</v>
      </c>
      <c r="J440" s="2" t="s">
        <v>90</v>
      </c>
      <c r="K440" s="2" t="s">
        <v>147</v>
      </c>
      <c r="L440" s="2" t="s">
        <v>115</v>
      </c>
      <c r="M440" s="2" t="s">
        <v>51</v>
      </c>
      <c r="N440" s="2" t="s">
        <v>70</v>
      </c>
      <c r="O440" s="2">
        <v>14642.55</v>
      </c>
      <c r="P440" s="2">
        <v>17.600000000000001</v>
      </c>
      <c r="Q440" s="2">
        <v>44405.58</v>
      </c>
      <c r="R440" s="2" t="s">
        <v>107</v>
      </c>
      <c r="S440" s="2">
        <v>591</v>
      </c>
      <c r="T440" s="2">
        <v>72</v>
      </c>
      <c r="U440" s="2" t="s">
        <v>72</v>
      </c>
      <c r="V440" s="2" t="s">
        <v>98</v>
      </c>
      <c r="W440" s="2">
        <v>2</v>
      </c>
      <c r="X440" s="2">
        <v>8.6</v>
      </c>
    </row>
    <row r="441" spans="1:24" ht="15" customHeight="1">
      <c r="A441" s="2" t="s">
        <v>1554</v>
      </c>
      <c r="B441" s="2" t="s">
        <v>1555</v>
      </c>
      <c r="C441" s="2">
        <v>14</v>
      </c>
      <c r="D441" s="2" t="s">
        <v>118</v>
      </c>
      <c r="E441" s="2" t="s">
        <v>326</v>
      </c>
      <c r="F441" s="2" t="s">
        <v>30</v>
      </c>
      <c r="G441" s="2" t="s">
        <v>78</v>
      </c>
      <c r="H441" s="2" t="s">
        <v>245</v>
      </c>
      <c r="I441" s="2" t="s">
        <v>33</v>
      </c>
      <c r="J441" s="2" t="s">
        <v>34</v>
      </c>
      <c r="K441" s="2" t="s">
        <v>114</v>
      </c>
      <c r="L441" s="2" t="s">
        <v>115</v>
      </c>
      <c r="M441" s="2" t="s">
        <v>51</v>
      </c>
      <c r="N441" s="2" t="s">
        <v>36</v>
      </c>
      <c r="O441" s="2">
        <v>25700.01</v>
      </c>
      <c r="P441" s="2">
        <v>8.1</v>
      </c>
      <c r="Q441" s="2">
        <v>56016.94</v>
      </c>
      <c r="R441" s="2" t="s">
        <v>52</v>
      </c>
      <c r="S441" s="2">
        <v>625</v>
      </c>
      <c r="T441" s="2">
        <v>3</v>
      </c>
      <c r="U441" s="2" t="s">
        <v>122</v>
      </c>
      <c r="V441" s="2" t="s">
        <v>39</v>
      </c>
      <c r="W441" s="2">
        <v>3</v>
      </c>
      <c r="X441" s="2">
        <v>4.4000000000000004</v>
      </c>
    </row>
    <row r="442" spans="1:24" ht="15" customHeight="1">
      <c r="A442" s="2" t="s">
        <v>1556</v>
      </c>
      <c r="B442" s="2" t="s">
        <v>1557</v>
      </c>
      <c r="C442" s="2">
        <v>30</v>
      </c>
      <c r="D442" s="2" t="s">
        <v>86</v>
      </c>
      <c r="E442" s="2" t="s">
        <v>747</v>
      </c>
      <c r="F442" s="2" t="s">
        <v>167</v>
      </c>
      <c r="G442" s="2" t="s">
        <v>217</v>
      </c>
      <c r="H442" s="2" t="s">
        <v>104</v>
      </c>
      <c r="I442" s="2" t="s">
        <v>238</v>
      </c>
      <c r="J442" s="2" t="s">
        <v>90</v>
      </c>
      <c r="K442" s="2" t="s">
        <v>67</v>
      </c>
      <c r="L442" s="2" t="s">
        <v>68</v>
      </c>
      <c r="M442" s="2" t="s">
        <v>69</v>
      </c>
      <c r="N442" s="2" t="s">
        <v>60</v>
      </c>
      <c r="O442" s="2">
        <v>92240.71</v>
      </c>
      <c r="P442" s="2">
        <v>17.100000000000001</v>
      </c>
      <c r="Q442" s="2">
        <v>32827.4</v>
      </c>
      <c r="R442" s="2" t="s">
        <v>138</v>
      </c>
      <c r="S442" s="2">
        <v>414</v>
      </c>
      <c r="T442" s="2">
        <v>104</v>
      </c>
      <c r="U442" s="2" t="s">
        <v>83</v>
      </c>
      <c r="V442" s="2" t="s">
        <v>38</v>
      </c>
      <c r="W442" s="2">
        <v>1</v>
      </c>
      <c r="X442" s="2">
        <v>1.7</v>
      </c>
    </row>
    <row r="443" spans="1:24" ht="15" customHeight="1">
      <c r="A443" s="2" t="s">
        <v>1558</v>
      </c>
      <c r="B443" s="2" t="s">
        <v>1559</v>
      </c>
      <c r="C443" s="2">
        <v>30</v>
      </c>
      <c r="D443" s="2" t="s">
        <v>55</v>
      </c>
      <c r="E443" s="2" t="s">
        <v>696</v>
      </c>
      <c r="F443" s="2" t="s">
        <v>95</v>
      </c>
      <c r="G443" s="2" t="s">
        <v>31</v>
      </c>
      <c r="H443" s="2" t="s">
        <v>104</v>
      </c>
      <c r="I443" s="2" t="s">
        <v>415</v>
      </c>
      <c r="J443" s="2" t="s">
        <v>90</v>
      </c>
      <c r="K443" s="2" t="s">
        <v>67</v>
      </c>
      <c r="L443" s="2" t="s">
        <v>68</v>
      </c>
      <c r="M443" s="2" t="s">
        <v>51</v>
      </c>
      <c r="N443" s="2" t="s">
        <v>36</v>
      </c>
      <c r="O443" s="2">
        <v>98494.57</v>
      </c>
      <c r="P443" s="2">
        <v>51.2</v>
      </c>
      <c r="Q443" s="2">
        <v>26980.27</v>
      </c>
      <c r="R443" s="2" t="s">
        <v>148</v>
      </c>
      <c r="S443" s="2">
        <v>802</v>
      </c>
      <c r="T443" s="2">
        <v>88</v>
      </c>
      <c r="U443" s="2" t="s">
        <v>73</v>
      </c>
      <c r="V443" s="2" t="s">
        <v>98</v>
      </c>
      <c r="W443" s="2">
        <v>5</v>
      </c>
      <c r="X443" s="2">
        <v>8</v>
      </c>
    </row>
    <row r="444" spans="1:24" ht="15" customHeight="1">
      <c r="A444" s="2" t="s">
        <v>1560</v>
      </c>
      <c r="B444" s="2" t="s">
        <v>1561</v>
      </c>
      <c r="C444" s="2">
        <v>17</v>
      </c>
      <c r="D444" s="2" t="s">
        <v>42</v>
      </c>
      <c r="E444" s="2" t="s">
        <v>379</v>
      </c>
      <c r="F444" s="2" t="s">
        <v>88</v>
      </c>
      <c r="G444" s="2" t="s">
        <v>162</v>
      </c>
      <c r="H444" s="2" t="s">
        <v>58</v>
      </c>
      <c r="I444" s="2" t="s">
        <v>1248</v>
      </c>
      <c r="J444" s="2" t="s">
        <v>113</v>
      </c>
      <c r="K444" s="2" t="s">
        <v>147</v>
      </c>
      <c r="L444" s="2" t="s">
        <v>115</v>
      </c>
      <c r="M444" s="2" t="s">
        <v>51</v>
      </c>
      <c r="N444" s="2" t="s">
        <v>60</v>
      </c>
      <c r="O444" s="2">
        <v>148185.96</v>
      </c>
      <c r="P444" s="2">
        <v>52</v>
      </c>
      <c r="Q444" s="2">
        <v>12486.06</v>
      </c>
      <c r="R444" s="2" t="s">
        <v>158</v>
      </c>
      <c r="S444" s="2">
        <v>727</v>
      </c>
      <c r="T444" s="2">
        <v>115</v>
      </c>
      <c r="U444" s="2" t="s">
        <v>73</v>
      </c>
      <c r="V444" s="2" t="s">
        <v>38</v>
      </c>
      <c r="W444" s="2">
        <v>3</v>
      </c>
      <c r="X444" s="2">
        <v>3.3</v>
      </c>
    </row>
    <row r="445" spans="1:24" ht="15" customHeight="1">
      <c r="A445" s="2" t="s">
        <v>1562</v>
      </c>
      <c r="B445" s="2" t="s">
        <v>1563</v>
      </c>
      <c r="C445" s="2">
        <v>19</v>
      </c>
      <c r="D445" s="2" t="s">
        <v>101</v>
      </c>
      <c r="E445" s="2" t="s">
        <v>352</v>
      </c>
      <c r="F445" s="2" t="s">
        <v>120</v>
      </c>
      <c r="G445" s="2" t="s">
        <v>78</v>
      </c>
      <c r="H445" s="2" t="s">
        <v>32</v>
      </c>
      <c r="I445" s="2" t="s">
        <v>875</v>
      </c>
      <c r="J445" s="2" t="s">
        <v>128</v>
      </c>
      <c r="K445" s="2" t="s">
        <v>147</v>
      </c>
      <c r="L445" s="2" t="s">
        <v>115</v>
      </c>
      <c r="M445" s="2" t="s">
        <v>51</v>
      </c>
      <c r="N445" s="2" t="s">
        <v>60</v>
      </c>
      <c r="O445" s="2">
        <v>73183.710000000006</v>
      </c>
      <c r="P445" s="2">
        <v>38.9</v>
      </c>
      <c r="Q445" s="2">
        <v>54280.56</v>
      </c>
      <c r="R445" s="2" t="s">
        <v>107</v>
      </c>
      <c r="S445" s="2">
        <v>352</v>
      </c>
      <c r="T445" s="2">
        <v>86</v>
      </c>
      <c r="U445" s="2" t="s">
        <v>98</v>
      </c>
      <c r="V445" s="2" t="s">
        <v>39</v>
      </c>
      <c r="W445" s="2">
        <v>4</v>
      </c>
      <c r="X445" s="2">
        <v>0.7</v>
      </c>
    </row>
    <row r="446" spans="1:24" ht="15" customHeight="1">
      <c r="A446" s="2" t="s">
        <v>1564</v>
      </c>
      <c r="B446" s="2" t="s">
        <v>1565</v>
      </c>
      <c r="C446" s="2">
        <v>17</v>
      </c>
      <c r="D446" s="2" t="s">
        <v>171</v>
      </c>
      <c r="E446" s="2" t="s">
        <v>1014</v>
      </c>
      <c r="F446" s="2" t="s">
        <v>95</v>
      </c>
      <c r="G446" s="2" t="s">
        <v>78</v>
      </c>
      <c r="H446" s="2" t="s">
        <v>79</v>
      </c>
      <c r="I446" s="2" t="s">
        <v>1566</v>
      </c>
      <c r="J446" s="2" t="s">
        <v>48</v>
      </c>
      <c r="K446" s="2" t="s">
        <v>147</v>
      </c>
      <c r="L446" s="2" t="s">
        <v>115</v>
      </c>
      <c r="M446" s="2" t="s">
        <v>35</v>
      </c>
      <c r="N446" s="2" t="s">
        <v>70</v>
      </c>
      <c r="O446" s="2">
        <v>93501.92</v>
      </c>
      <c r="P446" s="2">
        <v>44.8</v>
      </c>
      <c r="Q446" s="2">
        <v>37685.14</v>
      </c>
      <c r="R446" s="2" t="s">
        <v>71</v>
      </c>
      <c r="S446" s="2">
        <v>366</v>
      </c>
      <c r="T446" s="2">
        <v>2</v>
      </c>
      <c r="U446" s="2" t="s">
        <v>122</v>
      </c>
      <c r="V446" s="2" t="s">
        <v>122</v>
      </c>
      <c r="W446" s="2">
        <v>3</v>
      </c>
      <c r="X446" s="2">
        <v>2.2000000000000002</v>
      </c>
    </row>
    <row r="447" spans="1:24" ht="15" customHeight="1">
      <c r="A447" s="2" t="s">
        <v>1567</v>
      </c>
      <c r="B447" s="2" t="s">
        <v>1568</v>
      </c>
      <c r="C447" s="2">
        <v>10</v>
      </c>
      <c r="D447" s="2" t="s">
        <v>171</v>
      </c>
      <c r="E447" s="2" t="s">
        <v>1569</v>
      </c>
      <c r="F447" s="2" t="s">
        <v>120</v>
      </c>
      <c r="G447" s="2" t="s">
        <v>45</v>
      </c>
      <c r="H447" s="2" t="s">
        <v>152</v>
      </c>
      <c r="I447" s="2" t="s">
        <v>1570</v>
      </c>
      <c r="J447" s="2" t="s">
        <v>128</v>
      </c>
      <c r="K447" s="2" t="s">
        <v>49</v>
      </c>
      <c r="L447" s="2" t="s">
        <v>50</v>
      </c>
      <c r="M447" s="2" t="s">
        <v>35</v>
      </c>
      <c r="N447" s="2" t="s">
        <v>60</v>
      </c>
      <c r="O447" s="2">
        <v>28672.23</v>
      </c>
      <c r="P447" s="2">
        <v>73.3</v>
      </c>
      <c r="Q447" s="2">
        <v>24580.79</v>
      </c>
      <c r="R447" s="2"/>
      <c r="S447" s="2">
        <v>780</v>
      </c>
      <c r="T447" s="2">
        <v>71</v>
      </c>
      <c r="U447" s="2" t="s">
        <v>108</v>
      </c>
      <c r="V447" s="2" t="s">
        <v>98</v>
      </c>
      <c r="W447" s="2">
        <v>1</v>
      </c>
      <c r="X447" s="2">
        <v>6.9</v>
      </c>
    </row>
    <row r="448" spans="1:24" ht="15" customHeight="1">
      <c r="A448" s="2" t="s">
        <v>1571</v>
      </c>
      <c r="B448" s="2" t="s">
        <v>1572</v>
      </c>
      <c r="C448" s="2">
        <v>30</v>
      </c>
      <c r="D448" s="2" t="s">
        <v>28</v>
      </c>
      <c r="E448" s="2" t="s">
        <v>56</v>
      </c>
      <c r="F448" s="2" t="s">
        <v>120</v>
      </c>
      <c r="G448" s="2" t="s">
        <v>96</v>
      </c>
      <c r="H448" s="2" t="s">
        <v>152</v>
      </c>
      <c r="I448" s="2" t="s">
        <v>1573</v>
      </c>
      <c r="J448" s="2" t="s">
        <v>90</v>
      </c>
      <c r="K448" s="2" t="s">
        <v>67</v>
      </c>
      <c r="L448" s="2" t="s">
        <v>68</v>
      </c>
      <c r="M448" s="2" t="s">
        <v>51</v>
      </c>
      <c r="N448" s="2" t="s">
        <v>36</v>
      </c>
      <c r="O448" s="2">
        <v>54855.18</v>
      </c>
      <c r="P448" s="2">
        <v>11.4</v>
      </c>
      <c r="Q448" s="2">
        <v>22198.09</v>
      </c>
      <c r="R448" s="2" t="s">
        <v>52</v>
      </c>
      <c r="S448" s="2">
        <v>607</v>
      </c>
      <c r="T448" s="2">
        <v>38</v>
      </c>
      <c r="U448" s="2" t="s">
        <v>83</v>
      </c>
      <c r="V448" s="2" t="s">
        <v>38</v>
      </c>
      <c r="W448" s="2">
        <v>1</v>
      </c>
      <c r="X448" s="2">
        <v>3.5</v>
      </c>
    </row>
    <row r="449" spans="1:24" ht="15" customHeight="1">
      <c r="A449" s="2" t="s">
        <v>1574</v>
      </c>
      <c r="B449" s="2" t="s">
        <v>1575</v>
      </c>
      <c r="C449" s="2">
        <v>45</v>
      </c>
      <c r="D449" s="2" t="s">
        <v>28</v>
      </c>
      <c r="E449" s="2" t="s">
        <v>1576</v>
      </c>
      <c r="F449" s="2" t="s">
        <v>77</v>
      </c>
      <c r="G449" s="2" t="s">
        <v>78</v>
      </c>
      <c r="H449" s="2" t="s">
        <v>46</v>
      </c>
      <c r="I449" s="2" t="s">
        <v>142</v>
      </c>
      <c r="J449" s="2" t="s">
        <v>128</v>
      </c>
      <c r="K449" s="2" t="s">
        <v>67</v>
      </c>
      <c r="L449" s="2" t="s">
        <v>68</v>
      </c>
      <c r="M449" s="2" t="s">
        <v>69</v>
      </c>
      <c r="N449" s="2" t="s">
        <v>60</v>
      </c>
      <c r="O449" s="2">
        <v>106574.66</v>
      </c>
      <c r="P449" s="2">
        <v>79.7</v>
      </c>
      <c r="Q449" s="2">
        <v>20251.07</v>
      </c>
      <c r="R449" s="2" t="s">
        <v>129</v>
      </c>
      <c r="S449" s="2">
        <v>769</v>
      </c>
      <c r="T449" s="2">
        <v>85</v>
      </c>
      <c r="U449" s="2" t="s">
        <v>83</v>
      </c>
      <c r="V449" s="2" t="s">
        <v>108</v>
      </c>
      <c r="W449" s="2">
        <v>3</v>
      </c>
      <c r="X449" s="2">
        <v>3.7</v>
      </c>
    </row>
    <row r="450" spans="1:24" ht="15" customHeight="1">
      <c r="A450" s="2" t="s">
        <v>1577</v>
      </c>
      <c r="B450" s="2" t="s">
        <v>1578</v>
      </c>
      <c r="C450" s="2">
        <v>8</v>
      </c>
      <c r="D450" s="2" t="s">
        <v>177</v>
      </c>
      <c r="E450" s="2" t="s">
        <v>1579</v>
      </c>
      <c r="F450" s="2" t="s">
        <v>184</v>
      </c>
      <c r="G450" s="2" t="s">
        <v>179</v>
      </c>
      <c r="H450" s="2" t="s">
        <v>58</v>
      </c>
      <c r="I450" s="2" t="s">
        <v>1580</v>
      </c>
      <c r="J450" s="2" t="s">
        <v>81</v>
      </c>
      <c r="K450" s="2" t="s">
        <v>106</v>
      </c>
      <c r="L450" s="2" t="s">
        <v>50</v>
      </c>
      <c r="M450" s="2" t="s">
        <v>35</v>
      </c>
      <c r="N450" s="2" t="s">
        <v>60</v>
      </c>
      <c r="O450" s="2">
        <v>137436.82</v>
      </c>
      <c r="P450" s="2">
        <v>11.4</v>
      </c>
      <c r="Q450" s="2">
        <v>39973.360000000001</v>
      </c>
      <c r="R450" s="2" t="s">
        <v>129</v>
      </c>
      <c r="S450" s="2">
        <v>416</v>
      </c>
      <c r="T450" s="2">
        <v>32</v>
      </c>
      <c r="U450" s="2" t="s">
        <v>83</v>
      </c>
      <c r="V450" s="2" t="s">
        <v>83</v>
      </c>
      <c r="W450" s="2">
        <v>3</v>
      </c>
      <c r="X450" s="2">
        <v>1.1000000000000001</v>
      </c>
    </row>
    <row r="451" spans="1:24" ht="15" customHeight="1">
      <c r="A451" s="2" t="s">
        <v>1581</v>
      </c>
      <c r="B451" s="2" t="s">
        <v>1582</v>
      </c>
      <c r="C451" s="2">
        <v>11</v>
      </c>
      <c r="D451" s="2" t="s">
        <v>93</v>
      </c>
      <c r="E451" s="2" t="s">
        <v>1583</v>
      </c>
      <c r="F451" s="2" t="s">
        <v>88</v>
      </c>
      <c r="G451" s="2" t="s">
        <v>31</v>
      </c>
      <c r="H451" s="2" t="s">
        <v>79</v>
      </c>
      <c r="I451" s="2" t="s">
        <v>357</v>
      </c>
      <c r="J451" s="2" t="s">
        <v>48</v>
      </c>
      <c r="K451" s="2" t="s">
        <v>49</v>
      </c>
      <c r="L451" s="2" t="s">
        <v>50</v>
      </c>
      <c r="M451" s="2" t="s">
        <v>51</v>
      </c>
      <c r="N451" s="2" t="s">
        <v>60</v>
      </c>
      <c r="O451" s="2">
        <v>93821.95</v>
      </c>
      <c r="P451" s="2">
        <v>15.4</v>
      </c>
      <c r="Q451" s="2">
        <v>55080.13</v>
      </c>
      <c r="R451" s="2" t="s">
        <v>52</v>
      </c>
      <c r="S451" s="2">
        <v>393</v>
      </c>
      <c r="T451" s="2">
        <v>23</v>
      </c>
      <c r="U451" s="2" t="s">
        <v>98</v>
      </c>
      <c r="V451" s="2" t="s">
        <v>83</v>
      </c>
      <c r="W451" s="2">
        <v>1</v>
      </c>
      <c r="X451" s="2">
        <v>6.6</v>
      </c>
    </row>
    <row r="452" spans="1:24" ht="15" customHeight="1">
      <c r="A452" s="2" t="s">
        <v>1584</v>
      </c>
      <c r="B452" s="2" t="s">
        <v>1585</v>
      </c>
      <c r="C452" s="2">
        <v>18</v>
      </c>
      <c r="D452" s="2" t="s">
        <v>28</v>
      </c>
      <c r="E452" s="2" t="s">
        <v>1586</v>
      </c>
      <c r="F452" s="2" t="s">
        <v>103</v>
      </c>
      <c r="G452" s="2" t="s">
        <v>217</v>
      </c>
      <c r="H452" s="2" t="s">
        <v>152</v>
      </c>
      <c r="I452" s="2" t="s">
        <v>380</v>
      </c>
      <c r="J452" s="2" t="s">
        <v>113</v>
      </c>
      <c r="K452" s="2" t="s">
        <v>147</v>
      </c>
      <c r="L452" s="2" t="s">
        <v>115</v>
      </c>
      <c r="M452" s="2" t="s">
        <v>0</v>
      </c>
      <c r="N452" s="2" t="s">
        <v>60</v>
      </c>
      <c r="O452" s="2">
        <v>146257.60000000001</v>
      </c>
      <c r="P452" s="2">
        <v>70.900000000000006</v>
      </c>
      <c r="Q452" s="2">
        <v>34526.04</v>
      </c>
      <c r="R452" s="2" t="s">
        <v>71</v>
      </c>
      <c r="S452" s="2">
        <v>377</v>
      </c>
      <c r="T452" s="2">
        <v>82</v>
      </c>
      <c r="U452" s="2" t="s">
        <v>83</v>
      </c>
      <c r="V452" s="2" t="s">
        <v>38</v>
      </c>
      <c r="W452" s="2">
        <v>5</v>
      </c>
      <c r="X452" s="2">
        <v>4</v>
      </c>
    </row>
    <row r="453" spans="1:24" ht="15" customHeight="1">
      <c r="A453" s="2" t="s">
        <v>1587</v>
      </c>
      <c r="B453" s="2" t="s">
        <v>1588</v>
      </c>
      <c r="C453" s="2">
        <v>22</v>
      </c>
      <c r="D453" s="2" t="s">
        <v>28</v>
      </c>
      <c r="E453" s="2" t="s">
        <v>249</v>
      </c>
      <c r="F453" s="2" t="s">
        <v>77</v>
      </c>
      <c r="G453" s="2" t="s">
        <v>190</v>
      </c>
      <c r="H453" s="2" t="s">
        <v>79</v>
      </c>
      <c r="I453" s="2" t="s">
        <v>1589</v>
      </c>
      <c r="J453" s="2" t="s">
        <v>128</v>
      </c>
      <c r="K453" s="2" t="s">
        <v>67</v>
      </c>
      <c r="L453" s="2" t="s">
        <v>68</v>
      </c>
      <c r="M453" s="2" t="s">
        <v>69</v>
      </c>
      <c r="N453" s="2" t="s">
        <v>70</v>
      </c>
      <c r="O453" s="2">
        <v>16592.98</v>
      </c>
      <c r="P453" s="2">
        <v>58.7</v>
      </c>
      <c r="Q453" s="2">
        <v>719.94</v>
      </c>
      <c r="R453" s="2" t="s">
        <v>82</v>
      </c>
      <c r="S453" s="2">
        <v>626</v>
      </c>
      <c r="T453" s="2">
        <v>92</v>
      </c>
      <c r="U453" s="2" t="s">
        <v>122</v>
      </c>
      <c r="V453" s="2" t="s">
        <v>73</v>
      </c>
      <c r="W453" s="2">
        <v>3</v>
      </c>
      <c r="X453" s="2">
        <v>6.8</v>
      </c>
    </row>
    <row r="454" spans="1:24" ht="15" customHeight="1">
      <c r="A454" s="2" t="s">
        <v>1590</v>
      </c>
      <c r="B454" s="2" t="s">
        <v>1591</v>
      </c>
      <c r="C454" s="2">
        <v>37</v>
      </c>
      <c r="D454" s="2" t="s">
        <v>171</v>
      </c>
      <c r="E454" s="2" t="s">
        <v>418</v>
      </c>
      <c r="F454" s="2" t="s">
        <v>167</v>
      </c>
      <c r="G454" s="2" t="s">
        <v>78</v>
      </c>
      <c r="H454" s="2" t="s">
        <v>32</v>
      </c>
      <c r="I454" s="2" t="s">
        <v>1592</v>
      </c>
      <c r="J454" s="2" t="s">
        <v>113</v>
      </c>
      <c r="K454" s="2" t="s">
        <v>67</v>
      </c>
      <c r="L454" s="2" t="s">
        <v>68</v>
      </c>
      <c r="M454" s="2" t="s">
        <v>51</v>
      </c>
      <c r="N454" s="2" t="s">
        <v>70</v>
      </c>
      <c r="O454" s="2">
        <v>72225.460000000006</v>
      </c>
      <c r="P454" s="2">
        <v>38.9</v>
      </c>
      <c r="Q454" s="2">
        <v>8524.9699999999993</v>
      </c>
      <c r="R454" s="2" t="s">
        <v>158</v>
      </c>
      <c r="S454" s="2">
        <v>325</v>
      </c>
      <c r="T454" s="2">
        <v>81</v>
      </c>
      <c r="U454" s="2" t="s">
        <v>39</v>
      </c>
      <c r="V454" s="2" t="s">
        <v>38</v>
      </c>
      <c r="W454" s="2">
        <v>1</v>
      </c>
      <c r="X454" s="2">
        <v>4.2</v>
      </c>
    </row>
    <row r="455" spans="1:24" ht="15" customHeight="1">
      <c r="A455" s="2" t="s">
        <v>1593</v>
      </c>
      <c r="B455" s="2" t="s">
        <v>1594</v>
      </c>
      <c r="C455" s="2">
        <v>15</v>
      </c>
      <c r="D455" s="2" t="s">
        <v>101</v>
      </c>
      <c r="E455" s="2" t="s">
        <v>900</v>
      </c>
      <c r="F455" s="2" t="s">
        <v>95</v>
      </c>
      <c r="G455" s="2" t="s">
        <v>45</v>
      </c>
      <c r="H455" s="2" t="s">
        <v>79</v>
      </c>
      <c r="I455" s="2" t="s">
        <v>380</v>
      </c>
      <c r="J455" s="2" t="s">
        <v>113</v>
      </c>
      <c r="K455" s="2" t="s">
        <v>114</v>
      </c>
      <c r="L455" s="2" t="s">
        <v>115</v>
      </c>
      <c r="M455" s="2" t="s">
        <v>51</v>
      </c>
      <c r="N455" s="2" t="s">
        <v>36</v>
      </c>
      <c r="O455" s="2">
        <v>45262.09</v>
      </c>
      <c r="P455" s="2">
        <v>50.5</v>
      </c>
      <c r="Q455" s="2">
        <v>29948.21</v>
      </c>
      <c r="R455" s="2" t="s">
        <v>138</v>
      </c>
      <c r="S455" s="2">
        <v>799</v>
      </c>
      <c r="T455" s="2">
        <v>15</v>
      </c>
      <c r="U455" s="2" t="s">
        <v>72</v>
      </c>
      <c r="V455" s="2" t="s">
        <v>122</v>
      </c>
      <c r="W455" s="2">
        <v>4</v>
      </c>
      <c r="X455" s="2">
        <v>5.7</v>
      </c>
    </row>
    <row r="456" spans="1:24" ht="15" customHeight="1">
      <c r="A456" s="2" t="s">
        <v>1595</v>
      </c>
      <c r="B456" s="2" t="s">
        <v>1596</v>
      </c>
      <c r="C456" s="2">
        <v>37</v>
      </c>
      <c r="D456" s="2" t="s">
        <v>118</v>
      </c>
      <c r="E456" s="2" t="s">
        <v>102</v>
      </c>
      <c r="F456" s="2" t="s">
        <v>77</v>
      </c>
      <c r="G456" s="2" t="s">
        <v>217</v>
      </c>
      <c r="H456" s="2" t="s">
        <v>173</v>
      </c>
      <c r="I456" s="2" t="s">
        <v>1597</v>
      </c>
      <c r="J456" s="2" t="s">
        <v>81</v>
      </c>
      <c r="K456" s="2" t="s">
        <v>67</v>
      </c>
      <c r="L456" s="2" t="s">
        <v>68</v>
      </c>
      <c r="M456" s="2" t="s">
        <v>35</v>
      </c>
      <c r="N456" s="2" t="s">
        <v>70</v>
      </c>
      <c r="O456" s="2">
        <v>54459.1</v>
      </c>
      <c r="P456" s="2">
        <v>56.6</v>
      </c>
      <c r="Q456" s="2">
        <v>7688.01</v>
      </c>
      <c r="R456" s="2" t="s">
        <v>107</v>
      </c>
      <c r="S456" s="2" t="s">
        <v>195</v>
      </c>
      <c r="T456" s="2">
        <v>94</v>
      </c>
      <c r="U456" s="2" t="s">
        <v>39</v>
      </c>
      <c r="V456" s="2" t="s">
        <v>122</v>
      </c>
      <c r="W456" s="2">
        <v>2</v>
      </c>
      <c r="X456" s="2">
        <v>8.1999999999999993</v>
      </c>
    </row>
    <row r="457" spans="1:24" ht="15" customHeight="1">
      <c r="A457" s="2" t="s">
        <v>1598</v>
      </c>
      <c r="B457" s="2" t="s">
        <v>1599</v>
      </c>
      <c r="C457" s="2">
        <v>36</v>
      </c>
      <c r="D457" s="2" t="s">
        <v>171</v>
      </c>
      <c r="E457" s="2" t="s">
        <v>1600</v>
      </c>
      <c r="F457" s="2" t="s">
        <v>88</v>
      </c>
      <c r="G457" s="2" t="s">
        <v>78</v>
      </c>
      <c r="H457" s="2" t="s">
        <v>79</v>
      </c>
      <c r="I457" s="2" t="s">
        <v>1601</v>
      </c>
      <c r="J457" s="2" t="s">
        <v>48</v>
      </c>
      <c r="K457" s="2" t="s">
        <v>67</v>
      </c>
      <c r="L457" s="2" t="s">
        <v>68</v>
      </c>
      <c r="M457" s="2" t="s">
        <v>51</v>
      </c>
      <c r="N457" s="2" t="s">
        <v>60</v>
      </c>
      <c r="O457" s="2">
        <v>75845.25</v>
      </c>
      <c r="P457" s="2">
        <v>6.5</v>
      </c>
      <c r="Q457" s="2">
        <v>30657.63</v>
      </c>
      <c r="R457" s="2" t="s">
        <v>97</v>
      </c>
      <c r="S457" s="2">
        <v>451</v>
      </c>
      <c r="T457" s="2">
        <v>20</v>
      </c>
      <c r="U457" s="2" t="s">
        <v>73</v>
      </c>
      <c r="V457" s="2" t="s">
        <v>72</v>
      </c>
      <c r="W457" s="2">
        <v>4</v>
      </c>
      <c r="X457" s="2">
        <v>3.8</v>
      </c>
    </row>
    <row r="458" spans="1:24" ht="15" customHeight="1">
      <c r="A458" s="2" t="s">
        <v>1602</v>
      </c>
      <c r="B458" s="2" t="s">
        <v>1603</v>
      </c>
      <c r="C458" s="2">
        <v>15</v>
      </c>
      <c r="D458" s="2" t="s">
        <v>188</v>
      </c>
      <c r="E458" s="2" t="s">
        <v>1604</v>
      </c>
      <c r="F458" s="2" t="s">
        <v>167</v>
      </c>
      <c r="G458" s="2" t="s">
        <v>162</v>
      </c>
      <c r="H458" s="2" t="s">
        <v>173</v>
      </c>
      <c r="I458" s="2" t="s">
        <v>1605</v>
      </c>
      <c r="J458" s="2" t="s">
        <v>128</v>
      </c>
      <c r="K458" s="2" t="s">
        <v>114</v>
      </c>
      <c r="L458" s="2" t="s">
        <v>115</v>
      </c>
      <c r="M458" s="2" t="s">
        <v>51</v>
      </c>
      <c r="N458" s="2" t="s">
        <v>70</v>
      </c>
      <c r="O458" s="2">
        <v>92691.8</v>
      </c>
      <c r="P458" s="2">
        <v>66.8</v>
      </c>
      <c r="Q458" s="2">
        <v>38750.49</v>
      </c>
      <c r="R458" s="2"/>
      <c r="S458" s="2">
        <v>423</v>
      </c>
      <c r="T458" s="2">
        <v>15</v>
      </c>
      <c r="U458" s="2" t="s">
        <v>122</v>
      </c>
      <c r="V458" s="2" t="s">
        <v>98</v>
      </c>
      <c r="W458" s="2">
        <v>4</v>
      </c>
      <c r="X458" s="2">
        <v>6.5</v>
      </c>
    </row>
    <row r="459" spans="1:24" ht="15" customHeight="1">
      <c r="A459" s="2" t="s">
        <v>1606</v>
      </c>
      <c r="B459" s="2" t="s">
        <v>1607</v>
      </c>
      <c r="C459" s="2">
        <v>19</v>
      </c>
      <c r="D459" s="2" t="s">
        <v>86</v>
      </c>
      <c r="E459" s="2" t="s">
        <v>1608</v>
      </c>
      <c r="F459" s="2" t="s">
        <v>95</v>
      </c>
      <c r="G459" s="2" t="s">
        <v>31</v>
      </c>
      <c r="H459" s="2" t="s">
        <v>173</v>
      </c>
      <c r="I459" s="2" t="s">
        <v>1372</v>
      </c>
      <c r="J459" s="2" t="s">
        <v>81</v>
      </c>
      <c r="K459" s="2" t="s">
        <v>147</v>
      </c>
      <c r="L459" s="2" t="s">
        <v>115</v>
      </c>
      <c r="M459" s="2" t="s">
        <v>35</v>
      </c>
      <c r="N459" s="2" t="s">
        <v>70</v>
      </c>
      <c r="O459" s="2">
        <v>20623.009999999998</v>
      </c>
      <c r="P459" s="2">
        <v>25.7</v>
      </c>
      <c r="Q459" s="2">
        <v>42377.8</v>
      </c>
      <c r="R459" s="2" t="s">
        <v>158</v>
      </c>
      <c r="S459" s="2">
        <v>466</v>
      </c>
      <c r="T459" s="2">
        <v>82</v>
      </c>
      <c r="U459" s="2" t="s">
        <v>108</v>
      </c>
      <c r="V459" s="2" t="s">
        <v>122</v>
      </c>
      <c r="W459" s="2">
        <v>5</v>
      </c>
      <c r="X459" s="2">
        <v>4.5999999999999996</v>
      </c>
    </row>
    <row r="460" spans="1:24" ht="15" customHeight="1">
      <c r="A460" s="2" t="s">
        <v>1609</v>
      </c>
      <c r="B460" s="2" t="s">
        <v>1610</v>
      </c>
      <c r="C460" s="2">
        <v>30</v>
      </c>
      <c r="D460" s="2" t="s">
        <v>118</v>
      </c>
      <c r="E460" s="2" t="s">
        <v>393</v>
      </c>
      <c r="F460" s="2" t="s">
        <v>95</v>
      </c>
      <c r="G460" s="2" t="s">
        <v>217</v>
      </c>
      <c r="H460" s="2" t="s">
        <v>173</v>
      </c>
      <c r="I460" s="2" t="s">
        <v>1611</v>
      </c>
      <c r="J460" s="2" t="s">
        <v>128</v>
      </c>
      <c r="K460" s="2" t="s">
        <v>67</v>
      </c>
      <c r="L460" s="2" t="s">
        <v>68</v>
      </c>
      <c r="M460" s="2" t="s">
        <v>51</v>
      </c>
      <c r="N460" s="2" t="s">
        <v>36</v>
      </c>
      <c r="O460" s="2">
        <v>13099.58</v>
      </c>
      <c r="P460" s="2">
        <v>14.9</v>
      </c>
      <c r="Q460" s="2">
        <v>3832.67</v>
      </c>
      <c r="R460" s="2" t="s">
        <v>52</v>
      </c>
      <c r="S460" s="2">
        <v>455</v>
      </c>
      <c r="T460" s="2">
        <v>41</v>
      </c>
      <c r="U460" s="2" t="s">
        <v>108</v>
      </c>
      <c r="V460" s="2" t="s">
        <v>38</v>
      </c>
      <c r="W460" s="2">
        <v>3</v>
      </c>
      <c r="X460" s="2">
        <v>1.2</v>
      </c>
    </row>
    <row r="461" spans="1:24" ht="15" customHeight="1">
      <c r="A461" s="2" t="s">
        <v>1612</v>
      </c>
      <c r="B461" s="2" t="s">
        <v>1613</v>
      </c>
      <c r="C461" s="2">
        <v>31</v>
      </c>
      <c r="D461" s="2" t="s">
        <v>55</v>
      </c>
      <c r="E461" s="2" t="s">
        <v>1209</v>
      </c>
      <c r="F461" s="2" t="s">
        <v>95</v>
      </c>
      <c r="G461" s="2" t="s">
        <v>217</v>
      </c>
      <c r="H461" s="2" t="s">
        <v>46</v>
      </c>
      <c r="I461" s="2" t="s">
        <v>1614</v>
      </c>
      <c r="J461" s="2" t="s">
        <v>90</v>
      </c>
      <c r="K461" s="2" t="s">
        <v>67</v>
      </c>
      <c r="L461" s="2" t="s">
        <v>68</v>
      </c>
      <c r="M461" s="2" t="s">
        <v>51</v>
      </c>
      <c r="N461" s="2" t="s">
        <v>60</v>
      </c>
      <c r="O461" s="2">
        <v>39693.480000000003</v>
      </c>
      <c r="P461" s="2">
        <v>46.8</v>
      </c>
      <c r="Q461" s="2">
        <v>3148.99</v>
      </c>
      <c r="R461" s="2" t="s">
        <v>148</v>
      </c>
      <c r="S461" s="2">
        <v>790</v>
      </c>
      <c r="T461" s="2">
        <v>56</v>
      </c>
      <c r="U461" s="2" t="s">
        <v>83</v>
      </c>
      <c r="V461" s="2" t="s">
        <v>122</v>
      </c>
      <c r="W461" s="2">
        <v>3</v>
      </c>
      <c r="X461" s="2">
        <v>3.8</v>
      </c>
    </row>
    <row r="462" spans="1:24" ht="15" customHeight="1">
      <c r="A462" s="2" t="s">
        <v>1615</v>
      </c>
      <c r="B462" s="2" t="s">
        <v>1616</v>
      </c>
      <c r="C462" s="2">
        <v>38</v>
      </c>
      <c r="D462" s="2" t="s">
        <v>177</v>
      </c>
      <c r="E462" s="2" t="s">
        <v>1617</v>
      </c>
      <c r="F462" s="2" t="s">
        <v>95</v>
      </c>
      <c r="G462" s="2" t="s">
        <v>31</v>
      </c>
      <c r="H462" s="2" t="s">
        <v>245</v>
      </c>
      <c r="I462" s="2" t="s">
        <v>1618</v>
      </c>
      <c r="J462" s="2" t="s">
        <v>34</v>
      </c>
      <c r="K462" s="2" t="s">
        <v>67</v>
      </c>
      <c r="L462" s="2" t="s">
        <v>68</v>
      </c>
      <c r="M462" s="2" t="s">
        <v>69</v>
      </c>
      <c r="N462" s="2" t="s">
        <v>36</v>
      </c>
      <c r="O462" s="2">
        <v>16690.98</v>
      </c>
      <c r="P462" s="2">
        <v>43.2</v>
      </c>
      <c r="Q462" s="2">
        <v>49742.2</v>
      </c>
      <c r="R462" s="2" t="s">
        <v>138</v>
      </c>
      <c r="S462" s="2">
        <v>455</v>
      </c>
      <c r="T462" s="2">
        <v>160</v>
      </c>
      <c r="U462" s="2" t="s">
        <v>38</v>
      </c>
      <c r="V462" s="2" t="s">
        <v>73</v>
      </c>
      <c r="W462" s="2">
        <v>2</v>
      </c>
      <c r="X462" s="2">
        <v>7.6</v>
      </c>
    </row>
    <row r="463" spans="1:24" ht="15" customHeight="1">
      <c r="A463" s="2" t="s">
        <v>1619</v>
      </c>
      <c r="B463" s="2" t="s">
        <v>1620</v>
      </c>
      <c r="C463" s="2">
        <v>18</v>
      </c>
      <c r="D463" s="2" t="s">
        <v>42</v>
      </c>
      <c r="E463" s="2" t="s">
        <v>1182</v>
      </c>
      <c r="F463" s="2" t="s">
        <v>77</v>
      </c>
      <c r="G463" s="2" t="s">
        <v>45</v>
      </c>
      <c r="H463" s="2" t="s">
        <v>245</v>
      </c>
      <c r="I463" s="2" t="s">
        <v>1333</v>
      </c>
      <c r="J463" s="2" t="s">
        <v>34</v>
      </c>
      <c r="K463" s="2" t="s">
        <v>147</v>
      </c>
      <c r="L463" s="2" t="s">
        <v>115</v>
      </c>
      <c r="M463" s="2" t="s">
        <v>0</v>
      </c>
      <c r="N463" s="2" t="s">
        <v>60</v>
      </c>
      <c r="O463" s="2">
        <v>112707.94</v>
      </c>
      <c r="P463" s="2">
        <v>20</v>
      </c>
      <c r="Q463" s="2">
        <v>34212.42</v>
      </c>
      <c r="R463" s="2" t="s">
        <v>37</v>
      </c>
      <c r="S463" s="2">
        <v>519</v>
      </c>
      <c r="T463" s="2">
        <v>77</v>
      </c>
      <c r="U463" s="2" t="s">
        <v>73</v>
      </c>
      <c r="V463" s="2" t="s">
        <v>83</v>
      </c>
      <c r="W463" s="2">
        <v>5</v>
      </c>
      <c r="X463" s="2">
        <v>8.1</v>
      </c>
    </row>
    <row r="464" spans="1:24" ht="15" customHeight="1">
      <c r="A464" s="2" t="s">
        <v>1621</v>
      </c>
      <c r="B464" s="2" t="s">
        <v>1622</v>
      </c>
      <c r="C464" s="2">
        <v>7</v>
      </c>
      <c r="D464" s="2" t="s">
        <v>188</v>
      </c>
      <c r="E464" s="2" t="s">
        <v>1569</v>
      </c>
      <c r="F464" s="2" t="s">
        <v>57</v>
      </c>
      <c r="G464" s="2" t="s">
        <v>96</v>
      </c>
      <c r="H464" s="2" t="s">
        <v>104</v>
      </c>
      <c r="I464" s="2" t="s">
        <v>1102</v>
      </c>
      <c r="J464" s="2" t="s">
        <v>113</v>
      </c>
      <c r="K464" s="2" t="s">
        <v>106</v>
      </c>
      <c r="L464" s="2" t="s">
        <v>50</v>
      </c>
      <c r="M464" s="2" t="s">
        <v>51</v>
      </c>
      <c r="N464" s="2" t="s">
        <v>60</v>
      </c>
      <c r="O464" s="2">
        <v>138518.75</v>
      </c>
      <c r="P464" s="2">
        <v>49.8</v>
      </c>
      <c r="Q464" s="2">
        <v>47700.19</v>
      </c>
      <c r="R464" s="2" t="s">
        <v>148</v>
      </c>
      <c r="S464" s="2">
        <v>379</v>
      </c>
      <c r="T464" s="2">
        <v>0</v>
      </c>
      <c r="U464" s="2" t="s">
        <v>108</v>
      </c>
      <c r="V464" s="2" t="s">
        <v>122</v>
      </c>
      <c r="W464" s="2">
        <v>1</v>
      </c>
      <c r="X464" s="2">
        <v>3.1</v>
      </c>
    </row>
    <row r="465" spans="1:24" ht="15" customHeight="1">
      <c r="A465" s="2" t="s">
        <v>1623</v>
      </c>
      <c r="B465" s="2" t="s">
        <v>1624</v>
      </c>
      <c r="C465" s="2">
        <v>16</v>
      </c>
      <c r="D465" s="2" t="s">
        <v>93</v>
      </c>
      <c r="E465" s="2" t="s">
        <v>1196</v>
      </c>
      <c r="F465" s="2" t="s">
        <v>167</v>
      </c>
      <c r="G465" s="2" t="s">
        <v>179</v>
      </c>
      <c r="H465" s="2" t="s">
        <v>173</v>
      </c>
      <c r="I465" s="2" t="s">
        <v>254</v>
      </c>
      <c r="J465" s="2" t="s">
        <v>128</v>
      </c>
      <c r="K465" s="2" t="s">
        <v>114</v>
      </c>
      <c r="L465" s="2" t="s">
        <v>115</v>
      </c>
      <c r="M465" s="2" t="s">
        <v>51</v>
      </c>
      <c r="N465" s="2" t="s">
        <v>70</v>
      </c>
      <c r="O465" s="2">
        <v>25566.52</v>
      </c>
      <c r="P465" s="2">
        <v>74.900000000000006</v>
      </c>
      <c r="Q465" s="2">
        <v>58996.98</v>
      </c>
      <c r="R465" s="2" t="s">
        <v>71</v>
      </c>
      <c r="S465" s="2">
        <v>331</v>
      </c>
      <c r="T465" s="2">
        <v>121</v>
      </c>
      <c r="U465" s="2" t="s">
        <v>108</v>
      </c>
      <c r="V465" s="2" t="s">
        <v>108</v>
      </c>
      <c r="W465" s="2">
        <v>2</v>
      </c>
      <c r="X465" s="2">
        <v>4.4000000000000004</v>
      </c>
    </row>
    <row r="466" spans="1:24" ht="15" customHeight="1">
      <c r="A466" s="2" t="s">
        <v>1625</v>
      </c>
      <c r="B466" s="2" t="s">
        <v>1626</v>
      </c>
      <c r="C466" s="2">
        <v>23</v>
      </c>
      <c r="D466" s="2" t="s">
        <v>188</v>
      </c>
      <c r="E466" s="2" t="s">
        <v>1627</v>
      </c>
      <c r="F466" s="2" t="s">
        <v>103</v>
      </c>
      <c r="G466" s="2" t="s">
        <v>31</v>
      </c>
      <c r="H466" s="2" t="s">
        <v>79</v>
      </c>
      <c r="I466" s="2" t="s">
        <v>1628</v>
      </c>
      <c r="J466" s="2" t="s">
        <v>90</v>
      </c>
      <c r="K466" s="2" t="s">
        <v>67</v>
      </c>
      <c r="L466" s="2" t="s">
        <v>68</v>
      </c>
      <c r="M466" s="2" t="s">
        <v>35</v>
      </c>
      <c r="N466" s="2" t="s">
        <v>70</v>
      </c>
      <c r="O466" s="2">
        <v>64801.52</v>
      </c>
      <c r="P466" s="2">
        <v>48.3</v>
      </c>
      <c r="Q466" s="2">
        <v>2642.02</v>
      </c>
      <c r="R466" s="2" t="s">
        <v>61</v>
      </c>
      <c r="S466" s="2">
        <v>588</v>
      </c>
      <c r="T466" s="2">
        <v>51</v>
      </c>
      <c r="U466" s="2" t="s">
        <v>72</v>
      </c>
      <c r="V466" s="2" t="s">
        <v>39</v>
      </c>
      <c r="W466" s="2">
        <v>2</v>
      </c>
      <c r="X466" s="2">
        <v>6.4</v>
      </c>
    </row>
    <row r="467" spans="1:24" ht="15" customHeight="1">
      <c r="A467" s="2" t="s">
        <v>1629</v>
      </c>
      <c r="B467" s="2" t="s">
        <v>1630</v>
      </c>
      <c r="C467" s="2">
        <v>8</v>
      </c>
      <c r="D467" s="2" t="s">
        <v>171</v>
      </c>
      <c r="E467" s="2" t="s">
        <v>1631</v>
      </c>
      <c r="F467" s="2" t="s">
        <v>103</v>
      </c>
      <c r="G467" s="2" t="s">
        <v>78</v>
      </c>
      <c r="H467" s="2" t="s">
        <v>245</v>
      </c>
      <c r="I467" s="2" t="s">
        <v>1632</v>
      </c>
      <c r="J467" s="2" t="s">
        <v>113</v>
      </c>
      <c r="K467" s="2" t="s">
        <v>106</v>
      </c>
      <c r="L467" s="2" t="s">
        <v>50</v>
      </c>
      <c r="M467" s="2" t="s">
        <v>51</v>
      </c>
      <c r="N467" s="2" t="s">
        <v>70</v>
      </c>
      <c r="O467" s="2">
        <v>100497.19</v>
      </c>
      <c r="P467" s="2">
        <v>46.3</v>
      </c>
      <c r="Q467" s="2">
        <v>8741.74</v>
      </c>
      <c r="R467" s="2" t="s">
        <v>37</v>
      </c>
      <c r="S467" s="2">
        <v>716</v>
      </c>
      <c r="T467" s="2">
        <v>102</v>
      </c>
      <c r="U467" s="2" t="s">
        <v>73</v>
      </c>
      <c r="V467" s="2" t="s">
        <v>38</v>
      </c>
      <c r="W467" s="2">
        <v>2</v>
      </c>
      <c r="X467" s="2">
        <v>7.4</v>
      </c>
    </row>
    <row r="468" spans="1:24" ht="15" customHeight="1">
      <c r="A468" s="2" t="s">
        <v>1633</v>
      </c>
      <c r="B468" s="2" t="s">
        <v>1634</v>
      </c>
      <c r="C468" s="2">
        <v>40</v>
      </c>
      <c r="D468" s="2" t="s">
        <v>42</v>
      </c>
      <c r="E468" s="2" t="s">
        <v>1635</v>
      </c>
      <c r="F468" s="2" t="s">
        <v>30</v>
      </c>
      <c r="G468" s="2" t="s">
        <v>190</v>
      </c>
      <c r="H468" s="2" t="s">
        <v>79</v>
      </c>
      <c r="I468" s="2" t="s">
        <v>656</v>
      </c>
      <c r="J468" s="2" t="s">
        <v>113</v>
      </c>
      <c r="K468" s="2" t="s">
        <v>67</v>
      </c>
      <c r="L468" s="2" t="s">
        <v>68</v>
      </c>
      <c r="M468" s="2" t="s">
        <v>51</v>
      </c>
      <c r="N468" s="2" t="s">
        <v>60</v>
      </c>
      <c r="O468" s="2">
        <v>134012.43</v>
      </c>
      <c r="P468" s="2">
        <v>73.900000000000006</v>
      </c>
      <c r="Q468" s="2">
        <v>58962.85</v>
      </c>
      <c r="R468" s="2" t="s">
        <v>61</v>
      </c>
      <c r="S468" s="2">
        <v>853</v>
      </c>
      <c r="T468" s="2">
        <v>190</v>
      </c>
      <c r="U468" s="2" t="s">
        <v>83</v>
      </c>
      <c r="V468" s="2" t="s">
        <v>98</v>
      </c>
      <c r="W468" s="2">
        <v>1</v>
      </c>
      <c r="X468" s="2">
        <v>7.5</v>
      </c>
    </row>
    <row r="469" spans="1:24" ht="15" customHeight="1">
      <c r="A469" s="2" t="s">
        <v>1636</v>
      </c>
      <c r="B469" s="2" t="s">
        <v>1637</v>
      </c>
      <c r="C469" s="2">
        <v>40</v>
      </c>
      <c r="D469" s="2" t="s">
        <v>55</v>
      </c>
      <c r="E469" s="2" t="s">
        <v>1243</v>
      </c>
      <c r="F469" s="2" t="s">
        <v>44</v>
      </c>
      <c r="G469" s="2" t="s">
        <v>190</v>
      </c>
      <c r="H469" s="2" t="s">
        <v>46</v>
      </c>
      <c r="I469" s="2" t="s">
        <v>1638</v>
      </c>
      <c r="J469" s="2" t="s">
        <v>113</v>
      </c>
      <c r="K469" s="2" t="s">
        <v>67</v>
      </c>
      <c r="L469" s="2" t="s">
        <v>68</v>
      </c>
      <c r="M469" s="2" t="s">
        <v>35</v>
      </c>
      <c r="N469" s="2" t="s">
        <v>70</v>
      </c>
      <c r="O469" s="2">
        <v>84525.35</v>
      </c>
      <c r="P469" s="2">
        <v>54.3</v>
      </c>
      <c r="Q469" s="2">
        <v>23567.98</v>
      </c>
      <c r="R469" s="2" t="s">
        <v>37</v>
      </c>
      <c r="S469" s="2">
        <v>717</v>
      </c>
      <c r="T469" s="2">
        <v>27</v>
      </c>
      <c r="U469" s="2" t="s">
        <v>98</v>
      </c>
      <c r="V469" s="2" t="s">
        <v>83</v>
      </c>
      <c r="W469" s="2">
        <v>1</v>
      </c>
      <c r="X469" s="2">
        <v>8.1</v>
      </c>
    </row>
    <row r="470" spans="1:24" ht="15" customHeight="1">
      <c r="A470" s="2" t="s">
        <v>1639</v>
      </c>
      <c r="B470" s="2" t="s">
        <v>1640</v>
      </c>
      <c r="C470" s="2">
        <v>37</v>
      </c>
      <c r="D470" s="2" t="s">
        <v>93</v>
      </c>
      <c r="E470" s="2" t="s">
        <v>1466</v>
      </c>
      <c r="F470" s="2" t="s">
        <v>77</v>
      </c>
      <c r="G470" s="2" t="s">
        <v>78</v>
      </c>
      <c r="H470" s="2" t="s">
        <v>58</v>
      </c>
      <c r="I470" s="2" t="s">
        <v>380</v>
      </c>
      <c r="J470" s="2" t="s">
        <v>34</v>
      </c>
      <c r="K470" s="2" t="s">
        <v>67</v>
      </c>
      <c r="L470" s="2" t="s">
        <v>68</v>
      </c>
      <c r="M470" s="2" t="s">
        <v>0</v>
      </c>
      <c r="N470" s="2" t="s">
        <v>60</v>
      </c>
      <c r="O470" s="2">
        <v>35027.67</v>
      </c>
      <c r="P470" s="2">
        <v>56</v>
      </c>
      <c r="Q470" s="2">
        <v>4021.31</v>
      </c>
      <c r="R470" s="2" t="s">
        <v>138</v>
      </c>
      <c r="S470" s="2">
        <v>732</v>
      </c>
      <c r="T470" s="2">
        <v>169</v>
      </c>
      <c r="U470" s="2" t="s">
        <v>72</v>
      </c>
      <c r="V470" s="2" t="s">
        <v>38</v>
      </c>
      <c r="W470" s="2">
        <v>4</v>
      </c>
      <c r="X470" s="2">
        <v>3.7</v>
      </c>
    </row>
    <row r="471" spans="1:24" ht="15" customHeight="1">
      <c r="A471" s="2" t="s">
        <v>1641</v>
      </c>
      <c r="B471" s="2" t="s">
        <v>1642</v>
      </c>
      <c r="C471" s="2">
        <v>36</v>
      </c>
      <c r="D471" s="2" t="s">
        <v>118</v>
      </c>
      <c r="E471" s="2" t="s">
        <v>805</v>
      </c>
      <c r="F471" s="2" t="s">
        <v>103</v>
      </c>
      <c r="G471" s="2" t="s">
        <v>96</v>
      </c>
      <c r="H471" s="2" t="s">
        <v>173</v>
      </c>
      <c r="I471" s="2" t="s">
        <v>1643</v>
      </c>
      <c r="J471" s="2" t="s">
        <v>113</v>
      </c>
      <c r="K471" s="2" t="s">
        <v>67</v>
      </c>
      <c r="L471" s="2" t="s">
        <v>68</v>
      </c>
      <c r="M471" s="2" t="s">
        <v>51</v>
      </c>
      <c r="N471" s="2" t="s">
        <v>70</v>
      </c>
      <c r="O471" s="2">
        <v>104845.72</v>
      </c>
      <c r="P471" s="2">
        <v>31.3</v>
      </c>
      <c r="Q471" s="2">
        <v>58281.74</v>
      </c>
      <c r="R471" s="2" t="s">
        <v>138</v>
      </c>
      <c r="S471" s="2">
        <v>689</v>
      </c>
      <c r="T471" s="2">
        <v>124</v>
      </c>
      <c r="U471" s="2" t="s">
        <v>98</v>
      </c>
      <c r="V471" s="2" t="s">
        <v>72</v>
      </c>
      <c r="W471" s="2">
        <v>1</v>
      </c>
      <c r="X471" s="2">
        <v>2.6</v>
      </c>
    </row>
    <row r="472" spans="1:24" ht="15" customHeight="1">
      <c r="A472" s="2" t="s">
        <v>1644</v>
      </c>
      <c r="B472" s="2" t="s">
        <v>1645</v>
      </c>
      <c r="C472" s="2">
        <v>12</v>
      </c>
      <c r="D472" s="2" t="s">
        <v>177</v>
      </c>
      <c r="E472" s="2" t="s">
        <v>452</v>
      </c>
      <c r="F472" s="2" t="s">
        <v>167</v>
      </c>
      <c r="G472" s="2" t="s">
        <v>45</v>
      </c>
      <c r="H472" s="2" t="s">
        <v>245</v>
      </c>
      <c r="I472" s="2" t="s">
        <v>590</v>
      </c>
      <c r="J472" s="2" t="s">
        <v>34</v>
      </c>
      <c r="K472" s="2" t="s">
        <v>49</v>
      </c>
      <c r="L472" s="2" t="s">
        <v>50</v>
      </c>
      <c r="M472" s="2" t="s">
        <v>69</v>
      </c>
      <c r="N472" s="2" t="s">
        <v>36</v>
      </c>
      <c r="O472" s="2">
        <v>23615.7</v>
      </c>
      <c r="P472" s="2">
        <v>63.6</v>
      </c>
      <c r="Q472" s="2">
        <v>56132.29</v>
      </c>
      <c r="R472" s="2" t="s">
        <v>138</v>
      </c>
      <c r="S472" s="2">
        <v>814</v>
      </c>
      <c r="T472" s="2">
        <v>70</v>
      </c>
      <c r="U472" s="2" t="s">
        <v>72</v>
      </c>
      <c r="V472" s="2" t="s">
        <v>72</v>
      </c>
      <c r="W472" s="2">
        <v>5</v>
      </c>
      <c r="X472" s="2">
        <v>4.7</v>
      </c>
    </row>
    <row r="473" spans="1:24" ht="15" customHeight="1">
      <c r="A473" s="2" t="s">
        <v>1646</v>
      </c>
      <c r="B473" s="2" t="s">
        <v>1647</v>
      </c>
      <c r="C473" s="2">
        <v>16</v>
      </c>
      <c r="D473" s="2" t="s">
        <v>86</v>
      </c>
      <c r="E473" s="2" t="s">
        <v>249</v>
      </c>
      <c r="F473" s="2" t="s">
        <v>95</v>
      </c>
      <c r="G473" s="2" t="s">
        <v>31</v>
      </c>
      <c r="H473" s="2" t="s">
        <v>79</v>
      </c>
      <c r="I473" s="2" t="s">
        <v>1109</v>
      </c>
      <c r="J473" s="2" t="s">
        <v>34</v>
      </c>
      <c r="K473" s="2" t="s">
        <v>114</v>
      </c>
      <c r="L473" s="2" t="s">
        <v>115</v>
      </c>
      <c r="M473" s="2" t="s">
        <v>35</v>
      </c>
      <c r="N473" s="2" t="s">
        <v>36</v>
      </c>
      <c r="O473" s="2">
        <v>136284.44</v>
      </c>
      <c r="P473" s="2">
        <v>8.3000000000000007</v>
      </c>
      <c r="Q473" s="2">
        <v>10960.67</v>
      </c>
      <c r="R473" s="2" t="s">
        <v>129</v>
      </c>
      <c r="S473" s="2">
        <v>897</v>
      </c>
      <c r="T473" s="2">
        <v>58</v>
      </c>
      <c r="U473" s="2" t="s">
        <v>72</v>
      </c>
      <c r="V473" s="2" t="s">
        <v>83</v>
      </c>
      <c r="W473" s="2">
        <v>2</v>
      </c>
      <c r="X473" s="2">
        <v>1.6</v>
      </c>
    </row>
    <row r="474" spans="1:24" ht="15" customHeight="1">
      <c r="A474" s="2" t="s">
        <v>1648</v>
      </c>
      <c r="B474" s="2" t="s">
        <v>1649</v>
      </c>
      <c r="C474" s="2">
        <v>7</v>
      </c>
      <c r="D474" s="2" t="s">
        <v>177</v>
      </c>
      <c r="E474" s="2" t="s">
        <v>708</v>
      </c>
      <c r="F474" s="2" t="s">
        <v>95</v>
      </c>
      <c r="G474" s="2" t="s">
        <v>162</v>
      </c>
      <c r="H474" s="2" t="s">
        <v>46</v>
      </c>
      <c r="I474" s="2" t="s">
        <v>80</v>
      </c>
      <c r="J474" s="2" t="s">
        <v>113</v>
      </c>
      <c r="K474" s="2" t="s">
        <v>106</v>
      </c>
      <c r="L474" s="2" t="s">
        <v>50</v>
      </c>
      <c r="M474" s="2" t="s">
        <v>51</v>
      </c>
      <c r="N474" s="2" t="s">
        <v>36</v>
      </c>
      <c r="O474" s="2">
        <v>106796.93</v>
      </c>
      <c r="P474" s="2">
        <v>11.5</v>
      </c>
      <c r="Q474" s="2">
        <v>52666.86</v>
      </c>
      <c r="R474" s="2" t="s">
        <v>37</v>
      </c>
      <c r="S474" s="2">
        <v>786</v>
      </c>
      <c r="T474" s="2">
        <v>62</v>
      </c>
      <c r="U474" s="2" t="s">
        <v>108</v>
      </c>
      <c r="V474" s="2" t="s">
        <v>83</v>
      </c>
      <c r="W474" s="2">
        <v>1</v>
      </c>
      <c r="X474" s="2">
        <v>5.3</v>
      </c>
    </row>
    <row r="475" spans="1:24" ht="15" customHeight="1">
      <c r="A475" s="2" t="s">
        <v>1650</v>
      </c>
      <c r="B475" s="2" t="s">
        <v>1651</v>
      </c>
      <c r="C475" s="2">
        <v>40</v>
      </c>
      <c r="D475" s="2" t="s">
        <v>171</v>
      </c>
      <c r="E475" s="2" t="s">
        <v>1014</v>
      </c>
      <c r="F475" s="2" t="s">
        <v>30</v>
      </c>
      <c r="G475" s="2" t="s">
        <v>217</v>
      </c>
      <c r="H475" s="2" t="s">
        <v>32</v>
      </c>
      <c r="I475" s="2" t="s">
        <v>33</v>
      </c>
      <c r="J475" s="2" t="s">
        <v>34</v>
      </c>
      <c r="K475" s="2" t="s">
        <v>67</v>
      </c>
      <c r="L475" s="2" t="s">
        <v>68</v>
      </c>
      <c r="M475" s="2" t="s">
        <v>35</v>
      </c>
      <c r="N475" s="2" t="s">
        <v>36</v>
      </c>
      <c r="O475" s="2"/>
      <c r="P475" s="2">
        <v>9.5</v>
      </c>
      <c r="Q475" s="2">
        <v>47285.23</v>
      </c>
      <c r="R475" s="2" t="s">
        <v>61</v>
      </c>
      <c r="S475" s="2">
        <v>899</v>
      </c>
      <c r="T475" s="2">
        <v>77</v>
      </c>
      <c r="U475" s="2" t="s">
        <v>122</v>
      </c>
      <c r="V475" s="2" t="s">
        <v>98</v>
      </c>
      <c r="W475" s="2">
        <v>2</v>
      </c>
      <c r="X475" s="2">
        <v>2.1</v>
      </c>
    </row>
    <row r="476" spans="1:24" ht="15" customHeight="1">
      <c r="A476" s="2" t="s">
        <v>1652</v>
      </c>
      <c r="B476" s="2" t="s">
        <v>1653</v>
      </c>
      <c r="C476" s="2">
        <v>12</v>
      </c>
      <c r="D476" s="2" t="s">
        <v>118</v>
      </c>
      <c r="E476" s="2" t="s">
        <v>1635</v>
      </c>
      <c r="F476" s="2" t="s">
        <v>184</v>
      </c>
      <c r="G476" s="2" t="s">
        <v>31</v>
      </c>
      <c r="H476" s="2" t="s">
        <v>79</v>
      </c>
      <c r="I476" s="2" t="s">
        <v>271</v>
      </c>
      <c r="J476" s="2" t="s">
        <v>113</v>
      </c>
      <c r="K476" s="2" t="s">
        <v>49</v>
      </c>
      <c r="L476" s="2" t="s">
        <v>50</v>
      </c>
      <c r="M476" s="2" t="s">
        <v>51</v>
      </c>
      <c r="N476" s="2" t="s">
        <v>36</v>
      </c>
      <c r="O476" s="2">
        <v>28886.240000000002</v>
      </c>
      <c r="P476" s="2">
        <v>36</v>
      </c>
      <c r="Q476" s="2">
        <v>37537.410000000003</v>
      </c>
      <c r="R476" s="2" t="s">
        <v>61</v>
      </c>
      <c r="S476" s="2">
        <v>716</v>
      </c>
      <c r="T476" s="2">
        <v>110</v>
      </c>
      <c r="U476" s="2" t="s">
        <v>122</v>
      </c>
      <c r="V476" s="2" t="s">
        <v>72</v>
      </c>
      <c r="W476" s="2">
        <v>2</v>
      </c>
      <c r="X476" s="2">
        <v>6.2</v>
      </c>
    </row>
    <row r="477" spans="1:24" ht="15" customHeight="1">
      <c r="A477" s="2" t="s">
        <v>1654</v>
      </c>
      <c r="B477" s="2" t="s">
        <v>1655</v>
      </c>
      <c r="C477" s="2">
        <v>44</v>
      </c>
      <c r="D477" s="2" t="s">
        <v>101</v>
      </c>
      <c r="E477" s="2" t="s">
        <v>885</v>
      </c>
      <c r="F477" s="2" t="s">
        <v>184</v>
      </c>
      <c r="G477" s="2" t="s">
        <v>179</v>
      </c>
      <c r="H477" s="2" t="s">
        <v>79</v>
      </c>
      <c r="I477" s="2" t="s">
        <v>1656</v>
      </c>
      <c r="J477" s="2" t="s">
        <v>113</v>
      </c>
      <c r="K477" s="2" t="s">
        <v>67</v>
      </c>
      <c r="L477" s="2" t="s">
        <v>68</v>
      </c>
      <c r="M477" s="2" t="s">
        <v>51</v>
      </c>
      <c r="N477" s="2" t="s">
        <v>60</v>
      </c>
      <c r="O477" s="2">
        <v>65510.879999999997</v>
      </c>
      <c r="P477" s="2">
        <v>57.8</v>
      </c>
      <c r="Q477" s="2">
        <v>46622.879999999997</v>
      </c>
      <c r="R477" s="2" t="s">
        <v>82</v>
      </c>
      <c r="S477" s="2">
        <v>678</v>
      </c>
      <c r="T477" s="2">
        <v>71</v>
      </c>
      <c r="U477" s="2" t="s">
        <v>38</v>
      </c>
      <c r="V477" s="2" t="s">
        <v>38</v>
      </c>
      <c r="W477" s="2">
        <v>3</v>
      </c>
      <c r="X477" s="2">
        <v>7.8</v>
      </c>
    </row>
    <row r="478" spans="1:24" ht="15" customHeight="1">
      <c r="A478" s="2" t="s">
        <v>1657</v>
      </c>
      <c r="B478" s="2" t="s">
        <v>1658</v>
      </c>
      <c r="C478" s="2">
        <v>43</v>
      </c>
      <c r="D478" s="2" t="s">
        <v>118</v>
      </c>
      <c r="E478" s="2" t="s">
        <v>1229</v>
      </c>
      <c r="F478" s="2" t="s">
        <v>103</v>
      </c>
      <c r="G478" s="2" t="s">
        <v>96</v>
      </c>
      <c r="H478" s="2" t="s">
        <v>46</v>
      </c>
      <c r="I478" s="2" t="s">
        <v>404</v>
      </c>
      <c r="J478" s="2" t="s">
        <v>128</v>
      </c>
      <c r="K478" s="2" t="s">
        <v>67</v>
      </c>
      <c r="L478" s="2" t="s">
        <v>68</v>
      </c>
      <c r="M478" s="2" t="s">
        <v>51</v>
      </c>
      <c r="N478" s="2" t="s">
        <v>70</v>
      </c>
      <c r="O478" s="2">
        <v>91192.9</v>
      </c>
      <c r="P478" s="2">
        <v>74.5</v>
      </c>
      <c r="Q478" s="2">
        <v>19449.86</v>
      </c>
      <c r="R478" s="2" t="s">
        <v>52</v>
      </c>
      <c r="S478" s="2">
        <v>656</v>
      </c>
      <c r="T478" s="2">
        <v>49</v>
      </c>
      <c r="U478" s="2" t="s">
        <v>73</v>
      </c>
      <c r="V478" s="2" t="s">
        <v>38</v>
      </c>
      <c r="W478" s="2">
        <v>5</v>
      </c>
      <c r="X478" s="2">
        <v>4.0999999999999996</v>
      </c>
    </row>
    <row r="479" spans="1:24" ht="15" customHeight="1">
      <c r="A479" s="2" t="s">
        <v>1659</v>
      </c>
      <c r="B479" s="2" t="s">
        <v>1660</v>
      </c>
      <c r="C479" s="2">
        <v>14</v>
      </c>
      <c r="D479" s="2" t="s">
        <v>28</v>
      </c>
      <c r="E479" s="2" t="s">
        <v>1661</v>
      </c>
      <c r="F479" s="2" t="s">
        <v>88</v>
      </c>
      <c r="G479" s="2" t="s">
        <v>96</v>
      </c>
      <c r="H479" s="2" t="s">
        <v>104</v>
      </c>
      <c r="I479" s="2" t="s">
        <v>1456</v>
      </c>
      <c r="J479" s="2" t="s">
        <v>90</v>
      </c>
      <c r="K479" s="2" t="s">
        <v>114</v>
      </c>
      <c r="L479" s="2" t="s">
        <v>115</v>
      </c>
      <c r="M479" s="2" t="s">
        <v>51</v>
      </c>
      <c r="N479" s="2" t="s">
        <v>36</v>
      </c>
      <c r="O479" s="2">
        <v>40818.93</v>
      </c>
      <c r="P479" s="2">
        <v>52.5</v>
      </c>
      <c r="Q479" s="2">
        <v>20242.32</v>
      </c>
      <c r="R479" s="2" t="s">
        <v>107</v>
      </c>
      <c r="S479" s="2">
        <v>683</v>
      </c>
      <c r="T479" s="2">
        <v>123</v>
      </c>
      <c r="U479" s="2" t="s">
        <v>73</v>
      </c>
      <c r="V479" s="2" t="s">
        <v>39</v>
      </c>
      <c r="W479" s="2">
        <v>3</v>
      </c>
      <c r="X479" s="2">
        <v>5.7</v>
      </c>
    </row>
    <row r="480" spans="1:24" ht="15" customHeight="1">
      <c r="A480" s="2" t="s">
        <v>1662</v>
      </c>
      <c r="B480" s="2" t="s">
        <v>1663</v>
      </c>
      <c r="C480" s="2">
        <v>41</v>
      </c>
      <c r="D480" s="2" t="s">
        <v>188</v>
      </c>
      <c r="E480" s="2" t="s">
        <v>1221</v>
      </c>
      <c r="F480" s="2" t="s">
        <v>77</v>
      </c>
      <c r="G480" s="2" t="s">
        <v>45</v>
      </c>
      <c r="H480" s="2" t="s">
        <v>152</v>
      </c>
      <c r="I480" s="2" t="s">
        <v>1664</v>
      </c>
      <c r="J480" s="2" t="s">
        <v>81</v>
      </c>
      <c r="K480" s="2" t="s">
        <v>67</v>
      </c>
      <c r="L480" s="2" t="s">
        <v>68</v>
      </c>
      <c r="M480" s="2" t="s">
        <v>51</v>
      </c>
      <c r="N480" s="2" t="s">
        <v>60</v>
      </c>
      <c r="O480" s="2">
        <v>147328.76</v>
      </c>
      <c r="P480" s="2">
        <v>41.7</v>
      </c>
      <c r="Q480" s="2">
        <v>6484.75</v>
      </c>
      <c r="R480" s="2" t="s">
        <v>158</v>
      </c>
      <c r="S480" s="2">
        <v>620</v>
      </c>
      <c r="T480" s="2">
        <v>46</v>
      </c>
      <c r="U480" s="2" t="s">
        <v>122</v>
      </c>
      <c r="V480" s="2" t="s">
        <v>108</v>
      </c>
      <c r="W480" s="2">
        <v>1</v>
      </c>
      <c r="X480" s="2">
        <v>2.9</v>
      </c>
    </row>
    <row r="481" spans="1:24" ht="15" customHeight="1">
      <c r="A481" s="2" t="s">
        <v>1665</v>
      </c>
      <c r="B481" s="2" t="s">
        <v>1666</v>
      </c>
      <c r="C481" s="2">
        <v>12</v>
      </c>
      <c r="D481" s="2" t="s">
        <v>28</v>
      </c>
      <c r="E481" s="2" t="s">
        <v>1667</v>
      </c>
      <c r="F481" s="2" t="s">
        <v>120</v>
      </c>
      <c r="G481" s="2" t="s">
        <v>162</v>
      </c>
      <c r="H481" s="2" t="s">
        <v>245</v>
      </c>
      <c r="I481" s="2" t="s">
        <v>901</v>
      </c>
      <c r="J481" s="2" t="s">
        <v>128</v>
      </c>
      <c r="K481" s="2" t="s">
        <v>49</v>
      </c>
      <c r="L481" s="2" t="s">
        <v>50</v>
      </c>
      <c r="M481" s="2" t="s">
        <v>51</v>
      </c>
      <c r="N481" s="2" t="s">
        <v>36</v>
      </c>
      <c r="O481" s="2">
        <v>92530.89</v>
      </c>
      <c r="P481" s="2">
        <v>74.599999999999994</v>
      </c>
      <c r="Q481" s="2">
        <v>21213.09</v>
      </c>
      <c r="R481" s="2" t="s">
        <v>52</v>
      </c>
      <c r="S481" s="2">
        <v>323</v>
      </c>
      <c r="T481" s="2">
        <v>81</v>
      </c>
      <c r="U481" s="2" t="s">
        <v>83</v>
      </c>
      <c r="V481" s="2" t="s">
        <v>39</v>
      </c>
      <c r="W481" s="2">
        <v>5</v>
      </c>
      <c r="X481" s="2">
        <v>5.7</v>
      </c>
    </row>
    <row r="482" spans="1:24" ht="15" customHeight="1">
      <c r="A482" s="2" t="s">
        <v>1668</v>
      </c>
      <c r="B482" s="2" t="s">
        <v>1669</v>
      </c>
      <c r="C482" s="2">
        <v>45</v>
      </c>
      <c r="D482" s="2" t="s">
        <v>177</v>
      </c>
      <c r="E482" s="2" t="s">
        <v>422</v>
      </c>
      <c r="F482" s="2" t="s">
        <v>167</v>
      </c>
      <c r="G482" s="2" t="s">
        <v>179</v>
      </c>
      <c r="H482" s="2" t="s">
        <v>104</v>
      </c>
      <c r="I482" s="2" t="s">
        <v>1670</v>
      </c>
      <c r="J482" s="2" t="s">
        <v>34</v>
      </c>
      <c r="K482" s="2" t="s">
        <v>67</v>
      </c>
      <c r="L482" s="2" t="s">
        <v>68</v>
      </c>
      <c r="M482" s="2" t="s">
        <v>51</v>
      </c>
      <c r="N482" s="2" t="s">
        <v>60</v>
      </c>
      <c r="O482" s="2">
        <v>39621.760000000002</v>
      </c>
      <c r="P482" s="2">
        <v>48.5</v>
      </c>
      <c r="Q482" s="2">
        <v>35982.980000000003</v>
      </c>
      <c r="R482" s="2" t="s">
        <v>158</v>
      </c>
      <c r="S482" s="2">
        <v>518</v>
      </c>
      <c r="T482" s="2">
        <v>20</v>
      </c>
      <c r="U482" s="2" t="s">
        <v>73</v>
      </c>
      <c r="V482" s="2" t="s">
        <v>39</v>
      </c>
      <c r="W482" s="2">
        <v>4</v>
      </c>
      <c r="X482" s="2">
        <v>7.7</v>
      </c>
    </row>
    <row r="483" spans="1:24" ht="15" customHeight="1">
      <c r="A483" s="2" t="s">
        <v>1671</v>
      </c>
      <c r="B483" s="2" t="s">
        <v>1672</v>
      </c>
      <c r="C483" s="2"/>
      <c r="D483" s="2" t="s">
        <v>28</v>
      </c>
      <c r="E483" s="2" t="s">
        <v>611</v>
      </c>
      <c r="F483" s="2" t="s">
        <v>103</v>
      </c>
      <c r="G483" s="2" t="s">
        <v>179</v>
      </c>
      <c r="H483" s="2" t="s">
        <v>46</v>
      </c>
      <c r="I483" s="2" t="s">
        <v>656</v>
      </c>
      <c r="J483" s="2" t="s">
        <v>81</v>
      </c>
      <c r="K483" s="2"/>
      <c r="L483" s="2"/>
      <c r="M483" s="2" t="s">
        <v>51</v>
      </c>
      <c r="N483" s="2" t="s">
        <v>36</v>
      </c>
      <c r="O483" s="2">
        <v>34793.089999999997</v>
      </c>
      <c r="P483" s="2">
        <v>10.8</v>
      </c>
      <c r="Q483" s="2">
        <v>50216.38</v>
      </c>
      <c r="R483" s="2" t="s">
        <v>107</v>
      </c>
      <c r="S483" s="2">
        <v>472</v>
      </c>
      <c r="T483" s="2">
        <v>53</v>
      </c>
      <c r="U483" s="2" t="s">
        <v>122</v>
      </c>
      <c r="V483" s="2" t="s">
        <v>73</v>
      </c>
      <c r="W483" s="2">
        <v>3</v>
      </c>
      <c r="X483" s="2">
        <v>2.6</v>
      </c>
    </row>
    <row r="484" spans="1:24" ht="15" customHeight="1">
      <c r="A484" s="2" t="s">
        <v>1673</v>
      </c>
      <c r="B484" s="2" t="s">
        <v>1674</v>
      </c>
      <c r="C484" s="2">
        <v>44</v>
      </c>
      <c r="D484" s="2" t="s">
        <v>188</v>
      </c>
      <c r="E484" s="2" t="s">
        <v>708</v>
      </c>
      <c r="F484" s="2" t="s">
        <v>120</v>
      </c>
      <c r="G484" s="2" t="s">
        <v>78</v>
      </c>
      <c r="H484" s="2" t="s">
        <v>65</v>
      </c>
      <c r="I484" s="2" t="s">
        <v>191</v>
      </c>
      <c r="J484" s="2" t="s">
        <v>113</v>
      </c>
      <c r="K484" s="2" t="s">
        <v>67</v>
      </c>
      <c r="L484" s="2" t="s">
        <v>68</v>
      </c>
      <c r="M484" s="2" t="s">
        <v>51</v>
      </c>
      <c r="N484" s="2" t="s">
        <v>60</v>
      </c>
      <c r="O484" s="2">
        <v>76188.83</v>
      </c>
      <c r="P484" s="2">
        <v>73.2</v>
      </c>
      <c r="Q484" s="2">
        <v>5367.65</v>
      </c>
      <c r="R484" s="2" t="s">
        <v>158</v>
      </c>
      <c r="S484" s="2">
        <v>534</v>
      </c>
      <c r="T484" s="2">
        <v>66</v>
      </c>
      <c r="U484" s="2" t="s">
        <v>39</v>
      </c>
      <c r="V484" s="2" t="s">
        <v>83</v>
      </c>
      <c r="W484" s="2">
        <v>5</v>
      </c>
      <c r="X484" s="2">
        <v>6</v>
      </c>
    </row>
    <row r="485" spans="1:24" ht="15" customHeight="1">
      <c r="A485" s="2" t="s">
        <v>1675</v>
      </c>
      <c r="B485" s="2" t="s">
        <v>1676</v>
      </c>
      <c r="C485" s="2">
        <v>8</v>
      </c>
      <c r="D485" s="2" t="s">
        <v>42</v>
      </c>
      <c r="E485" s="2" t="s">
        <v>1677</v>
      </c>
      <c r="F485" s="2" t="s">
        <v>167</v>
      </c>
      <c r="G485" s="2" t="s">
        <v>31</v>
      </c>
      <c r="H485" s="2" t="s">
        <v>79</v>
      </c>
      <c r="I485" s="2" t="s">
        <v>254</v>
      </c>
      <c r="J485" s="2" t="s">
        <v>128</v>
      </c>
      <c r="K485" s="2" t="s">
        <v>106</v>
      </c>
      <c r="L485" s="2" t="s">
        <v>50</v>
      </c>
      <c r="M485" s="2" t="s">
        <v>35</v>
      </c>
      <c r="N485" s="2" t="s">
        <v>70</v>
      </c>
      <c r="O485" s="2">
        <v>26609.25</v>
      </c>
      <c r="P485" s="2">
        <v>37.700000000000003</v>
      </c>
      <c r="Q485" s="2">
        <v>52260.52</v>
      </c>
      <c r="R485" s="2" t="s">
        <v>52</v>
      </c>
      <c r="S485" s="2">
        <v>719</v>
      </c>
      <c r="T485" s="2">
        <v>133</v>
      </c>
      <c r="U485" s="2" t="s">
        <v>83</v>
      </c>
      <c r="V485" s="2" t="s">
        <v>108</v>
      </c>
      <c r="W485" s="2">
        <v>5</v>
      </c>
      <c r="X485" s="2">
        <v>6.1</v>
      </c>
    </row>
    <row r="486" spans="1:24" ht="15" customHeight="1">
      <c r="A486" s="2" t="s">
        <v>1678</v>
      </c>
      <c r="B486" s="2" t="s">
        <v>1679</v>
      </c>
      <c r="C486" s="2">
        <v>17</v>
      </c>
      <c r="D486" s="2" t="s">
        <v>171</v>
      </c>
      <c r="E486" s="2" t="s">
        <v>1330</v>
      </c>
      <c r="F486" s="2" t="s">
        <v>95</v>
      </c>
      <c r="G486" s="2" t="s">
        <v>217</v>
      </c>
      <c r="H486" s="2" t="s">
        <v>104</v>
      </c>
      <c r="I486" s="2" t="s">
        <v>415</v>
      </c>
      <c r="J486" s="2" t="s">
        <v>90</v>
      </c>
      <c r="K486" s="2" t="s">
        <v>147</v>
      </c>
      <c r="L486" s="2" t="s">
        <v>115</v>
      </c>
      <c r="M486" s="2" t="s">
        <v>51</v>
      </c>
      <c r="N486" s="2" t="s">
        <v>60</v>
      </c>
      <c r="O486" s="2">
        <v>82423.23</v>
      </c>
      <c r="P486" s="2">
        <v>46.5</v>
      </c>
      <c r="Q486" s="2">
        <v>22135.84</v>
      </c>
      <c r="R486" s="2" t="s">
        <v>52</v>
      </c>
      <c r="S486" s="2">
        <v>846</v>
      </c>
      <c r="T486" s="2">
        <v>62</v>
      </c>
      <c r="U486" s="2" t="s">
        <v>122</v>
      </c>
      <c r="V486" s="2" t="s">
        <v>122</v>
      </c>
      <c r="W486" s="2">
        <v>5</v>
      </c>
      <c r="X486" s="2">
        <v>7.4</v>
      </c>
    </row>
    <row r="487" spans="1:24" ht="15" customHeight="1">
      <c r="A487" s="2" t="s">
        <v>1680</v>
      </c>
      <c r="B487" s="2" t="s">
        <v>1681</v>
      </c>
      <c r="C487" s="2">
        <v>31</v>
      </c>
      <c r="D487" s="2" t="s">
        <v>101</v>
      </c>
      <c r="E487" s="2" t="s">
        <v>1682</v>
      </c>
      <c r="F487" s="2" t="s">
        <v>57</v>
      </c>
      <c r="G487" s="2" t="s">
        <v>217</v>
      </c>
      <c r="H487" s="2" t="s">
        <v>104</v>
      </c>
      <c r="I487" s="2" t="s">
        <v>1683</v>
      </c>
      <c r="J487" s="2" t="s">
        <v>113</v>
      </c>
      <c r="K487" s="2" t="s">
        <v>67</v>
      </c>
      <c r="L487" s="2" t="s">
        <v>68</v>
      </c>
      <c r="M487" s="2" t="s">
        <v>35</v>
      </c>
      <c r="N487" s="2" t="s">
        <v>60</v>
      </c>
      <c r="O487" s="2">
        <v>108447.31</v>
      </c>
      <c r="P487" s="2">
        <v>50.5</v>
      </c>
      <c r="Q487" s="2">
        <v>2536.41</v>
      </c>
      <c r="R487" s="2" t="s">
        <v>138</v>
      </c>
      <c r="S487" s="2">
        <v>300</v>
      </c>
      <c r="T487" s="2">
        <v>135</v>
      </c>
      <c r="U487" s="2" t="s">
        <v>73</v>
      </c>
      <c r="V487" s="2" t="s">
        <v>73</v>
      </c>
      <c r="W487" s="2">
        <v>5</v>
      </c>
      <c r="X487" s="2">
        <v>3.5</v>
      </c>
    </row>
    <row r="488" spans="1:24" ht="15" customHeight="1">
      <c r="A488" s="2" t="s">
        <v>1684</v>
      </c>
      <c r="B488" s="2" t="s">
        <v>1685</v>
      </c>
      <c r="C488" s="2">
        <v>31</v>
      </c>
      <c r="D488" s="2" t="s">
        <v>171</v>
      </c>
      <c r="E488" s="2" t="s">
        <v>261</v>
      </c>
      <c r="F488" s="2" t="s">
        <v>57</v>
      </c>
      <c r="G488" s="2" t="s">
        <v>45</v>
      </c>
      <c r="H488" s="2" t="s">
        <v>79</v>
      </c>
      <c r="I488" s="2" t="s">
        <v>1686</v>
      </c>
      <c r="J488" s="2" t="s">
        <v>128</v>
      </c>
      <c r="K488" s="2" t="s">
        <v>67</v>
      </c>
      <c r="L488" s="2" t="s">
        <v>68</v>
      </c>
      <c r="M488" s="2" t="s">
        <v>35</v>
      </c>
      <c r="N488" s="2" t="s">
        <v>70</v>
      </c>
      <c r="O488" s="2">
        <v>59511.91</v>
      </c>
      <c r="P488" s="2">
        <v>28.6</v>
      </c>
      <c r="Q488" s="2">
        <v>11922.17</v>
      </c>
      <c r="R488" s="2" t="s">
        <v>52</v>
      </c>
      <c r="S488" s="2">
        <v>745</v>
      </c>
      <c r="T488" s="2">
        <v>192</v>
      </c>
      <c r="U488" s="2" t="s">
        <v>98</v>
      </c>
      <c r="V488" s="2" t="s">
        <v>122</v>
      </c>
      <c r="W488" s="2">
        <v>4</v>
      </c>
      <c r="X488" s="2">
        <v>2.6</v>
      </c>
    </row>
    <row r="489" spans="1:24" ht="15" customHeight="1">
      <c r="A489" s="2" t="s">
        <v>1687</v>
      </c>
      <c r="B489" s="2" t="s">
        <v>1688</v>
      </c>
      <c r="C489" s="2">
        <v>34</v>
      </c>
      <c r="D489" s="2" t="s">
        <v>177</v>
      </c>
      <c r="E489" s="2" t="s">
        <v>341</v>
      </c>
      <c r="F489" s="2" t="s">
        <v>103</v>
      </c>
      <c r="G489" s="2" t="s">
        <v>96</v>
      </c>
      <c r="H489" s="2" t="s">
        <v>104</v>
      </c>
      <c r="I489" s="2" t="s">
        <v>191</v>
      </c>
      <c r="J489" s="2" t="s">
        <v>34</v>
      </c>
      <c r="K489" s="2" t="s">
        <v>67</v>
      </c>
      <c r="L489" s="2" t="s">
        <v>68</v>
      </c>
      <c r="M489" s="2" t="s">
        <v>51</v>
      </c>
      <c r="N489" s="2" t="s">
        <v>60</v>
      </c>
      <c r="O489" s="2">
        <v>47835.62</v>
      </c>
      <c r="P489" s="2">
        <v>39.9</v>
      </c>
      <c r="Q489" s="2">
        <v>23193.41</v>
      </c>
      <c r="R489" s="2" t="s">
        <v>107</v>
      </c>
      <c r="S489" s="2">
        <v>379</v>
      </c>
      <c r="T489" s="2">
        <v>90</v>
      </c>
      <c r="U489" s="2" t="s">
        <v>72</v>
      </c>
      <c r="V489" s="2" t="s">
        <v>72</v>
      </c>
      <c r="W489" s="2">
        <v>3</v>
      </c>
      <c r="X489" s="2">
        <v>3.3</v>
      </c>
    </row>
    <row r="490" spans="1:24" ht="15" customHeight="1">
      <c r="A490" s="2" t="s">
        <v>1689</v>
      </c>
      <c r="B490" s="2" t="s">
        <v>1690</v>
      </c>
      <c r="C490" s="2">
        <v>6</v>
      </c>
      <c r="D490" s="2" t="s">
        <v>101</v>
      </c>
      <c r="E490" s="2" t="s">
        <v>773</v>
      </c>
      <c r="F490" s="2" t="s">
        <v>184</v>
      </c>
      <c r="G490" s="2" t="s">
        <v>190</v>
      </c>
      <c r="H490" s="2" t="s">
        <v>245</v>
      </c>
      <c r="I490" s="2" t="s">
        <v>1691</v>
      </c>
      <c r="J490" s="2" t="s">
        <v>90</v>
      </c>
      <c r="K490" s="2" t="s">
        <v>106</v>
      </c>
      <c r="L490" s="2" t="s">
        <v>50</v>
      </c>
      <c r="M490" s="2" t="s">
        <v>51</v>
      </c>
      <c r="N490" s="2" t="s">
        <v>36</v>
      </c>
      <c r="O490" s="2">
        <v>71742.19</v>
      </c>
      <c r="P490" s="2">
        <v>26.4</v>
      </c>
      <c r="Q490" s="2">
        <v>3054.98</v>
      </c>
      <c r="R490" s="2"/>
      <c r="S490" s="2">
        <v>426</v>
      </c>
      <c r="T490" s="2">
        <v>194</v>
      </c>
      <c r="U490" s="2" t="s">
        <v>73</v>
      </c>
      <c r="V490" s="2" t="s">
        <v>108</v>
      </c>
      <c r="W490" s="2">
        <v>2</v>
      </c>
      <c r="X490" s="2">
        <v>8.4</v>
      </c>
    </row>
    <row r="491" spans="1:24" ht="15" customHeight="1">
      <c r="A491" s="2" t="s">
        <v>1692</v>
      </c>
      <c r="B491" s="2" t="s">
        <v>1693</v>
      </c>
      <c r="C491" s="2">
        <v>34</v>
      </c>
      <c r="D491" s="2" t="s">
        <v>28</v>
      </c>
      <c r="E491" s="2" t="s">
        <v>1433</v>
      </c>
      <c r="F491" s="2" t="s">
        <v>167</v>
      </c>
      <c r="G491" s="2" t="s">
        <v>31</v>
      </c>
      <c r="H491" s="2" t="s">
        <v>32</v>
      </c>
      <c r="I491" s="2" t="s">
        <v>1694</v>
      </c>
      <c r="J491" s="2" t="s">
        <v>90</v>
      </c>
      <c r="K491" s="2" t="s">
        <v>67</v>
      </c>
      <c r="L491" s="2" t="s">
        <v>68</v>
      </c>
      <c r="M491" s="2" t="s">
        <v>0</v>
      </c>
      <c r="N491" s="2" t="s">
        <v>60</v>
      </c>
      <c r="O491" s="2">
        <v>33201.550000000003</v>
      </c>
      <c r="P491" s="2">
        <v>36.299999999999997</v>
      </c>
      <c r="Q491" s="2">
        <v>49555.33</v>
      </c>
      <c r="R491" s="2" t="s">
        <v>97</v>
      </c>
      <c r="S491" s="2">
        <v>860</v>
      </c>
      <c r="T491" s="2">
        <v>53</v>
      </c>
      <c r="U491" s="2" t="s">
        <v>108</v>
      </c>
      <c r="V491" s="2" t="s">
        <v>108</v>
      </c>
      <c r="W491" s="2">
        <v>3</v>
      </c>
      <c r="X491" s="2">
        <v>6.7</v>
      </c>
    </row>
    <row r="492" spans="1:24" ht="15" customHeight="1">
      <c r="A492" s="2" t="s">
        <v>1695</v>
      </c>
      <c r="B492" s="2" t="s">
        <v>1696</v>
      </c>
      <c r="C492" s="2">
        <v>16</v>
      </c>
      <c r="D492" s="2" t="s">
        <v>188</v>
      </c>
      <c r="E492" s="2" t="s">
        <v>530</v>
      </c>
      <c r="F492" s="2" t="s">
        <v>103</v>
      </c>
      <c r="G492" s="2" t="s">
        <v>96</v>
      </c>
      <c r="H492" s="2" t="s">
        <v>32</v>
      </c>
      <c r="I492" s="2" t="s">
        <v>1697</v>
      </c>
      <c r="J492" s="2" t="s">
        <v>48</v>
      </c>
      <c r="K492" s="2" t="s">
        <v>114</v>
      </c>
      <c r="L492" s="2" t="s">
        <v>115</v>
      </c>
      <c r="M492" s="2" t="s">
        <v>51</v>
      </c>
      <c r="N492" s="2" t="s">
        <v>36</v>
      </c>
      <c r="O492" s="2">
        <v>103883.81</v>
      </c>
      <c r="P492" s="2">
        <v>44</v>
      </c>
      <c r="Q492" s="2">
        <v>16737.88</v>
      </c>
      <c r="R492" s="2" t="s">
        <v>148</v>
      </c>
      <c r="S492" s="2">
        <v>531</v>
      </c>
      <c r="T492" s="2">
        <v>111</v>
      </c>
      <c r="U492" s="2" t="s">
        <v>38</v>
      </c>
      <c r="V492" s="2" t="s">
        <v>38</v>
      </c>
      <c r="W492" s="2">
        <v>4</v>
      </c>
      <c r="X492" s="2">
        <v>8.8000000000000007</v>
      </c>
    </row>
    <row r="493" spans="1:24" ht="15" customHeight="1">
      <c r="A493" s="2" t="s">
        <v>1698</v>
      </c>
      <c r="B493" s="2" t="s">
        <v>1699</v>
      </c>
      <c r="C493" s="2">
        <v>43</v>
      </c>
      <c r="D493" s="2" t="s">
        <v>42</v>
      </c>
      <c r="E493" s="2" t="s">
        <v>998</v>
      </c>
      <c r="F493" s="2" t="s">
        <v>57</v>
      </c>
      <c r="G493" s="2" t="s">
        <v>78</v>
      </c>
      <c r="H493" s="2" t="s">
        <v>104</v>
      </c>
      <c r="I493" s="2" t="s">
        <v>331</v>
      </c>
      <c r="J493" s="2" t="s">
        <v>48</v>
      </c>
      <c r="K493" s="2" t="s">
        <v>67</v>
      </c>
      <c r="L493" s="2" t="s">
        <v>68</v>
      </c>
      <c r="M493" s="2" t="s">
        <v>51</v>
      </c>
      <c r="N493" s="2" t="s">
        <v>36</v>
      </c>
      <c r="O493" s="2">
        <v>62978.35</v>
      </c>
      <c r="P493" s="2">
        <v>27.4</v>
      </c>
      <c r="Q493" s="2">
        <v>14549.65</v>
      </c>
      <c r="R493" s="2" t="s">
        <v>107</v>
      </c>
      <c r="S493" s="2">
        <v>367</v>
      </c>
      <c r="T493" s="2">
        <v>14</v>
      </c>
      <c r="U493" s="2" t="s">
        <v>73</v>
      </c>
      <c r="V493" s="2" t="s">
        <v>39</v>
      </c>
      <c r="W493" s="2">
        <v>4</v>
      </c>
      <c r="X493" s="2">
        <v>4.5</v>
      </c>
    </row>
    <row r="494" spans="1:24" ht="15" customHeight="1">
      <c r="A494" s="2" t="s">
        <v>1700</v>
      </c>
      <c r="B494" s="2" t="s">
        <v>1701</v>
      </c>
      <c r="C494" s="2">
        <v>13</v>
      </c>
      <c r="D494" s="2" t="s">
        <v>28</v>
      </c>
      <c r="E494" s="2" t="s">
        <v>1702</v>
      </c>
      <c r="F494" s="2" t="s">
        <v>103</v>
      </c>
      <c r="G494" s="2" t="s">
        <v>179</v>
      </c>
      <c r="H494" s="2" t="s">
        <v>32</v>
      </c>
      <c r="I494" s="2" t="s">
        <v>1703</v>
      </c>
      <c r="J494" s="2" t="s">
        <v>128</v>
      </c>
      <c r="K494" s="2" t="s">
        <v>49</v>
      </c>
      <c r="L494" s="2" t="s">
        <v>50</v>
      </c>
      <c r="M494" s="2" t="s">
        <v>35</v>
      </c>
      <c r="N494" s="2" t="s">
        <v>70</v>
      </c>
      <c r="O494" s="2">
        <v>28082.84</v>
      </c>
      <c r="P494" s="2">
        <v>33.299999999999997</v>
      </c>
      <c r="Q494" s="2">
        <v>4972.7</v>
      </c>
      <c r="R494" s="2" t="s">
        <v>71</v>
      </c>
      <c r="S494" s="2">
        <v>308</v>
      </c>
      <c r="T494" s="2">
        <v>109</v>
      </c>
      <c r="U494" s="2" t="s">
        <v>72</v>
      </c>
      <c r="V494" s="2" t="s">
        <v>108</v>
      </c>
      <c r="W494" s="2">
        <v>1</v>
      </c>
      <c r="X494" s="2">
        <v>4.5</v>
      </c>
    </row>
    <row r="495" spans="1:24" ht="15" customHeight="1">
      <c r="A495" s="2" t="s">
        <v>1704</v>
      </c>
      <c r="B495" s="2" t="s">
        <v>1705</v>
      </c>
      <c r="C495" s="2">
        <v>29</v>
      </c>
      <c r="D495" s="2" t="s">
        <v>171</v>
      </c>
      <c r="E495" s="2" t="s">
        <v>456</v>
      </c>
      <c r="F495" s="2" t="s">
        <v>57</v>
      </c>
      <c r="G495" s="2" t="s">
        <v>190</v>
      </c>
      <c r="H495" s="2" t="s">
        <v>173</v>
      </c>
      <c r="I495" s="2" t="s">
        <v>254</v>
      </c>
      <c r="J495" s="2" t="s">
        <v>90</v>
      </c>
      <c r="K495" s="2" t="s">
        <v>67</v>
      </c>
      <c r="L495" s="2" t="s">
        <v>68</v>
      </c>
      <c r="M495" s="2" t="s">
        <v>51</v>
      </c>
      <c r="N495" s="2" t="s">
        <v>60</v>
      </c>
      <c r="O495" s="2">
        <v>119483.69</v>
      </c>
      <c r="P495" s="2">
        <v>66.8</v>
      </c>
      <c r="Q495" s="2">
        <v>29421.61</v>
      </c>
      <c r="R495" s="2" t="s">
        <v>129</v>
      </c>
      <c r="S495" s="2">
        <v>598</v>
      </c>
      <c r="T495" s="2">
        <v>134</v>
      </c>
      <c r="U495" s="2" t="s">
        <v>122</v>
      </c>
      <c r="V495" s="2" t="s">
        <v>108</v>
      </c>
      <c r="W495" s="2">
        <v>4</v>
      </c>
      <c r="X495" s="2">
        <v>5.7</v>
      </c>
    </row>
    <row r="496" spans="1:24" ht="15" customHeight="1">
      <c r="A496" s="2" t="s">
        <v>1706</v>
      </c>
      <c r="B496" s="2" t="s">
        <v>1707</v>
      </c>
      <c r="C496" s="2">
        <v>38</v>
      </c>
      <c r="D496" s="2" t="s">
        <v>118</v>
      </c>
      <c r="E496" s="2" t="s">
        <v>928</v>
      </c>
      <c r="F496" s="2" t="s">
        <v>77</v>
      </c>
      <c r="G496" s="2" t="s">
        <v>162</v>
      </c>
      <c r="H496" s="2" t="s">
        <v>58</v>
      </c>
      <c r="I496" s="2" t="s">
        <v>238</v>
      </c>
      <c r="J496" s="2" t="s">
        <v>113</v>
      </c>
      <c r="K496" s="2" t="s">
        <v>67</v>
      </c>
      <c r="L496" s="2" t="s">
        <v>68</v>
      </c>
      <c r="M496" s="2" t="s">
        <v>51</v>
      </c>
      <c r="N496" s="2" t="s">
        <v>70</v>
      </c>
      <c r="O496" s="2">
        <v>99755.97</v>
      </c>
      <c r="P496" s="2">
        <v>36.299999999999997</v>
      </c>
      <c r="Q496" s="2">
        <v>55829.83</v>
      </c>
      <c r="R496" s="2" t="s">
        <v>129</v>
      </c>
      <c r="S496" s="2">
        <v>634</v>
      </c>
      <c r="T496" s="2">
        <v>118</v>
      </c>
      <c r="U496" s="2" t="s">
        <v>83</v>
      </c>
      <c r="V496" s="2" t="s">
        <v>108</v>
      </c>
      <c r="W496" s="2">
        <v>1</v>
      </c>
      <c r="X496" s="2">
        <v>5.5</v>
      </c>
    </row>
    <row r="497" spans="1:24" ht="15" customHeight="1">
      <c r="A497" s="2" t="s">
        <v>1708</v>
      </c>
      <c r="B497" s="2" t="s">
        <v>1709</v>
      </c>
      <c r="C497" s="2">
        <v>34</v>
      </c>
      <c r="D497" s="2" t="s">
        <v>101</v>
      </c>
      <c r="E497" s="2" t="s">
        <v>820</v>
      </c>
      <c r="F497" s="2" t="s">
        <v>77</v>
      </c>
      <c r="G497" s="2" t="s">
        <v>96</v>
      </c>
      <c r="H497" s="2" t="s">
        <v>173</v>
      </c>
      <c r="I497" s="2" t="s">
        <v>258</v>
      </c>
      <c r="J497" s="2" t="s">
        <v>113</v>
      </c>
      <c r="K497" s="2" t="s">
        <v>67</v>
      </c>
      <c r="L497" s="2" t="s">
        <v>68</v>
      </c>
      <c r="M497" s="2" t="s">
        <v>51</v>
      </c>
      <c r="N497" s="2" t="s">
        <v>36</v>
      </c>
      <c r="O497" s="2">
        <v>141673.92000000001</v>
      </c>
      <c r="P497" s="2">
        <v>49.1</v>
      </c>
      <c r="Q497" s="2">
        <v>56246.17</v>
      </c>
      <c r="R497" s="2" t="s">
        <v>97</v>
      </c>
      <c r="S497" s="2">
        <v>334</v>
      </c>
      <c r="T497" s="2">
        <v>100</v>
      </c>
      <c r="U497" s="2" t="s">
        <v>122</v>
      </c>
      <c r="V497" s="2" t="s">
        <v>108</v>
      </c>
      <c r="W497" s="2">
        <v>1</v>
      </c>
      <c r="X497" s="2">
        <v>7.6</v>
      </c>
    </row>
    <row r="498" spans="1:24" ht="15" customHeight="1">
      <c r="A498" s="2" t="s">
        <v>1710</v>
      </c>
      <c r="B498" s="2" t="s">
        <v>1711</v>
      </c>
      <c r="C498" s="2">
        <v>37</v>
      </c>
      <c r="D498" s="2" t="s">
        <v>177</v>
      </c>
      <c r="E498" s="2" t="s">
        <v>1712</v>
      </c>
      <c r="F498" s="2" t="s">
        <v>88</v>
      </c>
      <c r="G498" s="2" t="s">
        <v>45</v>
      </c>
      <c r="H498" s="2" t="s">
        <v>79</v>
      </c>
      <c r="I498" s="2" t="s">
        <v>1713</v>
      </c>
      <c r="J498" s="2" t="s">
        <v>48</v>
      </c>
      <c r="K498" s="2" t="s">
        <v>67</v>
      </c>
      <c r="L498" s="2" t="s">
        <v>68</v>
      </c>
      <c r="M498" s="2" t="s">
        <v>51</v>
      </c>
      <c r="N498" s="2" t="s">
        <v>36</v>
      </c>
      <c r="O498" s="2">
        <v>130879.41</v>
      </c>
      <c r="P498" s="2">
        <v>70.2</v>
      </c>
      <c r="Q498" s="2">
        <v>9850.75</v>
      </c>
      <c r="R498" s="2" t="s">
        <v>158</v>
      </c>
      <c r="S498" s="2">
        <v>395</v>
      </c>
      <c r="T498" s="2">
        <v>85</v>
      </c>
      <c r="U498" s="2" t="s">
        <v>108</v>
      </c>
      <c r="V498" s="2" t="s">
        <v>83</v>
      </c>
      <c r="W498" s="2">
        <v>5</v>
      </c>
      <c r="X498" s="2">
        <v>5.6</v>
      </c>
    </row>
    <row r="499" spans="1:24" ht="15" customHeight="1">
      <c r="A499" s="2" t="s">
        <v>1714</v>
      </c>
      <c r="B499" s="2" t="s">
        <v>1715</v>
      </c>
      <c r="C499" s="2">
        <v>17</v>
      </c>
      <c r="D499" s="2" t="s">
        <v>188</v>
      </c>
      <c r="E499" s="2" t="s">
        <v>662</v>
      </c>
      <c r="F499" s="2" t="s">
        <v>88</v>
      </c>
      <c r="G499" s="2" t="s">
        <v>96</v>
      </c>
      <c r="H499" s="2" t="s">
        <v>32</v>
      </c>
      <c r="I499" s="2" t="s">
        <v>80</v>
      </c>
      <c r="J499" s="2" t="s">
        <v>113</v>
      </c>
      <c r="K499" s="2" t="s">
        <v>147</v>
      </c>
      <c r="L499" s="2" t="s">
        <v>115</v>
      </c>
      <c r="M499" s="2" t="s">
        <v>51</v>
      </c>
      <c r="N499" s="2" t="s">
        <v>60</v>
      </c>
      <c r="O499" s="2">
        <v>35603.96</v>
      </c>
      <c r="P499" s="2">
        <v>54.4</v>
      </c>
      <c r="Q499" s="2">
        <v>44192.73</v>
      </c>
      <c r="R499" s="2" t="s">
        <v>37</v>
      </c>
      <c r="S499" s="2">
        <v>843</v>
      </c>
      <c r="T499" s="2">
        <v>135</v>
      </c>
      <c r="U499" s="2" t="s">
        <v>98</v>
      </c>
      <c r="V499" s="2" t="s">
        <v>98</v>
      </c>
      <c r="W499" s="2">
        <v>5</v>
      </c>
      <c r="X499" s="2">
        <v>5.2</v>
      </c>
    </row>
    <row r="500" spans="1:24" ht="15" customHeight="1">
      <c r="A500" s="2" t="s">
        <v>1716</v>
      </c>
      <c r="B500" s="2" t="s">
        <v>1717</v>
      </c>
      <c r="C500" s="2">
        <v>8</v>
      </c>
      <c r="D500" s="2" t="s">
        <v>42</v>
      </c>
      <c r="E500" s="2" t="s">
        <v>1718</v>
      </c>
      <c r="F500" s="2" t="s">
        <v>120</v>
      </c>
      <c r="G500" s="2" t="s">
        <v>31</v>
      </c>
      <c r="H500" s="2" t="s">
        <v>152</v>
      </c>
      <c r="I500" s="2" t="s">
        <v>1719</v>
      </c>
      <c r="J500" s="2" t="s">
        <v>128</v>
      </c>
      <c r="K500" s="2" t="s">
        <v>106</v>
      </c>
      <c r="L500" s="2" t="s">
        <v>50</v>
      </c>
      <c r="M500" s="2" t="s">
        <v>51</v>
      </c>
      <c r="N500" s="2" t="s">
        <v>70</v>
      </c>
      <c r="O500" s="2">
        <v>48540.959999999999</v>
      </c>
      <c r="P500" s="2">
        <v>7.9</v>
      </c>
      <c r="Q500" s="2">
        <v>13768.38</v>
      </c>
      <c r="R500" s="2" t="s">
        <v>37</v>
      </c>
      <c r="S500" s="2">
        <v>704</v>
      </c>
      <c r="T500" s="2">
        <v>135</v>
      </c>
      <c r="U500" s="2" t="s">
        <v>108</v>
      </c>
      <c r="V500" s="2" t="s">
        <v>98</v>
      </c>
      <c r="W500" s="2">
        <v>2</v>
      </c>
      <c r="X500" s="2">
        <v>3.9</v>
      </c>
    </row>
    <row r="501" spans="1:24" ht="15" customHeight="1">
      <c r="A501" s="2" t="s">
        <v>1720</v>
      </c>
      <c r="B501" s="2" t="s">
        <v>1721</v>
      </c>
      <c r="C501" s="2">
        <v>23</v>
      </c>
      <c r="D501" s="2" t="s">
        <v>188</v>
      </c>
      <c r="E501" s="2" t="s">
        <v>655</v>
      </c>
      <c r="F501" s="2" t="s">
        <v>77</v>
      </c>
      <c r="G501" s="2" t="s">
        <v>162</v>
      </c>
      <c r="H501" s="2" t="s">
        <v>152</v>
      </c>
      <c r="I501" s="2" t="s">
        <v>1722</v>
      </c>
      <c r="J501" s="2" t="s">
        <v>90</v>
      </c>
      <c r="K501" s="2" t="s">
        <v>67</v>
      </c>
      <c r="L501" s="2" t="s">
        <v>68</v>
      </c>
      <c r="M501" s="2" t="s">
        <v>51</v>
      </c>
      <c r="N501" s="2" t="s">
        <v>70</v>
      </c>
      <c r="O501" s="2">
        <v>86309.43</v>
      </c>
      <c r="P501" s="2">
        <v>45.9</v>
      </c>
      <c r="Q501" s="2">
        <v>12015.42</v>
      </c>
      <c r="R501" s="2" t="s">
        <v>107</v>
      </c>
      <c r="S501" s="2">
        <v>381</v>
      </c>
      <c r="T501" s="2">
        <v>62</v>
      </c>
      <c r="U501" s="2" t="s">
        <v>72</v>
      </c>
      <c r="V501" s="2" t="s">
        <v>83</v>
      </c>
      <c r="W501" s="2">
        <v>3</v>
      </c>
      <c r="X501" s="2">
        <v>1.9</v>
      </c>
    </row>
    <row r="502" spans="1:24" ht="15" customHeight="1">
      <c r="A502" s="2" t="s">
        <v>1723</v>
      </c>
      <c r="B502" s="2" t="s">
        <v>1724</v>
      </c>
      <c r="C502" s="2">
        <v>16</v>
      </c>
      <c r="D502" s="2" t="s">
        <v>28</v>
      </c>
      <c r="E502" s="2" t="s">
        <v>407</v>
      </c>
      <c r="F502" s="2" t="s">
        <v>88</v>
      </c>
      <c r="G502" s="2" t="s">
        <v>31</v>
      </c>
      <c r="H502" s="2" t="s">
        <v>126</v>
      </c>
      <c r="I502" s="2" t="s">
        <v>380</v>
      </c>
      <c r="J502" s="2" t="s">
        <v>90</v>
      </c>
      <c r="K502" s="2" t="s">
        <v>114</v>
      </c>
      <c r="L502" s="2" t="s">
        <v>115</v>
      </c>
      <c r="M502" s="2" t="s">
        <v>51</v>
      </c>
      <c r="N502" s="2" t="s">
        <v>60</v>
      </c>
      <c r="O502" s="2">
        <v>143269.9</v>
      </c>
      <c r="P502" s="2">
        <v>62.8</v>
      </c>
      <c r="Q502" s="2">
        <v>45506.87</v>
      </c>
      <c r="R502" s="2" t="s">
        <v>138</v>
      </c>
      <c r="S502" s="2">
        <v>416</v>
      </c>
      <c r="T502" s="2">
        <v>86</v>
      </c>
      <c r="U502" s="2" t="s">
        <v>98</v>
      </c>
      <c r="V502" s="2" t="s">
        <v>98</v>
      </c>
      <c r="W502" s="2">
        <v>5</v>
      </c>
      <c r="X502" s="2">
        <v>2.9</v>
      </c>
    </row>
    <row r="503" spans="1:24" ht="15" customHeight="1">
      <c r="A503" s="2" t="s">
        <v>1725</v>
      </c>
      <c r="B503" s="2" t="s">
        <v>1726</v>
      </c>
      <c r="C503" s="2">
        <v>28</v>
      </c>
      <c r="D503" s="2" t="s">
        <v>118</v>
      </c>
      <c r="E503" s="2" t="s">
        <v>1727</v>
      </c>
      <c r="F503" s="2" t="s">
        <v>184</v>
      </c>
      <c r="G503" s="2" t="s">
        <v>190</v>
      </c>
      <c r="H503" s="2" t="s">
        <v>245</v>
      </c>
      <c r="I503" s="2" t="s">
        <v>1728</v>
      </c>
      <c r="J503" s="2" t="s">
        <v>34</v>
      </c>
      <c r="K503" s="2" t="s">
        <v>67</v>
      </c>
      <c r="L503" s="2" t="s">
        <v>68</v>
      </c>
      <c r="M503" s="2" t="s">
        <v>51</v>
      </c>
      <c r="N503" s="2" t="s">
        <v>36</v>
      </c>
      <c r="O503" s="2">
        <v>82547.34</v>
      </c>
      <c r="P503" s="2">
        <v>74.400000000000006</v>
      </c>
      <c r="Q503" s="2">
        <v>37894.22</v>
      </c>
      <c r="R503" s="2" t="s">
        <v>61</v>
      </c>
      <c r="S503" s="2">
        <v>698</v>
      </c>
      <c r="T503" s="2">
        <v>110</v>
      </c>
      <c r="U503" s="2" t="s">
        <v>98</v>
      </c>
      <c r="V503" s="2" t="s">
        <v>83</v>
      </c>
      <c r="W503" s="2">
        <v>2</v>
      </c>
      <c r="X503" s="2">
        <v>5.8</v>
      </c>
    </row>
    <row r="504" spans="1:24" ht="15" customHeight="1">
      <c r="A504" s="2" t="s">
        <v>1729</v>
      </c>
      <c r="B504" s="2" t="s">
        <v>1730</v>
      </c>
      <c r="C504" s="2">
        <v>10</v>
      </c>
      <c r="D504" s="2" t="s">
        <v>118</v>
      </c>
      <c r="E504" s="2" t="s">
        <v>1496</v>
      </c>
      <c r="F504" s="2" t="s">
        <v>103</v>
      </c>
      <c r="G504" s="2" t="s">
        <v>179</v>
      </c>
      <c r="H504" s="2" t="s">
        <v>173</v>
      </c>
      <c r="I504" s="2" t="s">
        <v>80</v>
      </c>
      <c r="J504" s="2" t="s">
        <v>113</v>
      </c>
      <c r="K504" s="2" t="s">
        <v>49</v>
      </c>
      <c r="L504" s="2" t="s">
        <v>50</v>
      </c>
      <c r="M504" s="2" t="s">
        <v>35</v>
      </c>
      <c r="N504" s="2" t="s">
        <v>60</v>
      </c>
      <c r="O504" s="2">
        <v>148211.04999999999</v>
      </c>
      <c r="P504" s="2">
        <v>53.7</v>
      </c>
      <c r="Q504" s="2">
        <v>24932.02</v>
      </c>
      <c r="R504" s="2" t="s">
        <v>61</v>
      </c>
      <c r="S504" s="2">
        <v>774</v>
      </c>
      <c r="T504" s="2">
        <v>24</v>
      </c>
      <c r="U504" s="2" t="s">
        <v>83</v>
      </c>
      <c r="V504" s="2" t="s">
        <v>73</v>
      </c>
      <c r="W504" s="2">
        <v>5</v>
      </c>
      <c r="X504" s="2">
        <v>9</v>
      </c>
    </row>
    <row r="505" spans="1:24" ht="15" customHeight="1">
      <c r="A505" s="2" t="s">
        <v>1731</v>
      </c>
      <c r="B505" s="2" t="s">
        <v>1732</v>
      </c>
      <c r="C505" s="2">
        <v>45</v>
      </c>
      <c r="D505" s="2" t="s">
        <v>86</v>
      </c>
      <c r="E505" s="2" t="s">
        <v>1733</v>
      </c>
      <c r="F505" s="2" t="s">
        <v>184</v>
      </c>
      <c r="G505" s="2" t="s">
        <v>179</v>
      </c>
      <c r="H505" s="2" t="s">
        <v>126</v>
      </c>
      <c r="I505" s="2" t="s">
        <v>1734</v>
      </c>
      <c r="J505" s="2" t="s">
        <v>48</v>
      </c>
      <c r="K505" s="2" t="s">
        <v>67</v>
      </c>
      <c r="L505" s="2" t="s">
        <v>68</v>
      </c>
      <c r="M505" s="2" t="s">
        <v>51</v>
      </c>
      <c r="N505" s="2" t="s">
        <v>70</v>
      </c>
      <c r="O505" s="2">
        <v>123275.54</v>
      </c>
      <c r="P505" s="2">
        <v>26.1</v>
      </c>
      <c r="Q505" s="2">
        <v>50984.22</v>
      </c>
      <c r="R505" s="2" t="s">
        <v>61</v>
      </c>
      <c r="S505" s="2">
        <v>376</v>
      </c>
      <c r="T505" s="2">
        <v>189</v>
      </c>
      <c r="U505" s="2" t="s">
        <v>73</v>
      </c>
      <c r="V505" s="2" t="s">
        <v>108</v>
      </c>
      <c r="W505" s="2">
        <v>3</v>
      </c>
      <c r="X505" s="2">
        <v>3.3</v>
      </c>
    </row>
    <row r="506" spans="1:24" ht="15" customHeight="1">
      <c r="A506" s="2" t="s">
        <v>1735</v>
      </c>
      <c r="B506" s="2" t="s">
        <v>1736</v>
      </c>
      <c r="C506" s="2">
        <v>39</v>
      </c>
      <c r="D506" s="2" t="s">
        <v>86</v>
      </c>
      <c r="E506" s="2" t="s">
        <v>1737</v>
      </c>
      <c r="F506" s="2" t="s">
        <v>77</v>
      </c>
      <c r="G506" s="2" t="s">
        <v>96</v>
      </c>
      <c r="H506" s="2" t="s">
        <v>173</v>
      </c>
      <c r="I506" s="2" t="s">
        <v>1738</v>
      </c>
      <c r="J506" s="2" t="s">
        <v>81</v>
      </c>
      <c r="K506" s="2" t="s">
        <v>67</v>
      </c>
      <c r="L506" s="2" t="s">
        <v>68</v>
      </c>
      <c r="M506" s="2" t="s">
        <v>51</v>
      </c>
      <c r="N506" s="2" t="s">
        <v>70</v>
      </c>
      <c r="O506" s="2">
        <v>50165.84</v>
      </c>
      <c r="P506" s="2">
        <v>61.6</v>
      </c>
      <c r="Q506" s="2">
        <v>54778.39</v>
      </c>
      <c r="R506" s="2" t="s">
        <v>61</v>
      </c>
      <c r="S506" s="2">
        <v>865</v>
      </c>
      <c r="T506" s="2">
        <v>25</v>
      </c>
      <c r="U506" s="2" t="s">
        <v>72</v>
      </c>
      <c r="V506" s="2" t="s">
        <v>73</v>
      </c>
      <c r="W506" s="2">
        <v>1</v>
      </c>
      <c r="X506" s="2">
        <v>6.1</v>
      </c>
    </row>
    <row r="507" spans="1:24" ht="15" customHeight="1">
      <c r="A507" s="2" t="s">
        <v>1739</v>
      </c>
      <c r="B507" s="2" t="s">
        <v>1740</v>
      </c>
      <c r="C507" s="2">
        <v>10</v>
      </c>
      <c r="D507" s="2" t="s">
        <v>55</v>
      </c>
      <c r="E507" s="2" t="s">
        <v>1741</v>
      </c>
      <c r="F507" s="2" t="s">
        <v>103</v>
      </c>
      <c r="G507" s="2" t="s">
        <v>162</v>
      </c>
      <c r="H507" s="2" t="s">
        <v>152</v>
      </c>
      <c r="I507" s="2" t="s">
        <v>80</v>
      </c>
      <c r="J507" s="2" t="s">
        <v>128</v>
      </c>
      <c r="K507" s="2" t="s">
        <v>49</v>
      </c>
      <c r="L507" s="2" t="s">
        <v>50</v>
      </c>
      <c r="M507" s="2" t="s">
        <v>35</v>
      </c>
      <c r="N507" s="2" t="s">
        <v>60</v>
      </c>
      <c r="O507" s="2">
        <v>16891.29</v>
      </c>
      <c r="P507" s="2">
        <v>53.6</v>
      </c>
      <c r="Q507" s="2">
        <v>34140.910000000003</v>
      </c>
      <c r="R507" s="2" t="s">
        <v>71</v>
      </c>
      <c r="S507" s="2">
        <v>781</v>
      </c>
      <c r="T507" s="2">
        <v>181</v>
      </c>
      <c r="U507" s="2" t="s">
        <v>83</v>
      </c>
      <c r="V507" s="2" t="s">
        <v>98</v>
      </c>
      <c r="W507" s="2">
        <v>1</v>
      </c>
      <c r="X507" s="2">
        <v>6.3</v>
      </c>
    </row>
    <row r="508" spans="1:24" ht="15" customHeight="1">
      <c r="A508" s="2" t="s">
        <v>1742</v>
      </c>
      <c r="B508" s="2" t="s">
        <v>1743</v>
      </c>
      <c r="C508" s="2">
        <v>18</v>
      </c>
      <c r="D508" s="2" t="s">
        <v>171</v>
      </c>
      <c r="E508" s="2" t="s">
        <v>1604</v>
      </c>
      <c r="F508" s="2" t="s">
        <v>95</v>
      </c>
      <c r="G508" s="2" t="s">
        <v>78</v>
      </c>
      <c r="H508" s="2" t="s">
        <v>32</v>
      </c>
      <c r="I508" s="2" t="s">
        <v>1744</v>
      </c>
      <c r="J508" s="2" t="s">
        <v>128</v>
      </c>
      <c r="K508" s="2" t="s">
        <v>147</v>
      </c>
      <c r="L508" s="2" t="s">
        <v>115</v>
      </c>
      <c r="M508" s="2" t="s">
        <v>35</v>
      </c>
      <c r="N508" s="2" t="s">
        <v>70</v>
      </c>
      <c r="O508" s="2">
        <v>137058.20000000001</v>
      </c>
      <c r="P508" s="2">
        <v>23.7</v>
      </c>
      <c r="Q508" s="2">
        <v>51368.4</v>
      </c>
      <c r="R508" s="2" t="s">
        <v>97</v>
      </c>
      <c r="S508" s="2">
        <v>561</v>
      </c>
      <c r="T508" s="2">
        <v>127</v>
      </c>
      <c r="U508" s="2" t="s">
        <v>108</v>
      </c>
      <c r="V508" s="2" t="s">
        <v>39</v>
      </c>
      <c r="W508" s="2">
        <v>3</v>
      </c>
      <c r="X508" s="2">
        <v>6.4</v>
      </c>
    </row>
    <row r="509" spans="1:24" ht="15" customHeight="1">
      <c r="A509" s="2" t="s">
        <v>1745</v>
      </c>
      <c r="B509" s="2" t="s">
        <v>1746</v>
      </c>
      <c r="C509" s="2">
        <v>43</v>
      </c>
      <c r="D509" s="2" t="s">
        <v>101</v>
      </c>
      <c r="E509" s="2" t="s">
        <v>319</v>
      </c>
      <c r="F509" s="2" t="s">
        <v>44</v>
      </c>
      <c r="G509" s="2" t="s">
        <v>78</v>
      </c>
      <c r="H509" s="2" t="s">
        <v>104</v>
      </c>
      <c r="I509" s="2" t="s">
        <v>499</v>
      </c>
      <c r="J509" s="2" t="s">
        <v>34</v>
      </c>
      <c r="K509" s="2" t="s">
        <v>67</v>
      </c>
      <c r="L509" s="2" t="s">
        <v>68</v>
      </c>
      <c r="M509" s="2" t="s">
        <v>51</v>
      </c>
      <c r="N509" s="2" t="s">
        <v>60</v>
      </c>
      <c r="O509" s="2">
        <v>88313.33</v>
      </c>
      <c r="P509" s="2">
        <v>58.8</v>
      </c>
      <c r="Q509" s="2">
        <v>49798.239999999998</v>
      </c>
      <c r="R509" s="2" t="s">
        <v>97</v>
      </c>
      <c r="S509" s="2">
        <v>409</v>
      </c>
      <c r="T509" s="2">
        <v>114</v>
      </c>
      <c r="U509" s="2" t="s">
        <v>83</v>
      </c>
      <c r="V509" s="2" t="s">
        <v>122</v>
      </c>
      <c r="W509" s="2">
        <v>3</v>
      </c>
      <c r="X509" s="2">
        <v>8.8000000000000007</v>
      </c>
    </row>
    <row r="510" spans="1:24" ht="15" customHeight="1">
      <c r="A510" s="2" t="s">
        <v>1747</v>
      </c>
      <c r="B510" s="2" t="s">
        <v>1748</v>
      </c>
      <c r="C510" s="2">
        <v>23</v>
      </c>
      <c r="D510" s="2" t="s">
        <v>28</v>
      </c>
      <c r="E510" s="2" t="s">
        <v>1496</v>
      </c>
      <c r="F510" s="2" t="s">
        <v>57</v>
      </c>
      <c r="G510" s="2" t="s">
        <v>78</v>
      </c>
      <c r="H510" s="2" t="s">
        <v>58</v>
      </c>
      <c r="I510" s="2" t="s">
        <v>1749</v>
      </c>
      <c r="J510" s="2" t="s">
        <v>113</v>
      </c>
      <c r="K510" s="2" t="s">
        <v>67</v>
      </c>
      <c r="L510" s="2" t="s">
        <v>68</v>
      </c>
      <c r="M510" s="2" t="s">
        <v>51</v>
      </c>
      <c r="N510" s="2" t="s">
        <v>60</v>
      </c>
      <c r="O510" s="2">
        <v>41556.129999999997</v>
      </c>
      <c r="P510" s="2">
        <v>16.899999999999999</v>
      </c>
      <c r="Q510" s="2">
        <v>46883.59</v>
      </c>
      <c r="R510" s="2" t="s">
        <v>97</v>
      </c>
      <c r="S510" s="2">
        <v>836</v>
      </c>
      <c r="T510" s="2">
        <v>105</v>
      </c>
      <c r="U510" s="2" t="s">
        <v>122</v>
      </c>
      <c r="V510" s="2" t="s">
        <v>122</v>
      </c>
      <c r="W510" s="2">
        <v>3</v>
      </c>
      <c r="X510" s="2">
        <v>2</v>
      </c>
    </row>
    <row r="511" spans="1:24" ht="15" customHeight="1">
      <c r="A511" s="2" t="s">
        <v>1750</v>
      </c>
      <c r="B511" s="2" t="s">
        <v>1751</v>
      </c>
      <c r="C511" s="2">
        <v>39</v>
      </c>
      <c r="D511" s="2" t="s">
        <v>55</v>
      </c>
      <c r="E511" s="2" t="s">
        <v>468</v>
      </c>
      <c r="F511" s="2" t="s">
        <v>77</v>
      </c>
      <c r="G511" s="2" t="s">
        <v>78</v>
      </c>
      <c r="H511" s="2" t="s">
        <v>152</v>
      </c>
      <c r="I511" s="2" t="s">
        <v>1752</v>
      </c>
      <c r="J511" s="2" t="s">
        <v>113</v>
      </c>
      <c r="K511" s="2" t="s">
        <v>67</v>
      </c>
      <c r="L511" s="2" t="s">
        <v>68</v>
      </c>
      <c r="M511" s="2" t="s">
        <v>51</v>
      </c>
      <c r="N511" s="2" t="s">
        <v>70</v>
      </c>
      <c r="O511" s="2">
        <v>36982.019999999997</v>
      </c>
      <c r="P511" s="2">
        <v>6.3</v>
      </c>
      <c r="Q511" s="2">
        <v>14065.26</v>
      </c>
      <c r="R511" s="2" t="s">
        <v>158</v>
      </c>
      <c r="S511" s="2">
        <v>524</v>
      </c>
      <c r="T511" s="2">
        <v>141</v>
      </c>
      <c r="U511" s="2" t="s">
        <v>108</v>
      </c>
      <c r="V511" s="2" t="s">
        <v>38</v>
      </c>
      <c r="W511" s="2">
        <v>5</v>
      </c>
      <c r="X511" s="2">
        <v>2.7</v>
      </c>
    </row>
    <row r="512" spans="1:24" ht="15" customHeight="1">
      <c r="A512" s="2" t="s">
        <v>1753</v>
      </c>
      <c r="B512" s="2" t="s">
        <v>1754</v>
      </c>
      <c r="C512" s="2">
        <v>39</v>
      </c>
      <c r="D512" s="2" t="s">
        <v>177</v>
      </c>
      <c r="E512" s="2" t="s">
        <v>1755</v>
      </c>
      <c r="F512" s="2" t="s">
        <v>120</v>
      </c>
      <c r="G512" s="2" t="s">
        <v>31</v>
      </c>
      <c r="H512" s="2" t="s">
        <v>104</v>
      </c>
      <c r="I512" s="2" t="s">
        <v>1756</v>
      </c>
      <c r="J512" s="2" t="s">
        <v>48</v>
      </c>
      <c r="K512" s="2" t="s">
        <v>67</v>
      </c>
      <c r="L512" s="2" t="s">
        <v>68</v>
      </c>
      <c r="M512" s="2" t="s">
        <v>51</v>
      </c>
      <c r="N512" s="2" t="s">
        <v>36</v>
      </c>
      <c r="O512" s="2">
        <v>120854.22</v>
      </c>
      <c r="P512" s="2">
        <v>18.7</v>
      </c>
      <c r="Q512" s="2">
        <v>29822.2</v>
      </c>
      <c r="R512" s="2" t="s">
        <v>82</v>
      </c>
      <c r="S512" s="2">
        <v>452</v>
      </c>
      <c r="T512" s="2">
        <v>83</v>
      </c>
      <c r="U512" s="2" t="s">
        <v>38</v>
      </c>
      <c r="V512" s="2" t="s">
        <v>98</v>
      </c>
      <c r="W512" s="2">
        <v>2</v>
      </c>
      <c r="X512" s="2">
        <v>2.1</v>
      </c>
    </row>
    <row r="513" spans="1:24" ht="15" customHeight="1">
      <c r="A513" s="2" t="s">
        <v>1757</v>
      </c>
      <c r="B513" s="2" t="s">
        <v>1758</v>
      </c>
      <c r="C513" s="2">
        <v>33</v>
      </c>
      <c r="D513" s="2" t="s">
        <v>42</v>
      </c>
      <c r="E513" s="2" t="s">
        <v>341</v>
      </c>
      <c r="F513" s="2" t="s">
        <v>95</v>
      </c>
      <c r="G513" s="2" t="s">
        <v>96</v>
      </c>
      <c r="H513" s="2" t="s">
        <v>65</v>
      </c>
      <c r="I513" s="2" t="s">
        <v>1719</v>
      </c>
      <c r="J513" s="2" t="s">
        <v>34</v>
      </c>
      <c r="K513" s="2" t="s">
        <v>67</v>
      </c>
      <c r="L513" s="2" t="s">
        <v>68</v>
      </c>
      <c r="M513" s="2" t="s">
        <v>51</v>
      </c>
      <c r="N513" s="2" t="s">
        <v>70</v>
      </c>
      <c r="O513" s="2">
        <v>73350.66</v>
      </c>
      <c r="P513" s="2">
        <v>30</v>
      </c>
      <c r="Q513" s="2">
        <v>13654.66</v>
      </c>
      <c r="R513" s="2" t="s">
        <v>82</v>
      </c>
      <c r="S513" s="2">
        <v>378</v>
      </c>
      <c r="T513" s="2">
        <v>35</v>
      </c>
      <c r="U513" s="2" t="s">
        <v>98</v>
      </c>
      <c r="V513" s="2" t="s">
        <v>83</v>
      </c>
      <c r="W513" s="2">
        <v>4</v>
      </c>
      <c r="X513" s="2">
        <v>4</v>
      </c>
    </row>
    <row r="514" spans="1:24" ht="15" customHeight="1">
      <c r="A514" s="2" t="s">
        <v>1759</v>
      </c>
      <c r="B514" s="2" t="s">
        <v>1760</v>
      </c>
      <c r="C514" s="2">
        <v>41</v>
      </c>
      <c r="D514" s="2" t="s">
        <v>28</v>
      </c>
      <c r="E514" s="2" t="s">
        <v>1761</v>
      </c>
      <c r="F514" s="2" t="s">
        <v>167</v>
      </c>
      <c r="G514" s="2" t="s">
        <v>78</v>
      </c>
      <c r="H514" s="2" t="s">
        <v>173</v>
      </c>
      <c r="I514" s="2" t="s">
        <v>254</v>
      </c>
      <c r="J514" s="2" t="s">
        <v>81</v>
      </c>
      <c r="K514" s="2" t="s">
        <v>67</v>
      </c>
      <c r="L514" s="2" t="s">
        <v>68</v>
      </c>
      <c r="M514" s="2" t="s">
        <v>51</v>
      </c>
      <c r="N514" s="2" t="s">
        <v>36</v>
      </c>
      <c r="O514" s="2">
        <v>90350.8</v>
      </c>
      <c r="P514" s="2">
        <v>20.7</v>
      </c>
      <c r="Q514" s="2">
        <v>20448.86</v>
      </c>
      <c r="R514" s="2" t="s">
        <v>71</v>
      </c>
      <c r="S514" s="2">
        <v>395</v>
      </c>
      <c r="T514" s="2">
        <v>153</v>
      </c>
      <c r="U514" s="2" t="s">
        <v>108</v>
      </c>
      <c r="V514" s="2" t="s">
        <v>38</v>
      </c>
      <c r="W514" s="2">
        <v>5</v>
      </c>
      <c r="X514" s="2">
        <v>1.9</v>
      </c>
    </row>
    <row r="515" spans="1:24" ht="15" customHeight="1">
      <c r="A515" s="2" t="s">
        <v>1762</v>
      </c>
      <c r="B515" s="2" t="s">
        <v>1763</v>
      </c>
      <c r="C515" s="2">
        <v>37</v>
      </c>
      <c r="D515" s="2" t="s">
        <v>118</v>
      </c>
      <c r="E515" s="2" t="s">
        <v>1764</v>
      </c>
      <c r="F515" s="2" t="s">
        <v>30</v>
      </c>
      <c r="G515" s="2" t="s">
        <v>31</v>
      </c>
      <c r="H515" s="2" t="s">
        <v>46</v>
      </c>
      <c r="I515" s="2" t="s">
        <v>1765</v>
      </c>
      <c r="J515" s="2" t="s">
        <v>90</v>
      </c>
      <c r="K515" s="2" t="s">
        <v>67</v>
      </c>
      <c r="L515" s="2" t="s">
        <v>68</v>
      </c>
      <c r="M515" s="2" t="s">
        <v>51</v>
      </c>
      <c r="N515" s="2" t="s">
        <v>70</v>
      </c>
      <c r="O515" s="2">
        <v>114232.47</v>
      </c>
      <c r="P515" s="2">
        <v>17.3</v>
      </c>
      <c r="Q515" s="2">
        <v>44334.04</v>
      </c>
      <c r="R515" s="2"/>
      <c r="S515" s="2">
        <v>321</v>
      </c>
      <c r="T515" s="2">
        <v>49</v>
      </c>
      <c r="U515" s="2" t="s">
        <v>83</v>
      </c>
      <c r="V515" s="2" t="s">
        <v>108</v>
      </c>
      <c r="W515" s="2">
        <v>2</v>
      </c>
      <c r="X515" s="2">
        <v>2.2000000000000002</v>
      </c>
    </row>
    <row r="516" spans="1:24" ht="15" customHeight="1">
      <c r="A516" s="2" t="s">
        <v>1766</v>
      </c>
      <c r="B516" s="2" t="s">
        <v>1767</v>
      </c>
      <c r="C516" s="2">
        <v>35</v>
      </c>
      <c r="D516" s="2" t="s">
        <v>118</v>
      </c>
      <c r="E516" s="2" t="s">
        <v>1768</v>
      </c>
      <c r="F516" s="2" t="s">
        <v>57</v>
      </c>
      <c r="G516" s="2" t="s">
        <v>162</v>
      </c>
      <c r="H516" s="2" t="s">
        <v>65</v>
      </c>
      <c r="I516" s="2" t="s">
        <v>1769</v>
      </c>
      <c r="J516" s="2" t="s">
        <v>48</v>
      </c>
      <c r="K516" s="2" t="s">
        <v>67</v>
      </c>
      <c r="L516" s="2" t="s">
        <v>68</v>
      </c>
      <c r="M516" s="2" t="s">
        <v>51</v>
      </c>
      <c r="N516" s="2" t="s">
        <v>60</v>
      </c>
      <c r="O516" s="2"/>
      <c r="P516" s="2">
        <v>33.1</v>
      </c>
      <c r="Q516" s="2">
        <v>31981.78</v>
      </c>
      <c r="R516" s="2" t="s">
        <v>107</v>
      </c>
      <c r="S516" s="2">
        <v>411</v>
      </c>
      <c r="T516" s="2">
        <v>40</v>
      </c>
      <c r="U516" s="2" t="s">
        <v>108</v>
      </c>
      <c r="V516" s="2" t="s">
        <v>98</v>
      </c>
      <c r="W516" s="2">
        <v>1</v>
      </c>
      <c r="X516" s="2">
        <v>4.2</v>
      </c>
    </row>
    <row r="517" spans="1:24" ht="15" customHeight="1">
      <c r="A517" s="2" t="s">
        <v>1770</v>
      </c>
      <c r="B517" s="2" t="s">
        <v>1771</v>
      </c>
      <c r="C517" s="2">
        <v>39</v>
      </c>
      <c r="D517" s="2" t="s">
        <v>177</v>
      </c>
      <c r="E517" s="2" t="s">
        <v>348</v>
      </c>
      <c r="F517" s="2" t="s">
        <v>120</v>
      </c>
      <c r="G517" s="2" t="s">
        <v>78</v>
      </c>
      <c r="H517" s="2" t="s">
        <v>152</v>
      </c>
      <c r="I517" s="2" t="s">
        <v>1772</v>
      </c>
      <c r="J517" s="2" t="s">
        <v>128</v>
      </c>
      <c r="K517" s="2" t="s">
        <v>67</v>
      </c>
      <c r="L517" s="2" t="s">
        <v>68</v>
      </c>
      <c r="M517" s="2" t="s">
        <v>51</v>
      </c>
      <c r="N517" s="2" t="s">
        <v>36</v>
      </c>
      <c r="O517" s="2">
        <v>120753.81</v>
      </c>
      <c r="P517" s="2">
        <v>19.7</v>
      </c>
      <c r="Q517" s="2">
        <v>17732.05</v>
      </c>
      <c r="R517" s="2" t="s">
        <v>107</v>
      </c>
      <c r="S517" s="2">
        <v>393</v>
      </c>
      <c r="T517" s="2">
        <v>29</v>
      </c>
      <c r="U517" s="2" t="s">
        <v>108</v>
      </c>
      <c r="V517" s="2" t="s">
        <v>108</v>
      </c>
      <c r="W517" s="2">
        <v>5</v>
      </c>
      <c r="X517" s="2">
        <v>4.5999999999999996</v>
      </c>
    </row>
    <row r="518" spans="1:24" ht="15" customHeight="1">
      <c r="A518" s="2" t="s">
        <v>1773</v>
      </c>
      <c r="B518" s="2" t="s">
        <v>1774</v>
      </c>
      <c r="C518" s="2">
        <v>14</v>
      </c>
      <c r="D518" s="2" t="s">
        <v>55</v>
      </c>
      <c r="E518" s="2" t="s">
        <v>1775</v>
      </c>
      <c r="F518" s="2" t="s">
        <v>167</v>
      </c>
      <c r="G518" s="2" t="s">
        <v>217</v>
      </c>
      <c r="H518" s="2" t="s">
        <v>104</v>
      </c>
      <c r="I518" s="2" t="s">
        <v>415</v>
      </c>
      <c r="J518" s="2" t="s">
        <v>34</v>
      </c>
      <c r="K518" s="2" t="s">
        <v>114</v>
      </c>
      <c r="L518" s="2" t="s">
        <v>115</v>
      </c>
      <c r="M518" s="2" t="s">
        <v>69</v>
      </c>
      <c r="N518" s="2" t="s">
        <v>36</v>
      </c>
      <c r="O518" s="2">
        <v>82947.14</v>
      </c>
      <c r="P518" s="2">
        <v>29.9</v>
      </c>
      <c r="Q518" s="2">
        <v>8170.8</v>
      </c>
      <c r="R518" s="2" t="s">
        <v>71</v>
      </c>
      <c r="S518" s="2">
        <v>737</v>
      </c>
      <c r="T518" s="2">
        <v>52</v>
      </c>
      <c r="U518" s="2" t="s">
        <v>83</v>
      </c>
      <c r="V518" s="2" t="s">
        <v>83</v>
      </c>
      <c r="W518" s="2">
        <v>5</v>
      </c>
      <c r="X518" s="2">
        <v>4.3</v>
      </c>
    </row>
    <row r="519" spans="1:24" ht="15" customHeight="1">
      <c r="A519" s="2" t="s">
        <v>1776</v>
      </c>
      <c r="B519" s="2" t="s">
        <v>1777</v>
      </c>
      <c r="C519" s="2">
        <v>11</v>
      </c>
      <c r="D519" s="2" t="s">
        <v>177</v>
      </c>
      <c r="E519" s="2" t="s">
        <v>448</v>
      </c>
      <c r="F519" s="2" t="s">
        <v>77</v>
      </c>
      <c r="G519" s="2" t="s">
        <v>96</v>
      </c>
      <c r="H519" s="2" t="s">
        <v>245</v>
      </c>
      <c r="I519" s="2" t="s">
        <v>415</v>
      </c>
      <c r="J519" s="2" t="s">
        <v>48</v>
      </c>
      <c r="K519" s="2" t="s">
        <v>49</v>
      </c>
      <c r="L519" s="2" t="s">
        <v>50</v>
      </c>
      <c r="M519" s="2" t="s">
        <v>51</v>
      </c>
      <c r="N519" s="2" t="s">
        <v>36</v>
      </c>
      <c r="O519" s="2">
        <v>9400.3700000000008</v>
      </c>
      <c r="P519" s="2">
        <v>61.8</v>
      </c>
      <c r="Q519" s="2">
        <v>48478.33</v>
      </c>
      <c r="R519" s="2" t="s">
        <v>82</v>
      </c>
      <c r="S519" s="2">
        <v>384</v>
      </c>
      <c r="T519" s="2">
        <v>123</v>
      </c>
      <c r="U519" s="2" t="s">
        <v>98</v>
      </c>
      <c r="V519" s="2" t="s">
        <v>72</v>
      </c>
      <c r="W519" s="2">
        <v>5</v>
      </c>
      <c r="X519" s="2">
        <v>0.7</v>
      </c>
    </row>
    <row r="520" spans="1:24" ht="15" customHeight="1">
      <c r="A520" s="2" t="s">
        <v>1778</v>
      </c>
      <c r="B520" s="2" t="s">
        <v>1779</v>
      </c>
      <c r="C520" s="2">
        <v>30</v>
      </c>
      <c r="D520" s="2" t="s">
        <v>55</v>
      </c>
      <c r="E520" s="2" t="s">
        <v>315</v>
      </c>
      <c r="F520" s="2" t="s">
        <v>77</v>
      </c>
      <c r="G520" s="2" t="s">
        <v>190</v>
      </c>
      <c r="H520" s="2" t="s">
        <v>79</v>
      </c>
      <c r="I520" s="2" t="s">
        <v>1780</v>
      </c>
      <c r="J520" s="2" t="s">
        <v>81</v>
      </c>
      <c r="K520" s="2" t="s">
        <v>67</v>
      </c>
      <c r="L520" s="2" t="s">
        <v>68</v>
      </c>
      <c r="M520" s="2" t="s">
        <v>51</v>
      </c>
      <c r="N520" s="2" t="s">
        <v>70</v>
      </c>
      <c r="O520" s="2">
        <v>76215.179999999993</v>
      </c>
      <c r="P520" s="2">
        <v>10.7</v>
      </c>
      <c r="Q520" s="2">
        <v>10543.5</v>
      </c>
      <c r="R520" s="2" t="s">
        <v>129</v>
      </c>
      <c r="S520" s="2">
        <v>343</v>
      </c>
      <c r="T520" s="2">
        <v>120</v>
      </c>
      <c r="U520" s="2" t="s">
        <v>98</v>
      </c>
      <c r="V520" s="2" t="s">
        <v>72</v>
      </c>
      <c r="W520" s="2">
        <v>1</v>
      </c>
      <c r="X520" s="2">
        <v>5.6</v>
      </c>
    </row>
    <row r="521" spans="1:24" ht="15" customHeight="1">
      <c r="A521" s="2" t="s">
        <v>1781</v>
      </c>
      <c r="B521" s="2" t="s">
        <v>1782</v>
      </c>
      <c r="C521" s="2">
        <v>21</v>
      </c>
      <c r="D521" s="2" t="s">
        <v>42</v>
      </c>
      <c r="E521" s="2" t="s">
        <v>696</v>
      </c>
      <c r="F521" s="2" t="s">
        <v>30</v>
      </c>
      <c r="G521" s="2" t="s">
        <v>96</v>
      </c>
      <c r="H521" s="2" t="s">
        <v>46</v>
      </c>
      <c r="I521" s="2" t="s">
        <v>142</v>
      </c>
      <c r="J521" s="2" t="s">
        <v>113</v>
      </c>
      <c r="K521" s="2" t="s">
        <v>67</v>
      </c>
      <c r="L521" s="2" t="s">
        <v>68</v>
      </c>
      <c r="M521" s="2" t="s">
        <v>51</v>
      </c>
      <c r="N521" s="2" t="s">
        <v>60</v>
      </c>
      <c r="O521" s="2">
        <v>120666.52</v>
      </c>
      <c r="P521" s="2">
        <v>79.3</v>
      </c>
      <c r="Q521" s="2">
        <v>22173.98</v>
      </c>
      <c r="R521" s="2" t="s">
        <v>61</v>
      </c>
      <c r="S521" s="2">
        <v>617</v>
      </c>
      <c r="T521" s="2">
        <v>200</v>
      </c>
      <c r="U521" s="2" t="s">
        <v>72</v>
      </c>
      <c r="V521" s="2" t="s">
        <v>98</v>
      </c>
      <c r="W521" s="2">
        <v>1</v>
      </c>
      <c r="X521" s="2">
        <v>4</v>
      </c>
    </row>
    <row r="522" spans="1:24" ht="15" customHeight="1">
      <c r="A522" s="2" t="s">
        <v>1783</v>
      </c>
      <c r="B522" s="2" t="s">
        <v>1784</v>
      </c>
      <c r="C522" s="2">
        <v>45</v>
      </c>
      <c r="D522" s="2" t="s">
        <v>171</v>
      </c>
      <c r="E522" s="2" t="s">
        <v>480</v>
      </c>
      <c r="F522" s="2" t="s">
        <v>44</v>
      </c>
      <c r="G522" s="2" t="s">
        <v>217</v>
      </c>
      <c r="H522" s="2" t="s">
        <v>79</v>
      </c>
      <c r="I522" s="2" t="s">
        <v>254</v>
      </c>
      <c r="J522" s="2" t="s">
        <v>90</v>
      </c>
      <c r="K522" s="2" t="s">
        <v>67</v>
      </c>
      <c r="L522" s="2" t="s">
        <v>68</v>
      </c>
      <c r="M522" s="2" t="s">
        <v>51</v>
      </c>
      <c r="N522" s="2" t="s">
        <v>36</v>
      </c>
      <c r="O522" s="2">
        <v>23018.35</v>
      </c>
      <c r="P522" s="2">
        <v>44.7</v>
      </c>
      <c r="Q522" s="2">
        <v>298.3</v>
      </c>
      <c r="R522" s="2" t="s">
        <v>37</v>
      </c>
      <c r="S522" s="2">
        <v>481</v>
      </c>
      <c r="T522" s="2">
        <v>121</v>
      </c>
      <c r="U522" s="2" t="s">
        <v>39</v>
      </c>
      <c r="V522" s="2" t="s">
        <v>98</v>
      </c>
      <c r="W522" s="2">
        <v>2</v>
      </c>
      <c r="X522" s="2">
        <v>5</v>
      </c>
    </row>
    <row r="523" spans="1:24" ht="15" customHeight="1">
      <c r="A523" s="2" t="s">
        <v>1785</v>
      </c>
      <c r="B523" s="2" t="s">
        <v>1786</v>
      </c>
      <c r="C523" s="2">
        <v>15</v>
      </c>
      <c r="D523" s="2" t="s">
        <v>101</v>
      </c>
      <c r="E523" s="2" t="s">
        <v>87</v>
      </c>
      <c r="F523" s="2" t="s">
        <v>120</v>
      </c>
      <c r="G523" s="2" t="s">
        <v>190</v>
      </c>
      <c r="H523" s="2" t="s">
        <v>79</v>
      </c>
      <c r="I523" s="2" t="s">
        <v>1787</v>
      </c>
      <c r="J523" s="2" t="s">
        <v>113</v>
      </c>
      <c r="K523" s="2" t="s">
        <v>114</v>
      </c>
      <c r="L523" s="2" t="s">
        <v>115</v>
      </c>
      <c r="M523" s="2" t="s">
        <v>0</v>
      </c>
      <c r="N523" s="2" t="s">
        <v>70</v>
      </c>
      <c r="O523" s="2">
        <v>114689.52</v>
      </c>
      <c r="P523" s="2">
        <v>59.2</v>
      </c>
      <c r="Q523" s="2">
        <v>50702.38</v>
      </c>
      <c r="R523" s="2" t="s">
        <v>138</v>
      </c>
      <c r="S523" s="2">
        <v>406</v>
      </c>
      <c r="T523" s="2">
        <v>199</v>
      </c>
      <c r="U523" s="2" t="s">
        <v>72</v>
      </c>
      <c r="V523" s="2" t="s">
        <v>72</v>
      </c>
      <c r="W523" s="2">
        <v>4</v>
      </c>
      <c r="X523" s="2">
        <v>3</v>
      </c>
    </row>
    <row r="524" spans="1:24" ht="15" customHeight="1">
      <c r="A524" s="2" t="s">
        <v>1788</v>
      </c>
      <c r="B524" s="2" t="s">
        <v>1789</v>
      </c>
      <c r="C524" s="2">
        <v>28</v>
      </c>
      <c r="D524" s="2" t="s">
        <v>42</v>
      </c>
      <c r="E524" s="2" t="s">
        <v>1790</v>
      </c>
      <c r="F524" s="2" t="s">
        <v>44</v>
      </c>
      <c r="G524" s="2" t="s">
        <v>217</v>
      </c>
      <c r="H524" s="2" t="s">
        <v>58</v>
      </c>
      <c r="I524" s="2" t="s">
        <v>1791</v>
      </c>
      <c r="J524" s="2" t="s">
        <v>128</v>
      </c>
      <c r="K524" s="2" t="s">
        <v>67</v>
      </c>
      <c r="L524" s="2" t="s">
        <v>68</v>
      </c>
      <c r="M524" s="2" t="s">
        <v>51</v>
      </c>
      <c r="N524" s="2" t="s">
        <v>60</v>
      </c>
      <c r="O524" s="2">
        <v>144086.67000000001</v>
      </c>
      <c r="P524" s="2">
        <v>6.7</v>
      </c>
      <c r="Q524" s="2">
        <v>5076.41</v>
      </c>
      <c r="R524" s="2" t="s">
        <v>158</v>
      </c>
      <c r="S524" s="2">
        <v>721</v>
      </c>
      <c r="T524" s="2">
        <v>74</v>
      </c>
      <c r="U524" s="2" t="s">
        <v>83</v>
      </c>
      <c r="V524" s="2" t="s">
        <v>122</v>
      </c>
      <c r="W524" s="2">
        <v>2</v>
      </c>
      <c r="X524" s="2">
        <v>5.2</v>
      </c>
    </row>
    <row r="525" spans="1:24" ht="15" customHeight="1">
      <c r="A525" s="2" t="s">
        <v>1792</v>
      </c>
      <c r="B525" s="2" t="s">
        <v>1793</v>
      </c>
      <c r="C525" s="2">
        <v>23</v>
      </c>
      <c r="D525" s="2" t="s">
        <v>28</v>
      </c>
      <c r="E525" s="2" t="s">
        <v>788</v>
      </c>
      <c r="F525" s="2" t="s">
        <v>44</v>
      </c>
      <c r="G525" s="2" t="s">
        <v>96</v>
      </c>
      <c r="H525" s="2" t="s">
        <v>245</v>
      </c>
      <c r="I525" s="2" t="s">
        <v>380</v>
      </c>
      <c r="J525" s="2" t="s">
        <v>128</v>
      </c>
      <c r="K525" s="2" t="s">
        <v>67</v>
      </c>
      <c r="L525" s="2" t="s">
        <v>68</v>
      </c>
      <c r="M525" s="2" t="s">
        <v>35</v>
      </c>
      <c r="N525" s="2" t="s">
        <v>60</v>
      </c>
      <c r="O525" s="2">
        <v>145611.12</v>
      </c>
      <c r="P525" s="2">
        <v>19.600000000000001</v>
      </c>
      <c r="Q525" s="2">
        <v>31572.75</v>
      </c>
      <c r="R525" s="2" t="s">
        <v>37</v>
      </c>
      <c r="S525" s="2">
        <v>425</v>
      </c>
      <c r="T525" s="2">
        <v>56</v>
      </c>
      <c r="U525" s="2" t="s">
        <v>108</v>
      </c>
      <c r="V525" s="2" t="s">
        <v>108</v>
      </c>
      <c r="W525" s="2">
        <v>5</v>
      </c>
      <c r="X525" s="2">
        <v>4.4000000000000004</v>
      </c>
    </row>
    <row r="526" spans="1:24" ht="15" customHeight="1">
      <c r="A526" s="2" t="s">
        <v>1794</v>
      </c>
      <c r="B526" s="2" t="s">
        <v>1795</v>
      </c>
      <c r="C526" s="2">
        <v>13</v>
      </c>
      <c r="D526" s="2" t="s">
        <v>55</v>
      </c>
      <c r="E526" s="2" t="s">
        <v>552</v>
      </c>
      <c r="F526" s="2" t="s">
        <v>167</v>
      </c>
      <c r="G526" s="2" t="s">
        <v>31</v>
      </c>
      <c r="H526" s="2" t="s">
        <v>104</v>
      </c>
      <c r="I526" s="2" t="s">
        <v>1796</v>
      </c>
      <c r="J526" s="2" t="s">
        <v>48</v>
      </c>
      <c r="K526" s="2" t="s">
        <v>49</v>
      </c>
      <c r="L526" s="2" t="s">
        <v>50</v>
      </c>
      <c r="M526" s="2" t="s">
        <v>51</v>
      </c>
      <c r="N526" s="2" t="s">
        <v>70</v>
      </c>
      <c r="O526" s="2">
        <v>128947.96</v>
      </c>
      <c r="P526" s="2">
        <v>76.7</v>
      </c>
      <c r="Q526" s="2">
        <v>55087.82</v>
      </c>
      <c r="R526" s="2"/>
      <c r="S526" s="2">
        <v>808</v>
      </c>
      <c r="T526" s="2">
        <v>83</v>
      </c>
      <c r="U526" s="2" t="s">
        <v>72</v>
      </c>
      <c r="V526" s="2" t="s">
        <v>73</v>
      </c>
      <c r="W526" s="2">
        <v>5</v>
      </c>
      <c r="X526" s="2">
        <v>6.6</v>
      </c>
    </row>
    <row r="527" spans="1:24" ht="15" customHeight="1">
      <c r="A527" s="2" t="s">
        <v>1797</v>
      </c>
      <c r="B527" s="2" t="s">
        <v>1798</v>
      </c>
      <c r="C527" s="2"/>
      <c r="D527" s="2" t="s">
        <v>101</v>
      </c>
      <c r="E527" s="2" t="s">
        <v>631</v>
      </c>
      <c r="F527" s="2" t="s">
        <v>44</v>
      </c>
      <c r="G527" s="2" t="s">
        <v>31</v>
      </c>
      <c r="H527" s="2" t="s">
        <v>173</v>
      </c>
      <c r="I527" s="2" t="s">
        <v>1799</v>
      </c>
      <c r="J527" s="2" t="s">
        <v>81</v>
      </c>
      <c r="K527" s="2"/>
      <c r="L527" s="2"/>
      <c r="M527" s="2" t="s">
        <v>69</v>
      </c>
      <c r="N527" s="2" t="s">
        <v>36</v>
      </c>
      <c r="O527" s="2">
        <v>59707.21</v>
      </c>
      <c r="P527" s="2">
        <v>57.7</v>
      </c>
      <c r="Q527" s="2">
        <v>15833.23</v>
      </c>
      <c r="R527" s="2" t="s">
        <v>129</v>
      </c>
      <c r="S527" s="2">
        <v>422</v>
      </c>
      <c r="T527" s="2">
        <v>106</v>
      </c>
      <c r="U527" s="2" t="s">
        <v>83</v>
      </c>
      <c r="V527" s="2" t="s">
        <v>38</v>
      </c>
      <c r="W527" s="2">
        <v>5</v>
      </c>
      <c r="X527" s="2">
        <v>7.2</v>
      </c>
    </row>
    <row r="528" spans="1:24" ht="15" customHeight="1">
      <c r="A528" s="2" t="s">
        <v>1800</v>
      </c>
      <c r="B528" s="2" t="s">
        <v>1801</v>
      </c>
      <c r="C528" s="2">
        <v>25</v>
      </c>
      <c r="D528" s="2" t="s">
        <v>93</v>
      </c>
      <c r="E528" s="2" t="s">
        <v>555</v>
      </c>
      <c r="F528" s="2" t="s">
        <v>120</v>
      </c>
      <c r="G528" s="2" t="s">
        <v>190</v>
      </c>
      <c r="H528" s="2" t="s">
        <v>65</v>
      </c>
      <c r="I528" s="2" t="s">
        <v>1802</v>
      </c>
      <c r="J528" s="2" t="s">
        <v>113</v>
      </c>
      <c r="K528" s="2" t="s">
        <v>67</v>
      </c>
      <c r="L528" s="2" t="s">
        <v>68</v>
      </c>
      <c r="M528" s="2" t="s">
        <v>51</v>
      </c>
      <c r="N528" s="2" t="s">
        <v>60</v>
      </c>
      <c r="O528" s="2">
        <v>90050.78</v>
      </c>
      <c r="P528" s="2">
        <v>35.5</v>
      </c>
      <c r="Q528" s="2">
        <v>10236.040000000001</v>
      </c>
      <c r="R528" s="2" t="s">
        <v>148</v>
      </c>
      <c r="S528" s="2">
        <v>520</v>
      </c>
      <c r="T528" s="2">
        <v>129</v>
      </c>
      <c r="U528" s="2" t="s">
        <v>108</v>
      </c>
      <c r="V528" s="2" t="s">
        <v>98</v>
      </c>
      <c r="W528" s="2">
        <v>3</v>
      </c>
      <c r="X528" s="2">
        <v>3.3</v>
      </c>
    </row>
    <row r="529" spans="1:24" ht="15" customHeight="1">
      <c r="A529" s="2" t="s">
        <v>1803</v>
      </c>
      <c r="B529" s="2" t="s">
        <v>1804</v>
      </c>
      <c r="C529" s="2">
        <v>8</v>
      </c>
      <c r="D529" s="2" t="s">
        <v>28</v>
      </c>
      <c r="E529" s="2" t="s">
        <v>1221</v>
      </c>
      <c r="F529" s="2" t="s">
        <v>95</v>
      </c>
      <c r="G529" s="2" t="s">
        <v>162</v>
      </c>
      <c r="H529" s="2" t="s">
        <v>173</v>
      </c>
      <c r="I529" s="2" t="s">
        <v>1383</v>
      </c>
      <c r="J529" s="2" t="s">
        <v>113</v>
      </c>
      <c r="K529" s="2" t="s">
        <v>106</v>
      </c>
      <c r="L529" s="2" t="s">
        <v>50</v>
      </c>
      <c r="M529" s="2" t="s">
        <v>51</v>
      </c>
      <c r="N529" s="2" t="s">
        <v>36</v>
      </c>
      <c r="O529" s="2">
        <v>11721.97</v>
      </c>
      <c r="P529" s="2">
        <v>13.7</v>
      </c>
      <c r="Q529" s="2">
        <v>7727.19</v>
      </c>
      <c r="R529" s="2" t="s">
        <v>71</v>
      </c>
      <c r="S529" s="2">
        <v>497</v>
      </c>
      <c r="T529" s="2">
        <v>14</v>
      </c>
      <c r="U529" s="2" t="s">
        <v>122</v>
      </c>
      <c r="V529" s="2" t="s">
        <v>73</v>
      </c>
      <c r="W529" s="2">
        <v>5</v>
      </c>
      <c r="X529" s="2">
        <v>1.3</v>
      </c>
    </row>
    <row r="530" spans="1:24" ht="15" customHeight="1">
      <c r="A530" s="2" t="s">
        <v>1805</v>
      </c>
      <c r="B530" s="2" t="s">
        <v>1806</v>
      </c>
      <c r="C530" s="2"/>
      <c r="D530" s="2" t="s">
        <v>118</v>
      </c>
      <c r="E530" s="2" t="s">
        <v>805</v>
      </c>
      <c r="F530" s="2" t="s">
        <v>167</v>
      </c>
      <c r="G530" s="2" t="s">
        <v>31</v>
      </c>
      <c r="H530" s="2" t="s">
        <v>79</v>
      </c>
      <c r="I530" s="2" t="s">
        <v>1807</v>
      </c>
      <c r="J530" s="2" t="s">
        <v>90</v>
      </c>
      <c r="K530" s="2"/>
      <c r="L530" s="2"/>
      <c r="M530" s="2" t="s">
        <v>51</v>
      </c>
      <c r="N530" s="2" t="s">
        <v>60</v>
      </c>
      <c r="O530" s="2">
        <v>68254.87</v>
      </c>
      <c r="P530" s="2">
        <v>52</v>
      </c>
      <c r="Q530" s="2">
        <v>29116.21</v>
      </c>
      <c r="R530" s="2" t="s">
        <v>148</v>
      </c>
      <c r="S530" s="2">
        <v>515</v>
      </c>
      <c r="T530" s="2">
        <v>67</v>
      </c>
      <c r="U530" s="2" t="s">
        <v>72</v>
      </c>
      <c r="V530" s="2" t="s">
        <v>83</v>
      </c>
      <c r="W530" s="2">
        <v>3</v>
      </c>
      <c r="X530" s="2">
        <v>8.1</v>
      </c>
    </row>
    <row r="531" spans="1:24" ht="15" customHeight="1">
      <c r="A531" s="2" t="s">
        <v>1808</v>
      </c>
      <c r="B531" s="2" t="s">
        <v>1809</v>
      </c>
      <c r="C531" s="2">
        <v>34</v>
      </c>
      <c r="D531" s="2" t="s">
        <v>86</v>
      </c>
      <c r="E531" s="2" t="s">
        <v>1810</v>
      </c>
      <c r="F531" s="2" t="s">
        <v>103</v>
      </c>
      <c r="G531" s="2" t="s">
        <v>217</v>
      </c>
      <c r="H531" s="2" t="s">
        <v>58</v>
      </c>
      <c r="I531" s="2" t="s">
        <v>1811</v>
      </c>
      <c r="J531" s="2" t="s">
        <v>81</v>
      </c>
      <c r="K531" s="2" t="s">
        <v>67</v>
      </c>
      <c r="L531" s="2" t="s">
        <v>68</v>
      </c>
      <c r="M531" s="2" t="s">
        <v>69</v>
      </c>
      <c r="N531" s="2" t="s">
        <v>36</v>
      </c>
      <c r="O531" s="2">
        <v>58731.61</v>
      </c>
      <c r="P531" s="2">
        <v>6.4</v>
      </c>
      <c r="Q531" s="2">
        <v>49335.41</v>
      </c>
      <c r="R531" s="2" t="s">
        <v>37</v>
      </c>
      <c r="S531" s="2">
        <v>878</v>
      </c>
      <c r="T531" s="2">
        <v>16</v>
      </c>
      <c r="U531" s="2" t="s">
        <v>38</v>
      </c>
      <c r="V531" s="2" t="s">
        <v>108</v>
      </c>
      <c r="W531" s="2">
        <v>4</v>
      </c>
      <c r="X531" s="2">
        <v>8.9</v>
      </c>
    </row>
    <row r="532" spans="1:24" ht="15" customHeight="1">
      <c r="A532" s="2" t="s">
        <v>1812</v>
      </c>
      <c r="B532" s="2" t="s">
        <v>1813</v>
      </c>
      <c r="C532" s="2">
        <v>44</v>
      </c>
      <c r="D532" s="2" t="s">
        <v>171</v>
      </c>
      <c r="E532" s="2" t="s">
        <v>950</v>
      </c>
      <c r="F532" s="2" t="s">
        <v>95</v>
      </c>
      <c r="G532" s="2" t="s">
        <v>190</v>
      </c>
      <c r="H532" s="2" t="s">
        <v>46</v>
      </c>
      <c r="I532" s="2" t="s">
        <v>1573</v>
      </c>
      <c r="J532" s="2" t="s">
        <v>90</v>
      </c>
      <c r="K532" s="2" t="s">
        <v>67</v>
      </c>
      <c r="L532" s="2" t="s">
        <v>68</v>
      </c>
      <c r="M532" s="2" t="s">
        <v>51</v>
      </c>
      <c r="N532" s="2" t="s">
        <v>36</v>
      </c>
      <c r="O532" s="2">
        <v>118611.96</v>
      </c>
      <c r="P532" s="2">
        <v>52.8</v>
      </c>
      <c r="Q532" s="2">
        <v>34125.67</v>
      </c>
      <c r="R532" s="2" t="s">
        <v>61</v>
      </c>
      <c r="S532" s="2">
        <v>878</v>
      </c>
      <c r="T532" s="2">
        <v>5</v>
      </c>
      <c r="U532" s="2" t="s">
        <v>39</v>
      </c>
      <c r="V532" s="2" t="s">
        <v>83</v>
      </c>
      <c r="W532" s="2">
        <v>1</v>
      </c>
      <c r="X532" s="2">
        <v>2.1</v>
      </c>
    </row>
    <row r="533" spans="1:24" ht="15" customHeight="1">
      <c r="A533" s="2" t="s">
        <v>1814</v>
      </c>
      <c r="B533" s="2" t="s">
        <v>1815</v>
      </c>
      <c r="C533" s="2">
        <v>24</v>
      </c>
      <c r="D533" s="2" t="s">
        <v>118</v>
      </c>
      <c r="E533" s="2" t="s">
        <v>430</v>
      </c>
      <c r="F533" s="2" t="s">
        <v>184</v>
      </c>
      <c r="G533" s="2" t="s">
        <v>162</v>
      </c>
      <c r="H533" s="2" t="s">
        <v>58</v>
      </c>
      <c r="I533" s="2" t="s">
        <v>153</v>
      </c>
      <c r="J533" s="2" t="s">
        <v>34</v>
      </c>
      <c r="K533" s="2" t="s">
        <v>67</v>
      </c>
      <c r="L533" s="2" t="s">
        <v>68</v>
      </c>
      <c r="M533" s="2" t="s">
        <v>51</v>
      </c>
      <c r="N533" s="2" t="s">
        <v>70</v>
      </c>
      <c r="O533" s="2">
        <v>145989.67000000001</v>
      </c>
      <c r="P533" s="2">
        <v>38.1</v>
      </c>
      <c r="Q533" s="2">
        <v>44956.59</v>
      </c>
      <c r="R533" s="2" t="s">
        <v>129</v>
      </c>
      <c r="S533" s="2">
        <v>533</v>
      </c>
      <c r="T533" s="2">
        <v>56</v>
      </c>
      <c r="U533" s="2" t="s">
        <v>38</v>
      </c>
      <c r="V533" s="2" t="s">
        <v>83</v>
      </c>
      <c r="W533" s="2">
        <v>5</v>
      </c>
      <c r="X533" s="2">
        <v>6.9</v>
      </c>
    </row>
    <row r="534" spans="1:24" ht="15" customHeight="1">
      <c r="A534" s="2" t="s">
        <v>1816</v>
      </c>
      <c r="B534" s="2" t="s">
        <v>1817</v>
      </c>
      <c r="C534" s="2">
        <v>6</v>
      </c>
      <c r="D534" s="2" t="s">
        <v>177</v>
      </c>
      <c r="E534" s="2" t="s">
        <v>510</v>
      </c>
      <c r="F534" s="2" t="s">
        <v>30</v>
      </c>
      <c r="G534" s="2" t="s">
        <v>217</v>
      </c>
      <c r="H534" s="2" t="s">
        <v>32</v>
      </c>
      <c r="I534" s="2" t="s">
        <v>163</v>
      </c>
      <c r="J534" s="2" t="s">
        <v>81</v>
      </c>
      <c r="K534" s="2" t="s">
        <v>106</v>
      </c>
      <c r="L534" s="2" t="s">
        <v>50</v>
      </c>
      <c r="M534" s="2" t="s">
        <v>51</v>
      </c>
      <c r="N534" s="2" t="s">
        <v>70</v>
      </c>
      <c r="O534" s="2">
        <v>90624.26</v>
      </c>
      <c r="P534" s="2">
        <v>55.7</v>
      </c>
      <c r="Q534" s="2">
        <v>26048.73</v>
      </c>
      <c r="R534" s="2" t="s">
        <v>138</v>
      </c>
      <c r="S534" s="2">
        <v>863</v>
      </c>
      <c r="T534" s="2">
        <v>96</v>
      </c>
      <c r="U534" s="2" t="s">
        <v>73</v>
      </c>
      <c r="V534" s="2" t="s">
        <v>83</v>
      </c>
      <c r="W534" s="2">
        <v>1</v>
      </c>
      <c r="X534" s="2">
        <v>5.3</v>
      </c>
    </row>
    <row r="535" spans="1:24" ht="15" customHeight="1">
      <c r="A535" s="2" t="s">
        <v>1818</v>
      </c>
      <c r="B535" s="2" t="s">
        <v>1819</v>
      </c>
      <c r="C535" s="2">
        <v>15</v>
      </c>
      <c r="D535" s="2" t="s">
        <v>55</v>
      </c>
      <c r="E535" s="2" t="s">
        <v>885</v>
      </c>
      <c r="F535" s="2" t="s">
        <v>88</v>
      </c>
      <c r="G535" s="2" t="s">
        <v>31</v>
      </c>
      <c r="H535" s="2" t="s">
        <v>126</v>
      </c>
      <c r="I535" s="2" t="s">
        <v>1820</v>
      </c>
      <c r="J535" s="2" t="s">
        <v>34</v>
      </c>
      <c r="K535" s="2" t="s">
        <v>114</v>
      </c>
      <c r="L535" s="2" t="s">
        <v>115</v>
      </c>
      <c r="M535" s="2" t="s">
        <v>51</v>
      </c>
      <c r="N535" s="2" t="s">
        <v>36</v>
      </c>
      <c r="O535" s="2">
        <v>44425.71</v>
      </c>
      <c r="P535" s="2">
        <v>69.099999999999994</v>
      </c>
      <c r="Q535" s="2">
        <v>49951.8</v>
      </c>
      <c r="R535" s="2" t="s">
        <v>97</v>
      </c>
      <c r="S535" s="2" t="s">
        <v>195</v>
      </c>
      <c r="T535" s="2">
        <v>170</v>
      </c>
      <c r="U535" s="2" t="s">
        <v>73</v>
      </c>
      <c r="V535" s="2" t="s">
        <v>72</v>
      </c>
      <c r="W535" s="2">
        <v>1</v>
      </c>
      <c r="X535" s="2">
        <v>1.5</v>
      </c>
    </row>
    <row r="536" spans="1:24" ht="15" customHeight="1">
      <c r="A536" s="2" t="s">
        <v>1821</v>
      </c>
      <c r="B536" s="2" t="s">
        <v>1822</v>
      </c>
      <c r="C536" s="2">
        <v>18</v>
      </c>
      <c r="D536" s="2" t="s">
        <v>93</v>
      </c>
      <c r="E536" s="2" t="s">
        <v>562</v>
      </c>
      <c r="F536" s="2" t="s">
        <v>120</v>
      </c>
      <c r="G536" s="2" t="s">
        <v>96</v>
      </c>
      <c r="H536" s="2" t="s">
        <v>245</v>
      </c>
      <c r="I536" s="2" t="s">
        <v>415</v>
      </c>
      <c r="J536" s="2" t="s">
        <v>81</v>
      </c>
      <c r="K536" s="2" t="s">
        <v>147</v>
      </c>
      <c r="L536" s="2" t="s">
        <v>115</v>
      </c>
      <c r="M536" s="2" t="s">
        <v>69</v>
      </c>
      <c r="N536" s="2" t="s">
        <v>36</v>
      </c>
      <c r="O536" s="2">
        <v>92947.38</v>
      </c>
      <c r="P536" s="2">
        <v>29.1</v>
      </c>
      <c r="Q536" s="2">
        <v>27188.21</v>
      </c>
      <c r="R536" s="2" t="s">
        <v>52</v>
      </c>
      <c r="S536" s="2">
        <v>896</v>
      </c>
      <c r="T536" s="2">
        <v>164</v>
      </c>
      <c r="U536" s="2" t="s">
        <v>39</v>
      </c>
      <c r="V536" s="2" t="s">
        <v>122</v>
      </c>
      <c r="W536" s="2">
        <v>2</v>
      </c>
      <c r="X536" s="2">
        <v>5.9</v>
      </c>
    </row>
    <row r="537" spans="1:24" ht="15" customHeight="1">
      <c r="A537" s="2" t="s">
        <v>1823</v>
      </c>
      <c r="B537" s="2" t="s">
        <v>1824</v>
      </c>
      <c r="C537" s="2">
        <v>34</v>
      </c>
      <c r="D537" s="2" t="s">
        <v>171</v>
      </c>
      <c r="E537" s="2" t="s">
        <v>460</v>
      </c>
      <c r="F537" s="2" t="s">
        <v>57</v>
      </c>
      <c r="G537" s="2" t="s">
        <v>162</v>
      </c>
      <c r="H537" s="2" t="s">
        <v>152</v>
      </c>
      <c r="I537" s="2" t="s">
        <v>1434</v>
      </c>
      <c r="J537" s="2" t="s">
        <v>48</v>
      </c>
      <c r="K537" s="2" t="s">
        <v>67</v>
      </c>
      <c r="L537" s="2" t="s">
        <v>68</v>
      </c>
      <c r="M537" s="2" t="s">
        <v>35</v>
      </c>
      <c r="N537" s="2" t="s">
        <v>60</v>
      </c>
      <c r="O537" s="2">
        <v>85542.35</v>
      </c>
      <c r="P537" s="2">
        <v>70.400000000000006</v>
      </c>
      <c r="Q537" s="2">
        <v>43499.29</v>
      </c>
      <c r="R537" s="2" t="s">
        <v>158</v>
      </c>
      <c r="S537" s="2">
        <v>348</v>
      </c>
      <c r="T537" s="2">
        <v>144</v>
      </c>
      <c r="U537" s="2" t="s">
        <v>122</v>
      </c>
      <c r="V537" s="2" t="s">
        <v>98</v>
      </c>
      <c r="W537" s="2">
        <v>5</v>
      </c>
      <c r="X537" s="2">
        <v>6.2</v>
      </c>
    </row>
    <row r="538" spans="1:24" ht="15" customHeight="1">
      <c r="A538" s="2" t="s">
        <v>1825</v>
      </c>
      <c r="B538" s="2" t="s">
        <v>1826</v>
      </c>
      <c r="C538" s="2">
        <v>18</v>
      </c>
      <c r="D538" s="2" t="s">
        <v>118</v>
      </c>
      <c r="E538" s="2" t="s">
        <v>971</v>
      </c>
      <c r="F538" s="2" t="s">
        <v>57</v>
      </c>
      <c r="G538" s="2" t="s">
        <v>96</v>
      </c>
      <c r="H538" s="2" t="s">
        <v>173</v>
      </c>
      <c r="I538" s="2" t="s">
        <v>168</v>
      </c>
      <c r="J538" s="2" t="s">
        <v>90</v>
      </c>
      <c r="K538" s="2" t="s">
        <v>147</v>
      </c>
      <c r="L538" s="2" t="s">
        <v>115</v>
      </c>
      <c r="M538" s="2" t="s">
        <v>51</v>
      </c>
      <c r="N538" s="2" t="s">
        <v>70</v>
      </c>
      <c r="O538" s="2">
        <v>6543</v>
      </c>
      <c r="P538" s="2">
        <v>72.400000000000006</v>
      </c>
      <c r="Q538" s="2">
        <v>9856.3700000000008</v>
      </c>
      <c r="R538" s="2" t="s">
        <v>71</v>
      </c>
      <c r="S538" s="2" t="s">
        <v>195</v>
      </c>
      <c r="T538" s="2">
        <v>28</v>
      </c>
      <c r="U538" s="2" t="s">
        <v>98</v>
      </c>
      <c r="V538" s="2" t="s">
        <v>122</v>
      </c>
      <c r="W538" s="2">
        <v>2</v>
      </c>
      <c r="X538" s="2">
        <v>4.5</v>
      </c>
    </row>
    <row r="539" spans="1:24" ht="15" customHeight="1">
      <c r="A539" s="2" t="s">
        <v>1827</v>
      </c>
      <c r="B539" s="2" t="s">
        <v>1828</v>
      </c>
      <c r="C539" s="2">
        <v>30</v>
      </c>
      <c r="D539" s="2" t="s">
        <v>101</v>
      </c>
      <c r="E539" s="2" t="s">
        <v>323</v>
      </c>
      <c r="F539" s="2" t="s">
        <v>30</v>
      </c>
      <c r="G539" s="2" t="s">
        <v>190</v>
      </c>
      <c r="H539" s="2" t="s">
        <v>126</v>
      </c>
      <c r="I539" s="2" t="s">
        <v>1829</v>
      </c>
      <c r="J539" s="2" t="s">
        <v>81</v>
      </c>
      <c r="K539" s="2" t="s">
        <v>67</v>
      </c>
      <c r="L539" s="2" t="s">
        <v>68</v>
      </c>
      <c r="M539" s="2" t="s">
        <v>51</v>
      </c>
      <c r="N539" s="2" t="s">
        <v>70</v>
      </c>
      <c r="O539" s="2">
        <v>47632.39</v>
      </c>
      <c r="P539" s="2">
        <v>66.3</v>
      </c>
      <c r="Q539" s="2">
        <v>25869.58</v>
      </c>
      <c r="R539" s="2" t="s">
        <v>138</v>
      </c>
      <c r="S539" s="2">
        <v>542</v>
      </c>
      <c r="T539" s="2">
        <v>174</v>
      </c>
      <c r="U539" s="2" t="s">
        <v>72</v>
      </c>
      <c r="V539" s="2" t="s">
        <v>73</v>
      </c>
      <c r="W539" s="2">
        <v>5</v>
      </c>
      <c r="X539" s="2">
        <v>1.4</v>
      </c>
    </row>
    <row r="540" spans="1:24" ht="15" customHeight="1">
      <c r="A540" s="2" t="s">
        <v>1830</v>
      </c>
      <c r="B540" s="2" t="s">
        <v>1831</v>
      </c>
      <c r="C540" s="2">
        <v>37</v>
      </c>
      <c r="D540" s="2" t="s">
        <v>101</v>
      </c>
      <c r="E540" s="2" t="s">
        <v>1832</v>
      </c>
      <c r="F540" s="2" t="s">
        <v>57</v>
      </c>
      <c r="G540" s="2" t="s">
        <v>31</v>
      </c>
      <c r="H540" s="2" t="s">
        <v>152</v>
      </c>
      <c r="I540" s="2" t="s">
        <v>1068</v>
      </c>
      <c r="J540" s="2" t="s">
        <v>90</v>
      </c>
      <c r="K540" s="2" t="s">
        <v>67</v>
      </c>
      <c r="L540" s="2" t="s">
        <v>68</v>
      </c>
      <c r="M540" s="2" t="s">
        <v>51</v>
      </c>
      <c r="N540" s="2" t="s">
        <v>70</v>
      </c>
      <c r="O540" s="2">
        <v>29884.85</v>
      </c>
      <c r="P540" s="2">
        <v>60.1</v>
      </c>
      <c r="Q540" s="2">
        <v>29478.35</v>
      </c>
      <c r="R540" s="2"/>
      <c r="S540" s="2">
        <v>748</v>
      </c>
      <c r="T540" s="2">
        <v>109</v>
      </c>
      <c r="U540" s="2" t="s">
        <v>83</v>
      </c>
      <c r="V540" s="2" t="s">
        <v>83</v>
      </c>
      <c r="W540" s="2">
        <v>5</v>
      </c>
      <c r="X540" s="2">
        <v>6.3</v>
      </c>
    </row>
    <row r="541" spans="1:24" ht="15" customHeight="1">
      <c r="A541" s="2" t="s">
        <v>1833</v>
      </c>
      <c r="B541" s="2" t="s">
        <v>1834</v>
      </c>
      <c r="C541" s="2"/>
      <c r="D541" s="2" t="s">
        <v>55</v>
      </c>
      <c r="E541" s="2" t="s">
        <v>1835</v>
      </c>
      <c r="F541" s="2" t="s">
        <v>44</v>
      </c>
      <c r="G541" s="2" t="s">
        <v>45</v>
      </c>
      <c r="H541" s="2" t="s">
        <v>32</v>
      </c>
      <c r="I541" s="2" t="s">
        <v>652</v>
      </c>
      <c r="J541" s="2" t="s">
        <v>113</v>
      </c>
      <c r="K541" s="2"/>
      <c r="L541" s="2"/>
      <c r="M541" s="2" t="s">
        <v>51</v>
      </c>
      <c r="N541" s="2" t="s">
        <v>70</v>
      </c>
      <c r="O541" s="2">
        <v>74356.58</v>
      </c>
      <c r="P541" s="2">
        <v>69.599999999999994</v>
      </c>
      <c r="Q541" s="2">
        <v>29787.86</v>
      </c>
      <c r="R541" s="2" t="s">
        <v>129</v>
      </c>
      <c r="S541" s="2">
        <v>450</v>
      </c>
      <c r="T541" s="2">
        <v>3</v>
      </c>
      <c r="U541" s="2" t="s">
        <v>72</v>
      </c>
      <c r="V541" s="2" t="s">
        <v>39</v>
      </c>
      <c r="W541" s="2">
        <v>1</v>
      </c>
      <c r="X541" s="2">
        <v>6.1</v>
      </c>
    </row>
    <row r="542" spans="1:24" ht="15" customHeight="1">
      <c r="A542" s="2" t="s">
        <v>1836</v>
      </c>
      <c r="B542" s="2" t="s">
        <v>1837</v>
      </c>
      <c r="C542" s="2">
        <v>28</v>
      </c>
      <c r="D542" s="2" t="s">
        <v>28</v>
      </c>
      <c r="E542" s="2" t="s">
        <v>655</v>
      </c>
      <c r="F542" s="2" t="s">
        <v>95</v>
      </c>
      <c r="G542" s="2" t="s">
        <v>96</v>
      </c>
      <c r="H542" s="2" t="s">
        <v>245</v>
      </c>
      <c r="I542" s="2" t="s">
        <v>80</v>
      </c>
      <c r="J542" s="2" t="s">
        <v>48</v>
      </c>
      <c r="K542" s="2" t="s">
        <v>67</v>
      </c>
      <c r="L542" s="2" t="s">
        <v>68</v>
      </c>
      <c r="M542" s="2" t="s">
        <v>35</v>
      </c>
      <c r="N542" s="2" t="s">
        <v>36</v>
      </c>
      <c r="O542" s="2">
        <v>15565.02</v>
      </c>
      <c r="P542" s="2">
        <v>75.3</v>
      </c>
      <c r="Q542" s="2">
        <v>4365.2</v>
      </c>
      <c r="R542" s="2" t="s">
        <v>148</v>
      </c>
      <c r="S542" s="2">
        <v>635</v>
      </c>
      <c r="T542" s="2">
        <v>116</v>
      </c>
      <c r="U542" s="2" t="s">
        <v>122</v>
      </c>
      <c r="V542" s="2" t="s">
        <v>98</v>
      </c>
      <c r="W542" s="2">
        <v>5</v>
      </c>
      <c r="X542" s="2">
        <v>5.7</v>
      </c>
    </row>
    <row r="543" spans="1:24" ht="15" customHeight="1">
      <c r="A543" s="2" t="s">
        <v>1838</v>
      </c>
      <c r="B543" s="2" t="s">
        <v>1839</v>
      </c>
      <c r="C543" s="2">
        <v>7</v>
      </c>
      <c r="D543" s="2" t="s">
        <v>101</v>
      </c>
      <c r="E543" s="2" t="s">
        <v>1840</v>
      </c>
      <c r="F543" s="2" t="s">
        <v>44</v>
      </c>
      <c r="G543" s="2" t="s">
        <v>96</v>
      </c>
      <c r="H543" s="2" t="s">
        <v>245</v>
      </c>
      <c r="I543" s="2" t="s">
        <v>1841</v>
      </c>
      <c r="J543" s="2" t="s">
        <v>48</v>
      </c>
      <c r="K543" s="2" t="s">
        <v>106</v>
      </c>
      <c r="L543" s="2" t="s">
        <v>50</v>
      </c>
      <c r="M543" s="2" t="s">
        <v>51</v>
      </c>
      <c r="N543" s="2" t="s">
        <v>36</v>
      </c>
      <c r="O543" s="2">
        <v>91742.32</v>
      </c>
      <c r="P543" s="2">
        <v>43.1</v>
      </c>
      <c r="Q543" s="2">
        <v>17512.060000000001</v>
      </c>
      <c r="R543" s="2" t="s">
        <v>61</v>
      </c>
      <c r="S543" s="2">
        <v>645</v>
      </c>
      <c r="T543" s="2">
        <v>156</v>
      </c>
      <c r="U543" s="2" t="s">
        <v>108</v>
      </c>
      <c r="V543" s="2" t="s">
        <v>38</v>
      </c>
      <c r="W543" s="2">
        <v>4</v>
      </c>
      <c r="X543" s="2">
        <v>5.8</v>
      </c>
    </row>
    <row r="544" spans="1:24" ht="15" customHeight="1">
      <c r="A544" s="2" t="s">
        <v>1842</v>
      </c>
      <c r="B544" s="2" t="s">
        <v>1843</v>
      </c>
      <c r="C544" s="2">
        <v>8</v>
      </c>
      <c r="D544" s="2" t="s">
        <v>188</v>
      </c>
      <c r="E544" s="2" t="s">
        <v>1357</v>
      </c>
      <c r="F544" s="2" t="s">
        <v>57</v>
      </c>
      <c r="G544" s="2" t="s">
        <v>78</v>
      </c>
      <c r="H544" s="2" t="s">
        <v>46</v>
      </c>
      <c r="I544" s="2" t="s">
        <v>556</v>
      </c>
      <c r="J544" s="2" t="s">
        <v>34</v>
      </c>
      <c r="K544" s="2" t="s">
        <v>106</v>
      </c>
      <c r="L544" s="2" t="s">
        <v>50</v>
      </c>
      <c r="M544" s="2" t="s">
        <v>51</v>
      </c>
      <c r="N544" s="2" t="s">
        <v>60</v>
      </c>
      <c r="O544" s="2">
        <v>8801.59</v>
      </c>
      <c r="P544" s="2">
        <v>25.6</v>
      </c>
      <c r="Q544" s="2">
        <v>46814.879999999997</v>
      </c>
      <c r="R544" s="2" t="s">
        <v>82</v>
      </c>
      <c r="S544" s="2">
        <v>772</v>
      </c>
      <c r="T544" s="2">
        <v>136</v>
      </c>
      <c r="U544" s="2" t="s">
        <v>73</v>
      </c>
      <c r="V544" s="2" t="s">
        <v>98</v>
      </c>
      <c r="W544" s="2">
        <v>5</v>
      </c>
      <c r="X544" s="2">
        <v>4.7</v>
      </c>
    </row>
    <row r="545" spans="1:24" ht="15" customHeight="1">
      <c r="A545" s="2" t="s">
        <v>1844</v>
      </c>
      <c r="B545" s="2" t="s">
        <v>1845</v>
      </c>
      <c r="C545" s="2">
        <v>14</v>
      </c>
      <c r="D545" s="2" t="s">
        <v>171</v>
      </c>
      <c r="E545" s="2" t="s">
        <v>1768</v>
      </c>
      <c r="F545" s="2" t="s">
        <v>103</v>
      </c>
      <c r="G545" s="2" t="s">
        <v>162</v>
      </c>
      <c r="H545" s="2" t="s">
        <v>46</v>
      </c>
      <c r="I545" s="2" t="s">
        <v>80</v>
      </c>
      <c r="J545" s="2" t="s">
        <v>113</v>
      </c>
      <c r="K545" s="2" t="s">
        <v>114</v>
      </c>
      <c r="L545" s="2" t="s">
        <v>115</v>
      </c>
      <c r="M545" s="2" t="s">
        <v>51</v>
      </c>
      <c r="N545" s="2" t="s">
        <v>60</v>
      </c>
      <c r="O545" s="2">
        <v>58458.73</v>
      </c>
      <c r="P545" s="2">
        <v>71.2</v>
      </c>
      <c r="Q545" s="2">
        <v>39814.21</v>
      </c>
      <c r="R545" s="2" t="s">
        <v>158</v>
      </c>
      <c r="S545" s="2">
        <v>690</v>
      </c>
      <c r="T545" s="2">
        <v>84</v>
      </c>
      <c r="U545" s="2" t="s">
        <v>72</v>
      </c>
      <c r="V545" s="2" t="s">
        <v>108</v>
      </c>
      <c r="W545" s="2">
        <v>2</v>
      </c>
      <c r="X545" s="2">
        <v>2.9</v>
      </c>
    </row>
    <row r="546" spans="1:24" ht="15" customHeight="1">
      <c r="A546" s="2" t="s">
        <v>1846</v>
      </c>
      <c r="B546" s="2" t="s">
        <v>1847</v>
      </c>
      <c r="C546" s="2">
        <v>27</v>
      </c>
      <c r="D546" s="2" t="s">
        <v>42</v>
      </c>
      <c r="E546" s="2" t="s">
        <v>805</v>
      </c>
      <c r="F546" s="2" t="s">
        <v>184</v>
      </c>
      <c r="G546" s="2" t="s">
        <v>179</v>
      </c>
      <c r="H546" s="2" t="s">
        <v>152</v>
      </c>
      <c r="I546" s="2" t="s">
        <v>1848</v>
      </c>
      <c r="J546" s="2" t="s">
        <v>128</v>
      </c>
      <c r="K546" s="2" t="s">
        <v>67</v>
      </c>
      <c r="L546" s="2" t="s">
        <v>68</v>
      </c>
      <c r="M546" s="2" t="s">
        <v>51</v>
      </c>
      <c r="N546" s="2" t="s">
        <v>60</v>
      </c>
      <c r="O546" s="2">
        <v>97553.68</v>
      </c>
      <c r="P546" s="2">
        <v>15</v>
      </c>
      <c r="Q546" s="2">
        <v>31962.19</v>
      </c>
      <c r="R546" s="2" t="s">
        <v>37</v>
      </c>
      <c r="S546" s="2">
        <v>700</v>
      </c>
      <c r="T546" s="2">
        <v>56</v>
      </c>
      <c r="U546" s="2" t="s">
        <v>108</v>
      </c>
      <c r="V546" s="2" t="s">
        <v>73</v>
      </c>
      <c r="W546" s="2">
        <v>2</v>
      </c>
      <c r="X546" s="2">
        <v>2.7</v>
      </c>
    </row>
    <row r="547" spans="1:24" ht="15" customHeight="1">
      <c r="A547" s="2" t="s">
        <v>1849</v>
      </c>
      <c r="B547" s="2" t="s">
        <v>1850</v>
      </c>
      <c r="C547" s="2">
        <v>17</v>
      </c>
      <c r="D547" s="2" t="s">
        <v>177</v>
      </c>
      <c r="E547" s="2" t="s">
        <v>1851</v>
      </c>
      <c r="F547" s="2" t="s">
        <v>88</v>
      </c>
      <c r="G547" s="2" t="s">
        <v>179</v>
      </c>
      <c r="H547" s="2" t="s">
        <v>79</v>
      </c>
      <c r="I547" s="2" t="s">
        <v>1852</v>
      </c>
      <c r="J547" s="2" t="s">
        <v>48</v>
      </c>
      <c r="K547" s="2" t="s">
        <v>147</v>
      </c>
      <c r="L547" s="2" t="s">
        <v>115</v>
      </c>
      <c r="M547" s="2" t="s">
        <v>35</v>
      </c>
      <c r="N547" s="2" t="s">
        <v>36</v>
      </c>
      <c r="O547" s="2">
        <v>58657.52</v>
      </c>
      <c r="P547" s="2">
        <v>79.400000000000006</v>
      </c>
      <c r="Q547" s="2">
        <v>30268.87</v>
      </c>
      <c r="R547" s="2" t="s">
        <v>107</v>
      </c>
      <c r="S547" s="2">
        <v>678</v>
      </c>
      <c r="T547" s="2">
        <v>165</v>
      </c>
      <c r="U547" s="2" t="s">
        <v>38</v>
      </c>
      <c r="V547" s="2" t="s">
        <v>38</v>
      </c>
      <c r="W547" s="2">
        <v>1</v>
      </c>
      <c r="X547" s="2">
        <v>5.7</v>
      </c>
    </row>
    <row r="548" spans="1:24" ht="15" customHeight="1">
      <c r="A548" s="2" t="s">
        <v>1853</v>
      </c>
      <c r="B548" s="2" t="s">
        <v>1854</v>
      </c>
      <c r="C548" s="2">
        <v>24</v>
      </c>
      <c r="D548" s="2" t="s">
        <v>28</v>
      </c>
      <c r="E548" s="2" t="s">
        <v>1855</v>
      </c>
      <c r="F548" s="2" t="s">
        <v>77</v>
      </c>
      <c r="G548" s="2" t="s">
        <v>31</v>
      </c>
      <c r="H548" s="2" t="s">
        <v>46</v>
      </c>
      <c r="I548" s="2" t="s">
        <v>163</v>
      </c>
      <c r="J548" s="2" t="s">
        <v>113</v>
      </c>
      <c r="K548" s="2" t="s">
        <v>67</v>
      </c>
      <c r="L548" s="2" t="s">
        <v>68</v>
      </c>
      <c r="M548" s="2" t="s">
        <v>51</v>
      </c>
      <c r="N548" s="2" t="s">
        <v>60</v>
      </c>
      <c r="O548" s="2">
        <v>80623.679999999993</v>
      </c>
      <c r="P548" s="2">
        <v>48.6</v>
      </c>
      <c r="Q548" s="2">
        <v>16148.03</v>
      </c>
      <c r="R548" s="2" t="s">
        <v>71</v>
      </c>
      <c r="S548" s="2">
        <v>672</v>
      </c>
      <c r="T548" s="2">
        <v>78</v>
      </c>
      <c r="U548" s="2" t="s">
        <v>122</v>
      </c>
      <c r="V548" s="2" t="s">
        <v>73</v>
      </c>
      <c r="W548" s="2">
        <v>1</v>
      </c>
      <c r="X548" s="2">
        <v>3.3</v>
      </c>
    </row>
    <row r="549" spans="1:24" ht="15" customHeight="1">
      <c r="A549" s="2" t="s">
        <v>1856</v>
      </c>
      <c r="B549" s="2" t="s">
        <v>1857</v>
      </c>
      <c r="C549" s="2">
        <v>17</v>
      </c>
      <c r="D549" s="2" t="s">
        <v>171</v>
      </c>
      <c r="E549" s="2" t="s">
        <v>111</v>
      </c>
      <c r="F549" s="2" t="s">
        <v>95</v>
      </c>
      <c r="G549" s="2" t="s">
        <v>45</v>
      </c>
      <c r="H549" s="2" t="s">
        <v>46</v>
      </c>
      <c r="I549" s="2" t="s">
        <v>1109</v>
      </c>
      <c r="J549" s="2" t="s">
        <v>113</v>
      </c>
      <c r="K549" s="2" t="s">
        <v>147</v>
      </c>
      <c r="L549" s="2" t="s">
        <v>115</v>
      </c>
      <c r="M549" s="2" t="s">
        <v>69</v>
      </c>
      <c r="N549" s="2" t="s">
        <v>36</v>
      </c>
      <c r="O549" s="2">
        <v>43534.39</v>
      </c>
      <c r="P549" s="2">
        <v>57.3</v>
      </c>
      <c r="Q549" s="2">
        <v>38598.720000000001</v>
      </c>
      <c r="R549" s="2" t="s">
        <v>61</v>
      </c>
      <c r="S549" s="2">
        <v>389</v>
      </c>
      <c r="T549" s="2">
        <v>90</v>
      </c>
      <c r="U549" s="2" t="s">
        <v>98</v>
      </c>
      <c r="V549" s="2" t="s">
        <v>72</v>
      </c>
      <c r="W549" s="2">
        <v>5</v>
      </c>
      <c r="X549" s="2">
        <v>5</v>
      </c>
    </row>
    <row r="550" spans="1:24" ht="15" customHeight="1">
      <c r="A550" s="2" t="s">
        <v>1858</v>
      </c>
      <c r="B550" s="2" t="s">
        <v>1859</v>
      </c>
      <c r="C550" s="2">
        <v>14</v>
      </c>
      <c r="D550" s="2" t="s">
        <v>188</v>
      </c>
      <c r="E550" s="2" t="s">
        <v>426</v>
      </c>
      <c r="F550" s="2" t="s">
        <v>57</v>
      </c>
      <c r="G550" s="2" t="s">
        <v>78</v>
      </c>
      <c r="H550" s="2" t="s">
        <v>46</v>
      </c>
      <c r="I550" s="2" t="s">
        <v>1860</v>
      </c>
      <c r="J550" s="2" t="s">
        <v>113</v>
      </c>
      <c r="K550" s="2" t="s">
        <v>114</v>
      </c>
      <c r="L550" s="2" t="s">
        <v>115</v>
      </c>
      <c r="M550" s="2" t="s">
        <v>35</v>
      </c>
      <c r="N550" s="2" t="s">
        <v>70</v>
      </c>
      <c r="O550" s="2">
        <v>85823.96</v>
      </c>
      <c r="P550" s="2">
        <v>63.2</v>
      </c>
      <c r="Q550" s="2">
        <v>24964.99</v>
      </c>
      <c r="R550" s="2" t="s">
        <v>129</v>
      </c>
      <c r="S550" s="2">
        <v>818</v>
      </c>
      <c r="T550" s="2">
        <v>193</v>
      </c>
      <c r="U550" s="2" t="s">
        <v>73</v>
      </c>
      <c r="V550" s="2" t="s">
        <v>38</v>
      </c>
      <c r="W550" s="2">
        <v>2</v>
      </c>
      <c r="X550" s="2">
        <v>1.7</v>
      </c>
    </row>
    <row r="551" spans="1:24" ht="15" customHeight="1">
      <c r="A551" s="2" t="s">
        <v>1861</v>
      </c>
      <c r="B551" s="2" t="s">
        <v>1862</v>
      </c>
      <c r="C551" s="2">
        <v>23</v>
      </c>
      <c r="D551" s="2" t="s">
        <v>171</v>
      </c>
      <c r="E551" s="2" t="s">
        <v>1863</v>
      </c>
      <c r="F551" s="2" t="s">
        <v>88</v>
      </c>
      <c r="G551" s="2" t="s">
        <v>96</v>
      </c>
      <c r="H551" s="2" t="s">
        <v>32</v>
      </c>
      <c r="I551" s="2" t="s">
        <v>1864</v>
      </c>
      <c r="J551" s="2" t="s">
        <v>128</v>
      </c>
      <c r="K551" s="2" t="s">
        <v>67</v>
      </c>
      <c r="L551" s="2" t="s">
        <v>68</v>
      </c>
      <c r="M551" s="2" t="s">
        <v>51</v>
      </c>
      <c r="N551" s="2" t="s">
        <v>60</v>
      </c>
      <c r="O551" s="2">
        <v>122800.59</v>
      </c>
      <c r="P551" s="2">
        <v>29.9</v>
      </c>
      <c r="Q551" s="2">
        <v>8167.52</v>
      </c>
      <c r="R551" s="2" t="s">
        <v>71</v>
      </c>
      <c r="S551" s="2">
        <v>343</v>
      </c>
      <c r="T551" s="2">
        <v>78</v>
      </c>
      <c r="U551" s="2" t="s">
        <v>39</v>
      </c>
      <c r="V551" s="2" t="s">
        <v>108</v>
      </c>
      <c r="W551" s="2">
        <v>2</v>
      </c>
      <c r="X551" s="2">
        <v>1.6</v>
      </c>
    </row>
    <row r="552" spans="1:24" ht="15" customHeight="1">
      <c r="A552" s="2" t="s">
        <v>1865</v>
      </c>
      <c r="B552" s="2" t="s">
        <v>1866</v>
      </c>
      <c r="C552" s="2">
        <v>13</v>
      </c>
      <c r="D552" s="2" t="s">
        <v>42</v>
      </c>
      <c r="E552" s="2" t="s">
        <v>943</v>
      </c>
      <c r="F552" s="2" t="s">
        <v>44</v>
      </c>
      <c r="G552" s="2" t="s">
        <v>96</v>
      </c>
      <c r="H552" s="2" t="s">
        <v>173</v>
      </c>
      <c r="I552" s="2" t="s">
        <v>1867</v>
      </c>
      <c r="J552" s="2" t="s">
        <v>48</v>
      </c>
      <c r="K552" s="2" t="s">
        <v>49</v>
      </c>
      <c r="L552" s="2" t="s">
        <v>50</v>
      </c>
      <c r="M552" s="2" t="s">
        <v>51</v>
      </c>
      <c r="N552" s="2" t="s">
        <v>60</v>
      </c>
      <c r="O552" s="2">
        <v>103889.27</v>
      </c>
      <c r="P552" s="2">
        <v>26.3</v>
      </c>
      <c r="Q552" s="2">
        <v>31188.54</v>
      </c>
      <c r="R552" s="2" t="s">
        <v>107</v>
      </c>
      <c r="S552" s="2">
        <v>695</v>
      </c>
      <c r="T552" s="2">
        <v>183</v>
      </c>
      <c r="U552" s="2" t="s">
        <v>39</v>
      </c>
      <c r="V552" s="2" t="s">
        <v>39</v>
      </c>
      <c r="W552" s="2">
        <v>4</v>
      </c>
      <c r="X552" s="2">
        <v>4.3</v>
      </c>
    </row>
    <row r="553" spans="1:24" ht="15" customHeight="1">
      <c r="A553" s="2" t="s">
        <v>1868</v>
      </c>
      <c r="B553" s="2" t="s">
        <v>1869</v>
      </c>
      <c r="C553" s="2">
        <v>24</v>
      </c>
      <c r="D553" s="2" t="s">
        <v>28</v>
      </c>
      <c r="E553" s="2" t="s">
        <v>859</v>
      </c>
      <c r="F553" s="2" t="s">
        <v>57</v>
      </c>
      <c r="G553" s="2" t="s">
        <v>96</v>
      </c>
      <c r="H553" s="2" t="s">
        <v>46</v>
      </c>
      <c r="I553" s="2" t="s">
        <v>1274</v>
      </c>
      <c r="J553" s="2" t="s">
        <v>90</v>
      </c>
      <c r="K553" s="2" t="s">
        <v>67</v>
      </c>
      <c r="L553" s="2" t="s">
        <v>68</v>
      </c>
      <c r="M553" s="2" t="s">
        <v>51</v>
      </c>
      <c r="N553" s="2" t="s">
        <v>60</v>
      </c>
      <c r="O553" s="2">
        <v>107597.04</v>
      </c>
      <c r="P553" s="2">
        <v>12.9</v>
      </c>
      <c r="Q553" s="2">
        <v>8023.55</v>
      </c>
      <c r="R553" s="2" t="s">
        <v>52</v>
      </c>
      <c r="S553" s="2">
        <v>504</v>
      </c>
      <c r="T553" s="2">
        <v>165</v>
      </c>
      <c r="U553" s="2" t="s">
        <v>122</v>
      </c>
      <c r="V553" s="2" t="s">
        <v>108</v>
      </c>
      <c r="W553" s="2">
        <v>4</v>
      </c>
      <c r="X553" s="2">
        <v>6.8</v>
      </c>
    </row>
    <row r="554" spans="1:24" ht="15" customHeight="1">
      <c r="A554" s="2" t="s">
        <v>1870</v>
      </c>
      <c r="B554" s="2" t="s">
        <v>1871</v>
      </c>
      <c r="C554" s="2">
        <v>32</v>
      </c>
      <c r="D554" s="2" t="s">
        <v>177</v>
      </c>
      <c r="E554" s="2" t="s">
        <v>784</v>
      </c>
      <c r="F554" s="2" t="s">
        <v>184</v>
      </c>
      <c r="G554" s="2" t="s">
        <v>45</v>
      </c>
      <c r="H554" s="2" t="s">
        <v>173</v>
      </c>
      <c r="I554" s="2" t="s">
        <v>1240</v>
      </c>
      <c r="J554" s="2" t="s">
        <v>113</v>
      </c>
      <c r="K554" s="2" t="s">
        <v>67</v>
      </c>
      <c r="L554" s="2" t="s">
        <v>68</v>
      </c>
      <c r="M554" s="2" t="s">
        <v>69</v>
      </c>
      <c r="N554" s="2" t="s">
        <v>70</v>
      </c>
      <c r="O554" s="2">
        <v>30656.47</v>
      </c>
      <c r="P554" s="2">
        <v>31.3</v>
      </c>
      <c r="Q554" s="2">
        <v>27855.69</v>
      </c>
      <c r="R554" s="2" t="s">
        <v>129</v>
      </c>
      <c r="S554" s="2">
        <v>671</v>
      </c>
      <c r="T554" s="2">
        <v>68</v>
      </c>
      <c r="U554" s="2" t="s">
        <v>39</v>
      </c>
      <c r="V554" s="2" t="s">
        <v>39</v>
      </c>
      <c r="W554" s="2">
        <v>5</v>
      </c>
      <c r="X554" s="2">
        <v>8.5</v>
      </c>
    </row>
    <row r="555" spans="1:24" ht="15" customHeight="1">
      <c r="A555" s="2" t="s">
        <v>1872</v>
      </c>
      <c r="B555" s="2" t="s">
        <v>1873</v>
      </c>
      <c r="C555" s="2">
        <v>38</v>
      </c>
      <c r="D555" s="2" t="s">
        <v>177</v>
      </c>
      <c r="E555" s="2" t="s">
        <v>1058</v>
      </c>
      <c r="F555" s="2" t="s">
        <v>184</v>
      </c>
      <c r="G555" s="2" t="s">
        <v>78</v>
      </c>
      <c r="H555" s="2" t="s">
        <v>65</v>
      </c>
      <c r="I555" s="2" t="s">
        <v>1874</v>
      </c>
      <c r="J555" s="2" t="s">
        <v>48</v>
      </c>
      <c r="K555" s="2" t="s">
        <v>67</v>
      </c>
      <c r="L555" s="2" t="s">
        <v>68</v>
      </c>
      <c r="M555" s="2" t="s">
        <v>51</v>
      </c>
      <c r="N555" s="2" t="s">
        <v>70</v>
      </c>
      <c r="O555" s="2">
        <v>30454.6</v>
      </c>
      <c r="P555" s="2">
        <v>21.1</v>
      </c>
      <c r="Q555" s="2">
        <v>26573.9</v>
      </c>
      <c r="R555" s="2" t="s">
        <v>148</v>
      </c>
      <c r="S555" s="2">
        <v>878</v>
      </c>
      <c r="T555" s="2">
        <v>47</v>
      </c>
      <c r="U555" s="2" t="s">
        <v>122</v>
      </c>
      <c r="V555" s="2" t="s">
        <v>83</v>
      </c>
      <c r="W555" s="2">
        <v>2</v>
      </c>
      <c r="X555" s="2">
        <v>5.4</v>
      </c>
    </row>
    <row r="556" spans="1:24" ht="15" customHeight="1">
      <c r="A556" s="2" t="s">
        <v>1875</v>
      </c>
      <c r="B556" s="2" t="s">
        <v>1876</v>
      </c>
      <c r="C556" s="2">
        <v>32</v>
      </c>
      <c r="D556" s="2" t="s">
        <v>93</v>
      </c>
      <c r="E556" s="2" t="s">
        <v>399</v>
      </c>
      <c r="F556" s="2" t="s">
        <v>88</v>
      </c>
      <c r="G556" s="2" t="s">
        <v>31</v>
      </c>
      <c r="H556" s="2" t="s">
        <v>126</v>
      </c>
      <c r="I556" s="2" t="s">
        <v>1877</v>
      </c>
      <c r="J556" s="2" t="s">
        <v>34</v>
      </c>
      <c r="K556" s="2" t="s">
        <v>67</v>
      </c>
      <c r="L556" s="2" t="s">
        <v>68</v>
      </c>
      <c r="M556" s="2" t="s">
        <v>51</v>
      </c>
      <c r="N556" s="2" t="s">
        <v>70</v>
      </c>
      <c r="O556" s="2">
        <v>106858.19</v>
      </c>
      <c r="P556" s="2">
        <v>48.3</v>
      </c>
      <c r="Q556" s="2">
        <v>53671.3</v>
      </c>
      <c r="R556" s="2" t="s">
        <v>61</v>
      </c>
      <c r="S556" s="2">
        <v>869</v>
      </c>
      <c r="T556" s="2">
        <v>68</v>
      </c>
      <c r="U556" s="2" t="s">
        <v>72</v>
      </c>
      <c r="V556" s="2" t="s">
        <v>73</v>
      </c>
      <c r="W556" s="2">
        <v>4</v>
      </c>
      <c r="X556" s="2">
        <v>2.4</v>
      </c>
    </row>
    <row r="557" spans="1:24" ht="15" customHeight="1">
      <c r="A557" s="2" t="s">
        <v>1878</v>
      </c>
      <c r="B557" s="2" t="s">
        <v>1879</v>
      </c>
      <c r="C557" s="2">
        <v>7</v>
      </c>
      <c r="D557" s="2" t="s">
        <v>42</v>
      </c>
      <c r="E557" s="2" t="s">
        <v>1604</v>
      </c>
      <c r="F557" s="2" t="s">
        <v>120</v>
      </c>
      <c r="G557" s="2" t="s">
        <v>45</v>
      </c>
      <c r="H557" s="2" t="s">
        <v>32</v>
      </c>
      <c r="I557" s="2" t="s">
        <v>1009</v>
      </c>
      <c r="J557" s="2" t="s">
        <v>90</v>
      </c>
      <c r="K557" s="2" t="s">
        <v>106</v>
      </c>
      <c r="L557" s="2" t="s">
        <v>50</v>
      </c>
      <c r="M557" s="2" t="s">
        <v>35</v>
      </c>
      <c r="N557" s="2" t="s">
        <v>60</v>
      </c>
      <c r="O557" s="2">
        <v>28502.99</v>
      </c>
      <c r="P557" s="2">
        <v>55</v>
      </c>
      <c r="Q557" s="2">
        <v>35753.75</v>
      </c>
      <c r="R557" s="2" t="s">
        <v>107</v>
      </c>
      <c r="S557" s="2">
        <v>415</v>
      </c>
      <c r="T557" s="2">
        <v>181</v>
      </c>
      <c r="U557" s="2" t="s">
        <v>39</v>
      </c>
      <c r="V557" s="2" t="s">
        <v>83</v>
      </c>
      <c r="W557" s="2">
        <v>2</v>
      </c>
      <c r="X557" s="2">
        <v>0.7</v>
      </c>
    </row>
    <row r="558" spans="1:24" ht="15" customHeight="1">
      <c r="A558" s="2" t="s">
        <v>1880</v>
      </c>
      <c r="B558" s="2" t="s">
        <v>1881</v>
      </c>
      <c r="C558" s="2">
        <v>14</v>
      </c>
      <c r="D558" s="2" t="s">
        <v>177</v>
      </c>
      <c r="E558" s="2" t="s">
        <v>1144</v>
      </c>
      <c r="F558" s="2" t="s">
        <v>44</v>
      </c>
      <c r="G558" s="2" t="s">
        <v>78</v>
      </c>
      <c r="H558" s="2" t="s">
        <v>79</v>
      </c>
      <c r="I558" s="2" t="s">
        <v>445</v>
      </c>
      <c r="J558" s="2" t="s">
        <v>81</v>
      </c>
      <c r="K558" s="2" t="s">
        <v>114</v>
      </c>
      <c r="L558" s="2" t="s">
        <v>115</v>
      </c>
      <c r="M558" s="2" t="s">
        <v>51</v>
      </c>
      <c r="N558" s="2" t="s">
        <v>70</v>
      </c>
      <c r="O558" s="2">
        <v>80200.479999999996</v>
      </c>
      <c r="P558" s="2">
        <v>47.7</v>
      </c>
      <c r="Q558" s="2">
        <v>20958.78</v>
      </c>
      <c r="R558" s="2" t="s">
        <v>61</v>
      </c>
      <c r="S558" s="2">
        <v>826</v>
      </c>
      <c r="T558" s="2">
        <v>60</v>
      </c>
      <c r="U558" s="2" t="s">
        <v>72</v>
      </c>
      <c r="V558" s="2" t="s">
        <v>83</v>
      </c>
      <c r="W558" s="2">
        <v>1</v>
      </c>
      <c r="X558" s="2">
        <v>2.9</v>
      </c>
    </row>
    <row r="559" spans="1:24" ht="15" customHeight="1">
      <c r="A559" s="2" t="s">
        <v>1882</v>
      </c>
      <c r="B559" s="2" t="s">
        <v>1883</v>
      </c>
      <c r="C559" s="2">
        <v>11</v>
      </c>
      <c r="D559" s="2" t="s">
        <v>188</v>
      </c>
      <c r="E559" s="2" t="s">
        <v>311</v>
      </c>
      <c r="F559" s="2" t="s">
        <v>88</v>
      </c>
      <c r="G559" s="2" t="s">
        <v>217</v>
      </c>
      <c r="H559" s="2" t="s">
        <v>104</v>
      </c>
      <c r="I559" s="2" t="s">
        <v>1884</v>
      </c>
      <c r="J559" s="2" t="s">
        <v>48</v>
      </c>
      <c r="K559" s="2" t="s">
        <v>49</v>
      </c>
      <c r="L559" s="2" t="s">
        <v>50</v>
      </c>
      <c r="M559" s="2" t="s">
        <v>51</v>
      </c>
      <c r="N559" s="2" t="s">
        <v>36</v>
      </c>
      <c r="O559" s="2">
        <v>141564.99</v>
      </c>
      <c r="P559" s="2">
        <v>54.8</v>
      </c>
      <c r="Q559" s="2">
        <v>5548.5</v>
      </c>
      <c r="R559" s="2" t="s">
        <v>97</v>
      </c>
      <c r="S559" s="2">
        <v>583</v>
      </c>
      <c r="T559" s="2">
        <v>188</v>
      </c>
      <c r="U559" s="2" t="s">
        <v>108</v>
      </c>
      <c r="V559" s="2" t="s">
        <v>108</v>
      </c>
      <c r="W559" s="2">
        <v>5</v>
      </c>
      <c r="X559" s="2">
        <v>4</v>
      </c>
    </row>
    <row r="560" spans="1:24" ht="15" customHeight="1">
      <c r="A560" s="2" t="s">
        <v>1885</v>
      </c>
      <c r="B560" s="2" t="s">
        <v>1886</v>
      </c>
      <c r="C560" s="2">
        <v>43</v>
      </c>
      <c r="D560" s="2" t="s">
        <v>188</v>
      </c>
      <c r="E560" s="2" t="s">
        <v>1887</v>
      </c>
      <c r="F560" s="2" t="s">
        <v>30</v>
      </c>
      <c r="G560" s="2" t="s">
        <v>217</v>
      </c>
      <c r="H560" s="2" t="s">
        <v>58</v>
      </c>
      <c r="I560" s="2" t="s">
        <v>1888</v>
      </c>
      <c r="J560" s="2" t="s">
        <v>90</v>
      </c>
      <c r="K560" s="2" t="s">
        <v>67</v>
      </c>
      <c r="L560" s="2" t="s">
        <v>68</v>
      </c>
      <c r="M560" s="2" t="s">
        <v>35</v>
      </c>
      <c r="N560" s="2" t="s">
        <v>36</v>
      </c>
      <c r="O560" s="2">
        <v>138978.19</v>
      </c>
      <c r="P560" s="2">
        <v>35.799999999999997</v>
      </c>
      <c r="Q560" s="2">
        <v>45159.59</v>
      </c>
      <c r="R560" s="2" t="s">
        <v>71</v>
      </c>
      <c r="S560" s="2">
        <v>417</v>
      </c>
      <c r="T560" s="2">
        <v>190</v>
      </c>
      <c r="U560" s="2" t="s">
        <v>108</v>
      </c>
      <c r="V560" s="2" t="s">
        <v>98</v>
      </c>
      <c r="W560" s="2">
        <v>4</v>
      </c>
      <c r="X560" s="2">
        <v>1.4</v>
      </c>
    </row>
    <row r="561" spans="1:24" ht="15" customHeight="1">
      <c r="A561" s="2" t="s">
        <v>1889</v>
      </c>
      <c r="B561" s="2" t="s">
        <v>1890</v>
      </c>
      <c r="C561" s="2">
        <v>-5</v>
      </c>
      <c r="D561" s="2" t="s">
        <v>28</v>
      </c>
      <c r="E561" s="2" t="s">
        <v>194</v>
      </c>
      <c r="F561" s="2" t="s">
        <v>184</v>
      </c>
      <c r="G561" s="2" t="s">
        <v>45</v>
      </c>
      <c r="H561" s="2" t="s">
        <v>104</v>
      </c>
      <c r="I561" s="2" t="s">
        <v>1891</v>
      </c>
      <c r="J561" s="2" t="s">
        <v>90</v>
      </c>
      <c r="K561" s="2" t="s">
        <v>106</v>
      </c>
      <c r="L561" s="2" t="s">
        <v>50</v>
      </c>
      <c r="M561" s="2" t="s">
        <v>35</v>
      </c>
      <c r="N561" s="2" t="s">
        <v>70</v>
      </c>
      <c r="O561" s="2">
        <v>53910.41</v>
      </c>
      <c r="P561" s="2">
        <v>54.5</v>
      </c>
      <c r="Q561" s="2">
        <v>27320.6</v>
      </c>
      <c r="R561" s="2" t="s">
        <v>37</v>
      </c>
      <c r="S561" s="2">
        <v>833</v>
      </c>
      <c r="T561" s="2">
        <v>195</v>
      </c>
      <c r="U561" s="2" t="s">
        <v>39</v>
      </c>
      <c r="V561" s="2" t="s">
        <v>108</v>
      </c>
      <c r="W561" s="2">
        <v>3</v>
      </c>
      <c r="X561" s="2">
        <v>0.7</v>
      </c>
    </row>
    <row r="562" spans="1:24" ht="15" customHeight="1">
      <c r="A562" s="2" t="s">
        <v>1892</v>
      </c>
      <c r="B562" s="2" t="s">
        <v>1893</v>
      </c>
      <c r="C562" s="2">
        <v>39</v>
      </c>
      <c r="D562" s="2" t="s">
        <v>86</v>
      </c>
      <c r="E562" s="2" t="s">
        <v>183</v>
      </c>
      <c r="F562" s="2" t="s">
        <v>120</v>
      </c>
      <c r="G562" s="2" t="s">
        <v>96</v>
      </c>
      <c r="H562" s="2" t="s">
        <v>79</v>
      </c>
      <c r="I562" s="2" t="s">
        <v>1894</v>
      </c>
      <c r="J562" s="2" t="s">
        <v>34</v>
      </c>
      <c r="K562" s="2" t="s">
        <v>67</v>
      </c>
      <c r="L562" s="2" t="s">
        <v>68</v>
      </c>
      <c r="M562" s="2" t="s">
        <v>35</v>
      </c>
      <c r="N562" s="2" t="s">
        <v>60</v>
      </c>
      <c r="O562" s="2">
        <v>106590.73</v>
      </c>
      <c r="P562" s="2">
        <v>77.599999999999994</v>
      </c>
      <c r="Q562" s="2">
        <v>43294.45</v>
      </c>
      <c r="R562" s="2" t="s">
        <v>71</v>
      </c>
      <c r="S562" s="2">
        <v>519</v>
      </c>
      <c r="T562" s="2">
        <v>145</v>
      </c>
      <c r="U562" s="2" t="s">
        <v>39</v>
      </c>
      <c r="V562" s="2" t="s">
        <v>72</v>
      </c>
      <c r="W562" s="2">
        <v>1</v>
      </c>
      <c r="X562" s="2">
        <v>2.4</v>
      </c>
    </row>
    <row r="563" spans="1:24" ht="15" customHeight="1">
      <c r="A563" s="2" t="s">
        <v>1895</v>
      </c>
      <c r="B563" s="2" t="s">
        <v>1896</v>
      </c>
      <c r="C563" s="2">
        <v>18</v>
      </c>
      <c r="D563" s="2" t="s">
        <v>42</v>
      </c>
      <c r="E563" s="2" t="s">
        <v>1182</v>
      </c>
      <c r="F563" s="2" t="s">
        <v>184</v>
      </c>
      <c r="G563" s="2" t="s">
        <v>96</v>
      </c>
      <c r="H563" s="2" t="s">
        <v>58</v>
      </c>
      <c r="I563" s="2" t="s">
        <v>380</v>
      </c>
      <c r="J563" s="2" t="s">
        <v>128</v>
      </c>
      <c r="K563" s="2" t="s">
        <v>147</v>
      </c>
      <c r="L563" s="2" t="s">
        <v>115</v>
      </c>
      <c r="M563" s="2" t="s">
        <v>51</v>
      </c>
      <c r="N563" s="2" t="s">
        <v>60</v>
      </c>
      <c r="O563" s="2">
        <v>8718.6</v>
      </c>
      <c r="P563" s="2">
        <v>74.8</v>
      </c>
      <c r="Q563" s="2">
        <v>25347.59</v>
      </c>
      <c r="R563" s="2" t="s">
        <v>129</v>
      </c>
      <c r="S563" s="2">
        <v>465</v>
      </c>
      <c r="T563" s="2">
        <v>142</v>
      </c>
      <c r="U563" s="2" t="s">
        <v>38</v>
      </c>
      <c r="V563" s="2" t="s">
        <v>83</v>
      </c>
      <c r="W563" s="2">
        <v>5</v>
      </c>
      <c r="X563" s="2">
        <v>5.8</v>
      </c>
    </row>
    <row r="564" spans="1:24" ht="15" customHeight="1">
      <c r="A564" s="2" t="s">
        <v>1897</v>
      </c>
      <c r="B564" s="2" t="s">
        <v>1898</v>
      </c>
      <c r="C564" s="2">
        <v>11</v>
      </c>
      <c r="D564" s="2" t="s">
        <v>177</v>
      </c>
      <c r="E564" s="2" t="s">
        <v>1058</v>
      </c>
      <c r="F564" s="2" t="s">
        <v>44</v>
      </c>
      <c r="G564" s="2" t="s">
        <v>179</v>
      </c>
      <c r="H564" s="2" t="s">
        <v>104</v>
      </c>
      <c r="I564" s="2" t="s">
        <v>1899</v>
      </c>
      <c r="J564" s="2" t="s">
        <v>81</v>
      </c>
      <c r="K564" s="2" t="s">
        <v>49</v>
      </c>
      <c r="L564" s="2" t="s">
        <v>50</v>
      </c>
      <c r="M564" s="2" t="s">
        <v>51</v>
      </c>
      <c r="N564" s="2" t="s">
        <v>70</v>
      </c>
      <c r="O564" s="2">
        <v>51318.1</v>
      </c>
      <c r="P564" s="2">
        <v>16.899999999999999</v>
      </c>
      <c r="Q564" s="2">
        <v>52715.23</v>
      </c>
      <c r="R564" s="2" t="s">
        <v>82</v>
      </c>
      <c r="S564" s="2">
        <v>527</v>
      </c>
      <c r="T564" s="2">
        <v>73</v>
      </c>
      <c r="U564" s="2" t="s">
        <v>83</v>
      </c>
      <c r="V564" s="2" t="s">
        <v>108</v>
      </c>
      <c r="W564" s="2">
        <v>1</v>
      </c>
      <c r="X564" s="2">
        <v>5.7</v>
      </c>
    </row>
    <row r="565" spans="1:24" ht="15" customHeight="1">
      <c r="A565" s="2" t="s">
        <v>1900</v>
      </c>
      <c r="B565" s="2" t="s">
        <v>1901</v>
      </c>
      <c r="C565" s="2">
        <v>37</v>
      </c>
      <c r="D565" s="2" t="s">
        <v>42</v>
      </c>
      <c r="E565" s="2" t="s">
        <v>291</v>
      </c>
      <c r="F565" s="2" t="s">
        <v>77</v>
      </c>
      <c r="G565" s="2" t="s">
        <v>31</v>
      </c>
      <c r="H565" s="2" t="s">
        <v>173</v>
      </c>
      <c r="I565" s="2" t="s">
        <v>1902</v>
      </c>
      <c r="J565" s="2" t="s">
        <v>128</v>
      </c>
      <c r="K565" s="2" t="s">
        <v>67</v>
      </c>
      <c r="L565" s="2" t="s">
        <v>68</v>
      </c>
      <c r="M565" s="2" t="s">
        <v>35</v>
      </c>
      <c r="N565" s="2" t="s">
        <v>60</v>
      </c>
      <c r="O565" s="2">
        <v>41435.78</v>
      </c>
      <c r="P565" s="2">
        <v>15.3</v>
      </c>
      <c r="Q565" s="2">
        <v>48605.27</v>
      </c>
      <c r="R565" s="2" t="s">
        <v>158</v>
      </c>
      <c r="S565" s="2">
        <v>302</v>
      </c>
      <c r="T565" s="2">
        <v>142</v>
      </c>
      <c r="U565" s="2" t="s">
        <v>108</v>
      </c>
      <c r="V565" s="2" t="s">
        <v>108</v>
      </c>
      <c r="W565" s="2">
        <v>2</v>
      </c>
      <c r="X565" s="2">
        <v>0.7</v>
      </c>
    </row>
    <row r="566" spans="1:24" ht="15" customHeight="1">
      <c r="A566" s="2" t="s">
        <v>1903</v>
      </c>
      <c r="B566" s="2" t="s">
        <v>1904</v>
      </c>
      <c r="C566" s="2">
        <v>41</v>
      </c>
      <c r="D566" s="2" t="s">
        <v>93</v>
      </c>
      <c r="E566" s="2" t="s">
        <v>589</v>
      </c>
      <c r="F566" s="2" t="s">
        <v>77</v>
      </c>
      <c r="G566" s="2" t="s">
        <v>31</v>
      </c>
      <c r="H566" s="2" t="s">
        <v>152</v>
      </c>
      <c r="I566" s="2" t="s">
        <v>271</v>
      </c>
      <c r="J566" s="2" t="s">
        <v>81</v>
      </c>
      <c r="K566" s="2" t="s">
        <v>67</v>
      </c>
      <c r="L566" s="2" t="s">
        <v>68</v>
      </c>
      <c r="M566" s="2" t="s">
        <v>0</v>
      </c>
      <c r="N566" s="2" t="s">
        <v>36</v>
      </c>
      <c r="O566" s="2">
        <v>102178.2</v>
      </c>
      <c r="P566" s="2">
        <v>16.100000000000001</v>
      </c>
      <c r="Q566" s="2">
        <v>1828.92</v>
      </c>
      <c r="R566" s="2" t="s">
        <v>82</v>
      </c>
      <c r="S566" s="2">
        <v>650</v>
      </c>
      <c r="T566" s="2">
        <v>118</v>
      </c>
      <c r="U566" s="2" t="s">
        <v>83</v>
      </c>
      <c r="V566" s="2" t="s">
        <v>98</v>
      </c>
      <c r="W566" s="2">
        <v>4</v>
      </c>
      <c r="X566" s="2">
        <v>1.4</v>
      </c>
    </row>
    <row r="567" spans="1:24" ht="15" customHeight="1">
      <c r="A567" s="2" t="s">
        <v>1905</v>
      </c>
      <c r="B567" s="2" t="s">
        <v>1906</v>
      </c>
      <c r="C567" s="2">
        <v>27</v>
      </c>
      <c r="D567" s="2" t="s">
        <v>93</v>
      </c>
      <c r="E567" s="2" t="s">
        <v>1579</v>
      </c>
      <c r="F567" s="2" t="s">
        <v>77</v>
      </c>
      <c r="G567" s="2" t="s">
        <v>96</v>
      </c>
      <c r="H567" s="2" t="s">
        <v>46</v>
      </c>
      <c r="I567" s="2" t="s">
        <v>1907</v>
      </c>
      <c r="J567" s="2" t="s">
        <v>113</v>
      </c>
      <c r="K567" s="2" t="s">
        <v>67</v>
      </c>
      <c r="L567" s="2" t="s">
        <v>68</v>
      </c>
      <c r="M567" s="2" t="s">
        <v>35</v>
      </c>
      <c r="N567" s="2" t="s">
        <v>60</v>
      </c>
      <c r="O567" s="2">
        <v>7527.29</v>
      </c>
      <c r="P567" s="2">
        <v>31.2</v>
      </c>
      <c r="Q567" s="2">
        <v>51564.27</v>
      </c>
      <c r="R567" s="2" t="s">
        <v>37</v>
      </c>
      <c r="S567" s="2">
        <v>757</v>
      </c>
      <c r="T567" s="2">
        <v>109</v>
      </c>
      <c r="U567" s="2" t="s">
        <v>73</v>
      </c>
      <c r="V567" s="2" t="s">
        <v>83</v>
      </c>
      <c r="W567" s="2">
        <v>1</v>
      </c>
      <c r="X567" s="2">
        <v>5.3</v>
      </c>
    </row>
    <row r="568" spans="1:24" ht="15" customHeight="1">
      <c r="A568" s="2" t="s">
        <v>1908</v>
      </c>
      <c r="B568" s="2" t="s">
        <v>1909</v>
      </c>
      <c r="C568" s="2">
        <v>18</v>
      </c>
      <c r="D568" s="2" t="s">
        <v>28</v>
      </c>
      <c r="E568" s="2" t="s">
        <v>1910</v>
      </c>
      <c r="F568" s="2" t="s">
        <v>103</v>
      </c>
      <c r="G568" s="2" t="s">
        <v>190</v>
      </c>
      <c r="H568" s="2" t="s">
        <v>58</v>
      </c>
      <c r="I568" s="2" t="s">
        <v>1911</v>
      </c>
      <c r="J568" s="2" t="s">
        <v>90</v>
      </c>
      <c r="K568" s="2" t="s">
        <v>147</v>
      </c>
      <c r="L568" s="2" t="s">
        <v>115</v>
      </c>
      <c r="M568" s="2" t="s">
        <v>69</v>
      </c>
      <c r="N568" s="2" t="s">
        <v>60</v>
      </c>
      <c r="O568" s="2">
        <v>125450.49</v>
      </c>
      <c r="P568" s="2">
        <v>40.6</v>
      </c>
      <c r="Q568" s="2">
        <v>1925.08</v>
      </c>
      <c r="R568" s="2" t="s">
        <v>158</v>
      </c>
      <c r="S568" s="2">
        <v>724</v>
      </c>
      <c r="T568" s="2">
        <v>79</v>
      </c>
      <c r="U568" s="2" t="s">
        <v>72</v>
      </c>
      <c r="V568" s="2" t="s">
        <v>108</v>
      </c>
      <c r="W568" s="2">
        <v>1</v>
      </c>
      <c r="X568" s="2">
        <v>4.3</v>
      </c>
    </row>
    <row r="569" spans="1:24" ht="15" customHeight="1">
      <c r="A569" s="2" t="s">
        <v>1912</v>
      </c>
      <c r="B569" s="2" t="s">
        <v>1913</v>
      </c>
      <c r="C569" s="2">
        <v>22</v>
      </c>
      <c r="D569" s="2" t="s">
        <v>93</v>
      </c>
      <c r="E569" s="2" t="s">
        <v>1635</v>
      </c>
      <c r="F569" s="2" t="s">
        <v>77</v>
      </c>
      <c r="G569" s="2" t="s">
        <v>78</v>
      </c>
      <c r="H569" s="2" t="s">
        <v>46</v>
      </c>
      <c r="I569" s="2" t="s">
        <v>1914</v>
      </c>
      <c r="J569" s="2" t="s">
        <v>81</v>
      </c>
      <c r="K569" s="2" t="s">
        <v>67</v>
      </c>
      <c r="L569" s="2" t="s">
        <v>68</v>
      </c>
      <c r="M569" s="2" t="s">
        <v>35</v>
      </c>
      <c r="N569" s="2" t="s">
        <v>36</v>
      </c>
      <c r="O569" s="2">
        <v>14537.93</v>
      </c>
      <c r="P569" s="2">
        <v>8.1999999999999993</v>
      </c>
      <c r="Q569" s="2">
        <v>36633.5</v>
      </c>
      <c r="R569" s="2" t="s">
        <v>82</v>
      </c>
      <c r="S569" s="2">
        <v>604</v>
      </c>
      <c r="T569" s="2">
        <v>153</v>
      </c>
      <c r="U569" s="2" t="s">
        <v>73</v>
      </c>
      <c r="V569" s="2" t="s">
        <v>39</v>
      </c>
      <c r="W569" s="2">
        <v>1</v>
      </c>
      <c r="X569" s="2">
        <v>2.2000000000000002</v>
      </c>
    </row>
    <row r="570" spans="1:24" ht="15" customHeight="1">
      <c r="A570" s="2" t="s">
        <v>1915</v>
      </c>
      <c r="B570" s="2" t="s">
        <v>1916</v>
      </c>
      <c r="C570" s="2">
        <v>32</v>
      </c>
      <c r="D570" s="2" t="s">
        <v>171</v>
      </c>
      <c r="E570" s="2" t="s">
        <v>965</v>
      </c>
      <c r="F570" s="2" t="s">
        <v>77</v>
      </c>
      <c r="G570" s="2" t="s">
        <v>31</v>
      </c>
      <c r="H570" s="2" t="s">
        <v>58</v>
      </c>
      <c r="I570" s="2" t="s">
        <v>1917</v>
      </c>
      <c r="J570" s="2" t="s">
        <v>113</v>
      </c>
      <c r="K570" s="2" t="s">
        <v>67</v>
      </c>
      <c r="L570" s="2" t="s">
        <v>68</v>
      </c>
      <c r="M570" s="2" t="s">
        <v>0</v>
      </c>
      <c r="N570" s="2" t="s">
        <v>70</v>
      </c>
      <c r="O570" s="2">
        <v>87797.6</v>
      </c>
      <c r="P570" s="2">
        <v>67.3</v>
      </c>
      <c r="Q570" s="2">
        <v>45731.71</v>
      </c>
      <c r="R570" s="2" t="s">
        <v>138</v>
      </c>
      <c r="S570" s="2">
        <v>515</v>
      </c>
      <c r="T570" s="2">
        <v>131</v>
      </c>
      <c r="U570" s="2" t="s">
        <v>72</v>
      </c>
      <c r="V570" s="2" t="s">
        <v>72</v>
      </c>
      <c r="W570" s="2">
        <v>1</v>
      </c>
      <c r="X570" s="2">
        <v>6.5</v>
      </c>
    </row>
    <row r="571" spans="1:24" ht="15" customHeight="1">
      <c r="A571" s="2" t="s">
        <v>1918</v>
      </c>
      <c r="B571" s="2" t="s">
        <v>1919</v>
      </c>
      <c r="C571" s="2">
        <v>33</v>
      </c>
      <c r="D571" s="2" t="s">
        <v>93</v>
      </c>
      <c r="E571" s="2" t="s">
        <v>1920</v>
      </c>
      <c r="F571" s="2" t="s">
        <v>44</v>
      </c>
      <c r="G571" s="2" t="s">
        <v>45</v>
      </c>
      <c r="H571" s="2" t="s">
        <v>46</v>
      </c>
      <c r="I571" s="2" t="s">
        <v>563</v>
      </c>
      <c r="J571" s="2" t="s">
        <v>90</v>
      </c>
      <c r="K571" s="2" t="s">
        <v>67</v>
      </c>
      <c r="L571" s="2" t="s">
        <v>68</v>
      </c>
      <c r="M571" s="2" t="s">
        <v>51</v>
      </c>
      <c r="N571" s="2" t="s">
        <v>36</v>
      </c>
      <c r="O571" s="2">
        <v>8977.26</v>
      </c>
      <c r="P571" s="2">
        <v>52.1</v>
      </c>
      <c r="Q571" s="2">
        <v>5704.68</v>
      </c>
      <c r="R571" s="2" t="s">
        <v>82</v>
      </c>
      <c r="S571" s="2">
        <v>540</v>
      </c>
      <c r="T571" s="2">
        <v>179</v>
      </c>
      <c r="U571" s="2" t="s">
        <v>39</v>
      </c>
      <c r="V571" s="2" t="s">
        <v>108</v>
      </c>
      <c r="W571" s="2">
        <v>4</v>
      </c>
      <c r="X571" s="2">
        <v>8.6999999999999993</v>
      </c>
    </row>
    <row r="572" spans="1:24" ht="15" customHeight="1">
      <c r="A572" s="2" t="s">
        <v>1921</v>
      </c>
      <c r="B572" s="2" t="s">
        <v>1922</v>
      </c>
      <c r="C572" s="2">
        <v>43</v>
      </c>
      <c r="D572" s="2" t="s">
        <v>171</v>
      </c>
      <c r="E572" s="2" t="s">
        <v>1923</v>
      </c>
      <c r="F572" s="2" t="s">
        <v>30</v>
      </c>
      <c r="G572" s="2" t="s">
        <v>179</v>
      </c>
      <c r="H572" s="2" t="s">
        <v>126</v>
      </c>
      <c r="I572" s="2" t="s">
        <v>1924</v>
      </c>
      <c r="J572" s="2" t="s">
        <v>90</v>
      </c>
      <c r="K572" s="2" t="s">
        <v>67</v>
      </c>
      <c r="L572" s="2" t="s">
        <v>68</v>
      </c>
      <c r="M572" s="2" t="s">
        <v>51</v>
      </c>
      <c r="N572" s="2" t="s">
        <v>70</v>
      </c>
      <c r="O572" s="2">
        <v>80682.210000000006</v>
      </c>
      <c r="P572" s="2">
        <v>22.5</v>
      </c>
      <c r="Q572" s="2">
        <v>58971.360000000001</v>
      </c>
      <c r="R572" s="2" t="s">
        <v>37</v>
      </c>
      <c r="S572" s="2">
        <v>748</v>
      </c>
      <c r="T572" s="2">
        <v>138</v>
      </c>
      <c r="U572" s="2" t="s">
        <v>108</v>
      </c>
      <c r="V572" s="2" t="s">
        <v>122</v>
      </c>
      <c r="W572" s="2">
        <v>5</v>
      </c>
      <c r="X572" s="2">
        <v>0.9</v>
      </c>
    </row>
    <row r="573" spans="1:24" ht="15" customHeight="1">
      <c r="A573" s="2" t="s">
        <v>1925</v>
      </c>
      <c r="B573" s="2" t="s">
        <v>1926</v>
      </c>
      <c r="C573" s="2">
        <v>11</v>
      </c>
      <c r="D573" s="2" t="s">
        <v>101</v>
      </c>
      <c r="E573" s="2" t="s">
        <v>1927</v>
      </c>
      <c r="F573" s="2" t="s">
        <v>30</v>
      </c>
      <c r="G573" s="2" t="s">
        <v>190</v>
      </c>
      <c r="H573" s="2" t="s">
        <v>32</v>
      </c>
      <c r="I573" s="2" t="s">
        <v>33</v>
      </c>
      <c r="J573" s="2" t="s">
        <v>34</v>
      </c>
      <c r="K573" s="2" t="s">
        <v>49</v>
      </c>
      <c r="L573" s="2" t="s">
        <v>50</v>
      </c>
      <c r="M573" s="2" t="s">
        <v>51</v>
      </c>
      <c r="N573" s="2" t="s">
        <v>36</v>
      </c>
      <c r="O573" s="2">
        <v>44210.34</v>
      </c>
      <c r="P573" s="2">
        <v>55.3</v>
      </c>
      <c r="Q573" s="2">
        <v>33581.33</v>
      </c>
      <c r="R573" s="2" t="s">
        <v>148</v>
      </c>
      <c r="S573" s="2">
        <v>774</v>
      </c>
      <c r="T573" s="2">
        <v>100</v>
      </c>
      <c r="U573" s="2" t="s">
        <v>72</v>
      </c>
      <c r="V573" s="2" t="s">
        <v>72</v>
      </c>
      <c r="W573" s="2">
        <v>5</v>
      </c>
      <c r="X573" s="2">
        <v>3.5</v>
      </c>
    </row>
    <row r="574" spans="1:24" ht="15" customHeight="1">
      <c r="A574" s="2" t="s">
        <v>1928</v>
      </c>
      <c r="B574" s="2" t="s">
        <v>1929</v>
      </c>
      <c r="C574" s="2">
        <v>11</v>
      </c>
      <c r="D574" s="2" t="s">
        <v>188</v>
      </c>
      <c r="E574" s="2" t="s">
        <v>971</v>
      </c>
      <c r="F574" s="2" t="s">
        <v>44</v>
      </c>
      <c r="G574" s="2" t="s">
        <v>45</v>
      </c>
      <c r="H574" s="2" t="s">
        <v>46</v>
      </c>
      <c r="I574" s="2" t="s">
        <v>1930</v>
      </c>
      <c r="J574" s="2" t="s">
        <v>48</v>
      </c>
      <c r="K574" s="2" t="s">
        <v>49</v>
      </c>
      <c r="L574" s="2" t="s">
        <v>50</v>
      </c>
      <c r="M574" s="2" t="s">
        <v>51</v>
      </c>
      <c r="N574" s="2" t="s">
        <v>36</v>
      </c>
      <c r="O574" s="2">
        <v>37498.949999999997</v>
      </c>
      <c r="P574" s="2">
        <v>31.6</v>
      </c>
      <c r="Q574" s="2">
        <v>46741.84</v>
      </c>
      <c r="R574" s="2" t="s">
        <v>129</v>
      </c>
      <c r="S574" s="2">
        <v>707</v>
      </c>
      <c r="T574" s="2">
        <v>163</v>
      </c>
      <c r="U574" s="2" t="s">
        <v>98</v>
      </c>
      <c r="V574" s="2" t="s">
        <v>73</v>
      </c>
      <c r="W574" s="2">
        <v>4</v>
      </c>
      <c r="X574" s="2">
        <v>5.0999999999999996</v>
      </c>
    </row>
    <row r="575" spans="1:24" ht="15" customHeight="1">
      <c r="A575" s="2" t="s">
        <v>1931</v>
      </c>
      <c r="B575" s="2" t="s">
        <v>1932</v>
      </c>
      <c r="C575" s="2">
        <v>33</v>
      </c>
      <c r="D575" s="2" t="s">
        <v>86</v>
      </c>
      <c r="E575" s="2" t="s">
        <v>393</v>
      </c>
      <c r="F575" s="2" t="s">
        <v>77</v>
      </c>
      <c r="G575" s="2" t="s">
        <v>217</v>
      </c>
      <c r="H575" s="2" t="s">
        <v>65</v>
      </c>
      <c r="I575" s="2" t="s">
        <v>1933</v>
      </c>
      <c r="J575" s="2" t="s">
        <v>90</v>
      </c>
      <c r="K575" s="2" t="s">
        <v>67</v>
      </c>
      <c r="L575" s="2" t="s">
        <v>68</v>
      </c>
      <c r="M575" s="2" t="s">
        <v>51</v>
      </c>
      <c r="N575" s="2" t="s">
        <v>70</v>
      </c>
      <c r="O575" s="2">
        <v>89099.62</v>
      </c>
      <c r="P575" s="2">
        <v>52.3</v>
      </c>
      <c r="Q575" s="2">
        <v>16513.03</v>
      </c>
      <c r="R575" s="2" t="s">
        <v>148</v>
      </c>
      <c r="S575" s="2">
        <v>300</v>
      </c>
      <c r="T575" s="2">
        <v>146</v>
      </c>
      <c r="U575" s="2" t="s">
        <v>122</v>
      </c>
      <c r="V575" s="2" t="s">
        <v>39</v>
      </c>
      <c r="W575" s="2">
        <v>5</v>
      </c>
      <c r="X575" s="2">
        <v>0.8</v>
      </c>
    </row>
    <row r="576" spans="1:24" ht="15" customHeight="1">
      <c r="A576" s="2" t="s">
        <v>1934</v>
      </c>
      <c r="B576" s="2" t="s">
        <v>1935</v>
      </c>
      <c r="C576" s="2">
        <v>31</v>
      </c>
      <c r="D576" s="2" t="s">
        <v>28</v>
      </c>
      <c r="E576" s="2" t="s">
        <v>257</v>
      </c>
      <c r="F576" s="2" t="s">
        <v>184</v>
      </c>
      <c r="G576" s="2" t="s">
        <v>45</v>
      </c>
      <c r="H576" s="2" t="s">
        <v>32</v>
      </c>
      <c r="I576" s="2" t="s">
        <v>163</v>
      </c>
      <c r="J576" s="2" t="s">
        <v>81</v>
      </c>
      <c r="K576" s="2" t="s">
        <v>67</v>
      </c>
      <c r="L576" s="2" t="s">
        <v>68</v>
      </c>
      <c r="M576" s="2" t="s">
        <v>69</v>
      </c>
      <c r="N576" s="2" t="s">
        <v>60</v>
      </c>
      <c r="O576" s="2">
        <v>36095.51</v>
      </c>
      <c r="P576" s="2">
        <v>49</v>
      </c>
      <c r="Q576" s="2">
        <v>45401.32</v>
      </c>
      <c r="R576" s="2" t="s">
        <v>148</v>
      </c>
      <c r="S576" s="2">
        <v>666</v>
      </c>
      <c r="T576" s="2">
        <v>153</v>
      </c>
      <c r="U576" s="2" t="s">
        <v>83</v>
      </c>
      <c r="V576" s="2" t="s">
        <v>72</v>
      </c>
      <c r="W576" s="2">
        <v>2</v>
      </c>
      <c r="X576" s="2">
        <v>2.2999999999999998</v>
      </c>
    </row>
    <row r="577" spans="1:24" ht="15" customHeight="1">
      <c r="A577" s="2" t="s">
        <v>1936</v>
      </c>
      <c r="B577" s="2" t="s">
        <v>1937</v>
      </c>
      <c r="C577" s="2">
        <v>27</v>
      </c>
      <c r="D577" s="2" t="s">
        <v>101</v>
      </c>
      <c r="E577" s="2" t="s">
        <v>1938</v>
      </c>
      <c r="F577" s="2" t="s">
        <v>77</v>
      </c>
      <c r="G577" s="2" t="s">
        <v>96</v>
      </c>
      <c r="H577" s="2" t="s">
        <v>46</v>
      </c>
      <c r="I577" s="2" t="s">
        <v>1939</v>
      </c>
      <c r="J577" s="2" t="s">
        <v>48</v>
      </c>
      <c r="K577" s="2" t="s">
        <v>67</v>
      </c>
      <c r="L577" s="2" t="s">
        <v>68</v>
      </c>
      <c r="M577" s="2" t="s">
        <v>35</v>
      </c>
      <c r="N577" s="2" t="s">
        <v>70</v>
      </c>
      <c r="O577" s="2">
        <v>113819.09</v>
      </c>
      <c r="P577" s="2">
        <v>24.7</v>
      </c>
      <c r="Q577" s="2">
        <v>36976.78</v>
      </c>
      <c r="R577" s="2" t="s">
        <v>158</v>
      </c>
      <c r="S577" s="2">
        <v>332</v>
      </c>
      <c r="T577" s="2">
        <v>178</v>
      </c>
      <c r="U577" s="2" t="s">
        <v>38</v>
      </c>
      <c r="V577" s="2" t="s">
        <v>98</v>
      </c>
      <c r="W577" s="2">
        <v>4</v>
      </c>
      <c r="X577" s="2">
        <v>7.7</v>
      </c>
    </row>
    <row r="578" spans="1:24" ht="15" customHeight="1">
      <c r="A578" s="2" t="s">
        <v>1940</v>
      </c>
      <c r="B578" s="2" t="s">
        <v>1941</v>
      </c>
      <c r="C578" s="2">
        <v>10</v>
      </c>
      <c r="D578" s="2" t="s">
        <v>86</v>
      </c>
      <c r="E578" s="2" t="s">
        <v>393</v>
      </c>
      <c r="F578" s="2" t="s">
        <v>120</v>
      </c>
      <c r="G578" s="2" t="s">
        <v>162</v>
      </c>
      <c r="H578" s="2" t="s">
        <v>46</v>
      </c>
      <c r="I578" s="2" t="s">
        <v>652</v>
      </c>
      <c r="J578" s="2" t="s">
        <v>113</v>
      </c>
      <c r="K578" s="2" t="s">
        <v>49</v>
      </c>
      <c r="L578" s="2" t="s">
        <v>50</v>
      </c>
      <c r="M578" s="2" t="s">
        <v>51</v>
      </c>
      <c r="N578" s="2" t="s">
        <v>70</v>
      </c>
      <c r="O578" s="2">
        <v>16544.82</v>
      </c>
      <c r="P578" s="2">
        <v>43.8</v>
      </c>
      <c r="Q578" s="2">
        <v>59716.58</v>
      </c>
      <c r="R578" s="2" t="s">
        <v>61</v>
      </c>
      <c r="S578" s="2">
        <v>489</v>
      </c>
      <c r="T578" s="2">
        <v>160</v>
      </c>
      <c r="U578" s="2" t="s">
        <v>38</v>
      </c>
      <c r="V578" s="2" t="s">
        <v>39</v>
      </c>
      <c r="W578" s="2">
        <v>5</v>
      </c>
      <c r="X578" s="2">
        <v>3.9</v>
      </c>
    </row>
    <row r="579" spans="1:24" ht="15" customHeight="1">
      <c r="A579" s="2" t="s">
        <v>1942</v>
      </c>
      <c r="B579" s="2" t="s">
        <v>1943</v>
      </c>
      <c r="C579" s="2">
        <v>38</v>
      </c>
      <c r="D579" s="2" t="s">
        <v>171</v>
      </c>
      <c r="E579" s="2" t="s">
        <v>111</v>
      </c>
      <c r="F579" s="2" t="s">
        <v>30</v>
      </c>
      <c r="G579" s="2" t="s">
        <v>96</v>
      </c>
      <c r="H579" s="2" t="s">
        <v>173</v>
      </c>
      <c r="I579" s="2" t="s">
        <v>163</v>
      </c>
      <c r="J579" s="2" t="s">
        <v>90</v>
      </c>
      <c r="K579" s="2" t="s">
        <v>67</v>
      </c>
      <c r="L579" s="2" t="s">
        <v>68</v>
      </c>
      <c r="M579" s="2" t="s">
        <v>35</v>
      </c>
      <c r="N579" s="2" t="s">
        <v>36</v>
      </c>
      <c r="O579" s="2">
        <v>103530.84</v>
      </c>
      <c r="P579" s="2">
        <v>56.6</v>
      </c>
      <c r="Q579" s="2">
        <v>28665.4</v>
      </c>
      <c r="R579" s="2" t="s">
        <v>138</v>
      </c>
      <c r="S579" s="2">
        <v>690</v>
      </c>
      <c r="T579" s="2">
        <v>11</v>
      </c>
      <c r="U579" s="2" t="s">
        <v>72</v>
      </c>
      <c r="V579" s="2" t="s">
        <v>98</v>
      </c>
      <c r="W579" s="2">
        <v>1</v>
      </c>
      <c r="X579" s="2">
        <v>4.0999999999999996</v>
      </c>
    </row>
    <row r="580" spans="1:24" ht="15" customHeight="1">
      <c r="A580" s="2" t="s">
        <v>1944</v>
      </c>
      <c r="B580" s="2" t="s">
        <v>1945</v>
      </c>
      <c r="C580" s="2">
        <v>44</v>
      </c>
      <c r="D580" s="2" t="s">
        <v>28</v>
      </c>
      <c r="E580" s="2" t="s">
        <v>1863</v>
      </c>
      <c r="F580" s="2" t="s">
        <v>167</v>
      </c>
      <c r="G580" s="2" t="s">
        <v>179</v>
      </c>
      <c r="H580" s="2" t="s">
        <v>79</v>
      </c>
      <c r="I580" s="2" t="s">
        <v>1946</v>
      </c>
      <c r="J580" s="2" t="s">
        <v>128</v>
      </c>
      <c r="K580" s="2" t="s">
        <v>67</v>
      </c>
      <c r="L580" s="2" t="s">
        <v>68</v>
      </c>
      <c r="M580" s="2" t="s">
        <v>69</v>
      </c>
      <c r="N580" s="2" t="s">
        <v>70</v>
      </c>
      <c r="O580" s="2">
        <v>6113.36</v>
      </c>
      <c r="P580" s="2">
        <v>54.2</v>
      </c>
      <c r="Q580" s="2">
        <v>34343.99</v>
      </c>
      <c r="R580" s="2" t="s">
        <v>61</v>
      </c>
      <c r="S580" s="2">
        <v>843</v>
      </c>
      <c r="T580" s="2">
        <v>64</v>
      </c>
      <c r="U580" s="2" t="s">
        <v>108</v>
      </c>
      <c r="V580" s="2" t="s">
        <v>73</v>
      </c>
      <c r="W580" s="2">
        <v>4</v>
      </c>
      <c r="X580" s="2">
        <v>6.3</v>
      </c>
    </row>
    <row r="581" spans="1:24" ht="15" customHeight="1">
      <c r="A581" s="2" t="s">
        <v>1947</v>
      </c>
      <c r="B581" s="2" t="s">
        <v>1948</v>
      </c>
      <c r="C581" s="2">
        <v>41</v>
      </c>
      <c r="D581" s="2" t="s">
        <v>177</v>
      </c>
      <c r="E581" s="2" t="s">
        <v>708</v>
      </c>
      <c r="F581" s="2" t="s">
        <v>44</v>
      </c>
      <c r="G581" s="2" t="s">
        <v>96</v>
      </c>
      <c r="H581" s="2" t="s">
        <v>58</v>
      </c>
      <c r="I581" s="2" t="s">
        <v>1327</v>
      </c>
      <c r="J581" s="2" t="s">
        <v>128</v>
      </c>
      <c r="K581" s="2" t="s">
        <v>67</v>
      </c>
      <c r="L581" s="2" t="s">
        <v>68</v>
      </c>
      <c r="M581" s="2" t="s">
        <v>51</v>
      </c>
      <c r="N581" s="2" t="s">
        <v>70</v>
      </c>
      <c r="O581" s="2">
        <v>54287.93</v>
      </c>
      <c r="P581" s="2">
        <v>47.8</v>
      </c>
      <c r="Q581" s="2">
        <v>46951.01</v>
      </c>
      <c r="R581" s="2" t="s">
        <v>158</v>
      </c>
      <c r="S581" s="2">
        <v>526</v>
      </c>
      <c r="T581" s="2">
        <v>129</v>
      </c>
      <c r="U581" s="2" t="s">
        <v>98</v>
      </c>
      <c r="V581" s="2" t="s">
        <v>83</v>
      </c>
      <c r="W581" s="2">
        <v>3</v>
      </c>
      <c r="X581" s="2">
        <v>2.7</v>
      </c>
    </row>
    <row r="582" spans="1:24" ht="15" customHeight="1">
      <c r="A582" s="2" t="s">
        <v>1949</v>
      </c>
      <c r="B582" s="2" t="s">
        <v>1950</v>
      </c>
      <c r="C582" s="2">
        <v>14</v>
      </c>
      <c r="D582" s="2" t="s">
        <v>118</v>
      </c>
      <c r="E582" s="2" t="s">
        <v>1024</v>
      </c>
      <c r="F582" s="2" t="s">
        <v>77</v>
      </c>
      <c r="G582" s="2" t="s">
        <v>162</v>
      </c>
      <c r="H582" s="2" t="s">
        <v>65</v>
      </c>
      <c r="I582" s="2" t="s">
        <v>1951</v>
      </c>
      <c r="J582" s="2" t="s">
        <v>34</v>
      </c>
      <c r="K582" s="2" t="s">
        <v>114</v>
      </c>
      <c r="L582" s="2" t="s">
        <v>115</v>
      </c>
      <c r="M582" s="2" t="s">
        <v>69</v>
      </c>
      <c r="N582" s="2" t="s">
        <v>36</v>
      </c>
      <c r="O582" s="2">
        <v>66696.87</v>
      </c>
      <c r="P582" s="2">
        <v>13.9</v>
      </c>
      <c r="Q582" s="2">
        <v>9129.35</v>
      </c>
      <c r="R582" s="2" t="s">
        <v>97</v>
      </c>
      <c r="S582" s="2">
        <v>738</v>
      </c>
      <c r="T582" s="2">
        <v>122</v>
      </c>
      <c r="U582" s="2" t="s">
        <v>38</v>
      </c>
      <c r="V582" s="2" t="s">
        <v>39</v>
      </c>
      <c r="W582" s="2">
        <v>3</v>
      </c>
      <c r="X582" s="2">
        <v>5.7</v>
      </c>
    </row>
    <row r="583" spans="1:24" ht="15" customHeight="1">
      <c r="A583" s="2" t="s">
        <v>1952</v>
      </c>
      <c r="B583" s="2" t="s">
        <v>1953</v>
      </c>
      <c r="C583" s="2">
        <v>17</v>
      </c>
      <c r="D583" s="2" t="s">
        <v>188</v>
      </c>
      <c r="E583" s="2" t="s">
        <v>488</v>
      </c>
      <c r="F583" s="2" t="s">
        <v>184</v>
      </c>
      <c r="G583" s="2" t="s">
        <v>190</v>
      </c>
      <c r="H583" s="2" t="s">
        <v>46</v>
      </c>
      <c r="I583" s="2" t="s">
        <v>404</v>
      </c>
      <c r="J583" s="2" t="s">
        <v>90</v>
      </c>
      <c r="K583" s="2" t="s">
        <v>147</v>
      </c>
      <c r="L583" s="2" t="s">
        <v>115</v>
      </c>
      <c r="M583" s="2" t="s">
        <v>51</v>
      </c>
      <c r="N583" s="2" t="s">
        <v>60</v>
      </c>
      <c r="O583" s="2">
        <v>20710.439999999999</v>
      </c>
      <c r="P583" s="2">
        <v>78.599999999999994</v>
      </c>
      <c r="Q583" s="2">
        <v>28872.02</v>
      </c>
      <c r="R583" s="2" t="s">
        <v>129</v>
      </c>
      <c r="S583" s="2">
        <v>430</v>
      </c>
      <c r="T583" s="2">
        <v>20</v>
      </c>
      <c r="U583" s="2" t="s">
        <v>122</v>
      </c>
      <c r="V583" s="2" t="s">
        <v>72</v>
      </c>
      <c r="W583" s="2">
        <v>3</v>
      </c>
      <c r="X583" s="2">
        <v>4.3</v>
      </c>
    </row>
    <row r="584" spans="1:24" ht="15" customHeight="1">
      <c r="A584" s="2" t="s">
        <v>1954</v>
      </c>
      <c r="B584" s="2" t="s">
        <v>1955</v>
      </c>
      <c r="C584" s="2">
        <v>22</v>
      </c>
      <c r="D584" s="2" t="s">
        <v>118</v>
      </c>
      <c r="E584" s="2" t="s">
        <v>1768</v>
      </c>
      <c r="F584" s="2" t="s">
        <v>30</v>
      </c>
      <c r="G584" s="2" t="s">
        <v>217</v>
      </c>
      <c r="H584" s="2" t="s">
        <v>245</v>
      </c>
      <c r="I584" s="2" t="s">
        <v>1956</v>
      </c>
      <c r="J584" s="2" t="s">
        <v>48</v>
      </c>
      <c r="K584" s="2" t="s">
        <v>67</v>
      </c>
      <c r="L584" s="2" t="s">
        <v>68</v>
      </c>
      <c r="M584" s="2" t="s">
        <v>51</v>
      </c>
      <c r="N584" s="2" t="s">
        <v>60</v>
      </c>
      <c r="O584" s="2">
        <v>67362.14</v>
      </c>
      <c r="P584" s="2">
        <v>59.7</v>
      </c>
      <c r="Q584" s="2">
        <v>51983.9</v>
      </c>
      <c r="R584" s="2" t="s">
        <v>82</v>
      </c>
      <c r="S584" s="2">
        <v>772</v>
      </c>
      <c r="T584" s="2">
        <v>162</v>
      </c>
      <c r="U584" s="2" t="s">
        <v>122</v>
      </c>
      <c r="V584" s="2" t="s">
        <v>39</v>
      </c>
      <c r="W584" s="2">
        <v>3</v>
      </c>
      <c r="X584" s="2">
        <v>1.6</v>
      </c>
    </row>
    <row r="585" spans="1:24" ht="15" customHeight="1">
      <c r="A585" s="2" t="s">
        <v>1957</v>
      </c>
      <c r="B585" s="2" t="s">
        <v>1958</v>
      </c>
      <c r="C585" s="2">
        <v>20</v>
      </c>
      <c r="D585" s="2" t="s">
        <v>42</v>
      </c>
      <c r="E585" s="2" t="s">
        <v>928</v>
      </c>
      <c r="F585" s="2" t="s">
        <v>77</v>
      </c>
      <c r="G585" s="2" t="s">
        <v>162</v>
      </c>
      <c r="H585" s="2" t="s">
        <v>245</v>
      </c>
      <c r="I585" s="2" t="s">
        <v>1959</v>
      </c>
      <c r="J585" s="2" t="s">
        <v>128</v>
      </c>
      <c r="K585" s="2" t="s">
        <v>67</v>
      </c>
      <c r="L585" s="2" t="s">
        <v>68</v>
      </c>
      <c r="M585" s="2" t="s">
        <v>51</v>
      </c>
      <c r="N585" s="2" t="s">
        <v>60</v>
      </c>
      <c r="O585" s="2">
        <v>131131.20000000001</v>
      </c>
      <c r="P585" s="2">
        <v>10.8</v>
      </c>
      <c r="Q585" s="2">
        <v>8396.6200000000008</v>
      </c>
      <c r="R585" s="2" t="s">
        <v>52</v>
      </c>
      <c r="S585" s="2">
        <v>758</v>
      </c>
      <c r="T585" s="2">
        <v>137</v>
      </c>
      <c r="U585" s="2" t="s">
        <v>72</v>
      </c>
      <c r="V585" s="2" t="s">
        <v>73</v>
      </c>
      <c r="W585" s="2">
        <v>4</v>
      </c>
      <c r="X585" s="2">
        <v>7</v>
      </c>
    </row>
    <row r="586" spans="1:24" ht="15" customHeight="1">
      <c r="A586" s="2" t="s">
        <v>1960</v>
      </c>
      <c r="B586" s="2" t="s">
        <v>1961</v>
      </c>
      <c r="C586" s="2">
        <v>16</v>
      </c>
      <c r="D586" s="2" t="s">
        <v>28</v>
      </c>
      <c r="E586" s="2" t="s">
        <v>1962</v>
      </c>
      <c r="F586" s="2" t="s">
        <v>184</v>
      </c>
      <c r="G586" s="2" t="s">
        <v>179</v>
      </c>
      <c r="H586" s="2" t="s">
        <v>79</v>
      </c>
      <c r="I586" s="2" t="s">
        <v>254</v>
      </c>
      <c r="J586" s="2" t="s">
        <v>48</v>
      </c>
      <c r="K586" s="2" t="s">
        <v>114</v>
      </c>
      <c r="L586" s="2" t="s">
        <v>115</v>
      </c>
      <c r="M586" s="2" t="s">
        <v>51</v>
      </c>
      <c r="N586" s="2" t="s">
        <v>60</v>
      </c>
      <c r="O586" s="2">
        <v>92977.38</v>
      </c>
      <c r="P586" s="2">
        <v>23.5</v>
      </c>
      <c r="Q586" s="2">
        <v>2502.15</v>
      </c>
      <c r="R586" s="2" t="s">
        <v>129</v>
      </c>
      <c r="S586" s="2">
        <v>499</v>
      </c>
      <c r="T586" s="2">
        <v>155</v>
      </c>
      <c r="U586" s="2" t="s">
        <v>122</v>
      </c>
      <c r="V586" s="2" t="s">
        <v>122</v>
      </c>
      <c r="W586" s="2">
        <v>5</v>
      </c>
      <c r="X586" s="2">
        <v>8.1</v>
      </c>
    </row>
    <row r="587" spans="1:24" ht="15" customHeight="1">
      <c r="A587" s="2" t="s">
        <v>1963</v>
      </c>
      <c r="B587" s="2" t="s">
        <v>1964</v>
      </c>
      <c r="C587" s="2">
        <v>25</v>
      </c>
      <c r="D587" s="2" t="s">
        <v>93</v>
      </c>
      <c r="E587" s="2" t="s">
        <v>1569</v>
      </c>
      <c r="F587" s="2" t="s">
        <v>30</v>
      </c>
      <c r="G587" s="2" t="s">
        <v>31</v>
      </c>
      <c r="H587" s="2" t="s">
        <v>58</v>
      </c>
      <c r="I587" s="2" t="s">
        <v>879</v>
      </c>
      <c r="J587" s="2" t="s">
        <v>81</v>
      </c>
      <c r="K587" s="2" t="s">
        <v>67</v>
      </c>
      <c r="L587" s="2" t="s">
        <v>68</v>
      </c>
      <c r="M587" s="2" t="s">
        <v>51</v>
      </c>
      <c r="N587" s="2" t="s">
        <v>70</v>
      </c>
      <c r="O587" s="2">
        <v>148390.29</v>
      </c>
      <c r="P587" s="2">
        <v>24.1</v>
      </c>
      <c r="Q587" s="2">
        <v>40201.56</v>
      </c>
      <c r="R587" s="2" t="s">
        <v>158</v>
      </c>
      <c r="S587" s="2">
        <v>568</v>
      </c>
      <c r="T587" s="2">
        <v>136</v>
      </c>
      <c r="U587" s="2" t="s">
        <v>122</v>
      </c>
      <c r="V587" s="2" t="s">
        <v>98</v>
      </c>
      <c r="W587" s="2">
        <v>5</v>
      </c>
      <c r="X587" s="2">
        <v>5.8</v>
      </c>
    </row>
    <row r="588" spans="1:24" ht="15" customHeight="1">
      <c r="A588" s="2" t="s">
        <v>1965</v>
      </c>
      <c r="B588" s="2" t="s">
        <v>1966</v>
      </c>
      <c r="C588" s="2">
        <v>12</v>
      </c>
      <c r="D588" s="2" t="s">
        <v>86</v>
      </c>
      <c r="E588" s="2" t="s">
        <v>1967</v>
      </c>
      <c r="F588" s="2" t="s">
        <v>120</v>
      </c>
      <c r="G588" s="2" t="s">
        <v>31</v>
      </c>
      <c r="H588" s="2" t="s">
        <v>79</v>
      </c>
      <c r="I588" s="2" t="s">
        <v>1968</v>
      </c>
      <c r="J588" s="2" t="s">
        <v>81</v>
      </c>
      <c r="K588" s="2" t="s">
        <v>49</v>
      </c>
      <c r="L588" s="2" t="s">
        <v>50</v>
      </c>
      <c r="M588" s="2" t="s">
        <v>51</v>
      </c>
      <c r="N588" s="2" t="s">
        <v>36</v>
      </c>
      <c r="O588" s="2">
        <v>88995.56</v>
      </c>
      <c r="P588" s="2">
        <v>44.6</v>
      </c>
      <c r="Q588" s="2">
        <v>46584.67</v>
      </c>
      <c r="R588" s="2"/>
      <c r="S588" s="2">
        <v>362</v>
      </c>
      <c r="T588" s="2">
        <v>80</v>
      </c>
      <c r="U588" s="2" t="s">
        <v>39</v>
      </c>
      <c r="V588" s="2" t="s">
        <v>72</v>
      </c>
      <c r="W588" s="2">
        <v>3</v>
      </c>
      <c r="X588" s="2">
        <v>7.6</v>
      </c>
    </row>
    <row r="589" spans="1:24" ht="15" customHeight="1">
      <c r="A589" s="2" t="s">
        <v>1969</v>
      </c>
      <c r="B589" s="2" t="s">
        <v>1970</v>
      </c>
      <c r="C589" s="2">
        <v>20</v>
      </c>
      <c r="D589" s="2" t="s">
        <v>93</v>
      </c>
      <c r="E589" s="2" t="s">
        <v>1014</v>
      </c>
      <c r="F589" s="2" t="s">
        <v>120</v>
      </c>
      <c r="G589" s="2" t="s">
        <v>179</v>
      </c>
      <c r="H589" s="2" t="s">
        <v>126</v>
      </c>
      <c r="I589" s="2" t="s">
        <v>1971</v>
      </c>
      <c r="J589" s="2" t="s">
        <v>81</v>
      </c>
      <c r="K589" s="2" t="s">
        <v>67</v>
      </c>
      <c r="L589" s="2" t="s">
        <v>68</v>
      </c>
      <c r="M589" s="2" t="s">
        <v>51</v>
      </c>
      <c r="N589" s="2" t="s">
        <v>60</v>
      </c>
      <c r="O589" s="2">
        <v>80612.2</v>
      </c>
      <c r="P589" s="2">
        <v>64.400000000000006</v>
      </c>
      <c r="Q589" s="2">
        <v>9056.8700000000008</v>
      </c>
      <c r="R589" s="2" t="s">
        <v>97</v>
      </c>
      <c r="S589" s="2">
        <v>330</v>
      </c>
      <c r="T589" s="2">
        <v>40</v>
      </c>
      <c r="U589" s="2" t="s">
        <v>83</v>
      </c>
      <c r="V589" s="2" t="s">
        <v>83</v>
      </c>
      <c r="W589" s="2">
        <v>2</v>
      </c>
      <c r="X589" s="2">
        <v>1.7</v>
      </c>
    </row>
    <row r="590" spans="1:24" ht="15" customHeight="1">
      <c r="A590" s="2" t="s">
        <v>1972</v>
      </c>
      <c r="B590" s="2" t="s">
        <v>1973</v>
      </c>
      <c r="C590" s="2">
        <v>17</v>
      </c>
      <c r="D590" s="2" t="s">
        <v>101</v>
      </c>
      <c r="E590" s="2" t="s">
        <v>708</v>
      </c>
      <c r="F590" s="2" t="s">
        <v>44</v>
      </c>
      <c r="G590" s="2" t="s">
        <v>31</v>
      </c>
      <c r="H590" s="2" t="s">
        <v>46</v>
      </c>
      <c r="I590" s="2" t="s">
        <v>556</v>
      </c>
      <c r="J590" s="2" t="s">
        <v>90</v>
      </c>
      <c r="K590" s="2" t="s">
        <v>147</v>
      </c>
      <c r="L590" s="2" t="s">
        <v>115</v>
      </c>
      <c r="M590" s="2" t="s">
        <v>0</v>
      </c>
      <c r="N590" s="2" t="s">
        <v>36</v>
      </c>
      <c r="O590" s="2">
        <v>91545.64</v>
      </c>
      <c r="P590" s="2">
        <v>74</v>
      </c>
      <c r="Q590" s="2">
        <v>40604.120000000003</v>
      </c>
      <c r="R590" s="2" t="s">
        <v>107</v>
      </c>
      <c r="S590" s="2" t="s">
        <v>195</v>
      </c>
      <c r="T590" s="2">
        <v>21</v>
      </c>
      <c r="U590" s="2" t="s">
        <v>39</v>
      </c>
      <c r="V590" s="2" t="s">
        <v>73</v>
      </c>
      <c r="W590" s="2">
        <v>1</v>
      </c>
      <c r="X590" s="2">
        <v>3</v>
      </c>
    </row>
    <row r="591" spans="1:24" ht="15" customHeight="1">
      <c r="A591" s="2" t="s">
        <v>1974</v>
      </c>
      <c r="B591" s="2" t="s">
        <v>1975</v>
      </c>
      <c r="C591" s="2">
        <v>41</v>
      </c>
      <c r="D591" s="2" t="s">
        <v>42</v>
      </c>
      <c r="E591" s="2" t="s">
        <v>1243</v>
      </c>
      <c r="F591" s="2" t="s">
        <v>30</v>
      </c>
      <c r="G591" s="2" t="s">
        <v>162</v>
      </c>
      <c r="H591" s="2" t="s">
        <v>152</v>
      </c>
      <c r="I591" s="2" t="s">
        <v>1976</v>
      </c>
      <c r="J591" s="2" t="s">
        <v>34</v>
      </c>
      <c r="K591" s="2" t="s">
        <v>67</v>
      </c>
      <c r="L591" s="2" t="s">
        <v>68</v>
      </c>
      <c r="M591" s="2" t="s">
        <v>51</v>
      </c>
      <c r="N591" s="2" t="s">
        <v>36</v>
      </c>
      <c r="O591" s="2">
        <v>50876.87</v>
      </c>
      <c r="P591" s="2">
        <v>12.3</v>
      </c>
      <c r="Q591" s="2">
        <v>218.99</v>
      </c>
      <c r="R591" s="2" t="s">
        <v>82</v>
      </c>
      <c r="S591" s="2">
        <v>768</v>
      </c>
      <c r="T591" s="2">
        <v>103</v>
      </c>
      <c r="U591" s="2" t="s">
        <v>108</v>
      </c>
      <c r="V591" s="2" t="s">
        <v>38</v>
      </c>
      <c r="W591" s="2">
        <v>3</v>
      </c>
      <c r="X591" s="2">
        <v>8.6</v>
      </c>
    </row>
    <row r="592" spans="1:24" ht="15" customHeight="1">
      <c r="A592" s="2" t="s">
        <v>1977</v>
      </c>
      <c r="B592" s="2" t="s">
        <v>1978</v>
      </c>
      <c r="C592" s="2">
        <v>10</v>
      </c>
      <c r="D592" s="2" t="s">
        <v>188</v>
      </c>
      <c r="E592" s="2" t="s">
        <v>1832</v>
      </c>
      <c r="F592" s="2" t="s">
        <v>44</v>
      </c>
      <c r="G592" s="2" t="s">
        <v>179</v>
      </c>
      <c r="H592" s="2" t="s">
        <v>58</v>
      </c>
      <c r="I592" s="2" t="s">
        <v>33</v>
      </c>
      <c r="J592" s="2" t="s">
        <v>90</v>
      </c>
      <c r="K592" s="2" t="s">
        <v>49</v>
      </c>
      <c r="L592" s="2" t="s">
        <v>50</v>
      </c>
      <c r="M592" s="2" t="s">
        <v>35</v>
      </c>
      <c r="N592" s="2" t="s">
        <v>70</v>
      </c>
      <c r="O592" s="2">
        <v>48368.17</v>
      </c>
      <c r="P592" s="2">
        <v>11.8</v>
      </c>
      <c r="Q592" s="2">
        <v>50443.41</v>
      </c>
      <c r="R592" s="2" t="s">
        <v>61</v>
      </c>
      <c r="S592" s="2">
        <v>301</v>
      </c>
      <c r="T592" s="2">
        <v>138</v>
      </c>
      <c r="U592" s="2" t="s">
        <v>72</v>
      </c>
      <c r="V592" s="2" t="s">
        <v>38</v>
      </c>
      <c r="W592" s="2">
        <v>5</v>
      </c>
      <c r="X592" s="2">
        <v>4.5</v>
      </c>
    </row>
    <row r="593" spans="1:24" ht="15" customHeight="1">
      <c r="A593" s="2" t="s">
        <v>1979</v>
      </c>
      <c r="B593" s="2" t="s">
        <v>1980</v>
      </c>
      <c r="C593" s="2"/>
      <c r="D593" s="2" t="s">
        <v>118</v>
      </c>
      <c r="E593" s="2" t="s">
        <v>655</v>
      </c>
      <c r="F593" s="2" t="s">
        <v>167</v>
      </c>
      <c r="G593" s="2" t="s">
        <v>190</v>
      </c>
      <c r="H593" s="2" t="s">
        <v>46</v>
      </c>
      <c r="I593" s="2" t="s">
        <v>962</v>
      </c>
      <c r="J593" s="2" t="s">
        <v>34</v>
      </c>
      <c r="K593" s="2"/>
      <c r="L593" s="2"/>
      <c r="M593" s="2" t="s">
        <v>51</v>
      </c>
      <c r="N593" s="2" t="s">
        <v>60</v>
      </c>
      <c r="O593" s="2">
        <v>81553.399999999994</v>
      </c>
      <c r="P593" s="2">
        <v>46.9</v>
      </c>
      <c r="Q593" s="2">
        <v>31202.34</v>
      </c>
      <c r="R593" s="2"/>
      <c r="S593" s="2">
        <v>421</v>
      </c>
      <c r="T593" s="2">
        <v>174</v>
      </c>
      <c r="U593" s="2" t="s">
        <v>72</v>
      </c>
      <c r="V593" s="2" t="s">
        <v>72</v>
      </c>
      <c r="W593" s="2">
        <v>3</v>
      </c>
      <c r="X593" s="2">
        <v>7.3</v>
      </c>
    </row>
    <row r="594" spans="1:24" ht="15" customHeight="1">
      <c r="A594" s="2" t="s">
        <v>1981</v>
      </c>
      <c r="B594" s="2" t="s">
        <v>1982</v>
      </c>
      <c r="C594" s="2">
        <v>10</v>
      </c>
      <c r="D594" s="2" t="s">
        <v>177</v>
      </c>
      <c r="E594" s="2" t="s">
        <v>593</v>
      </c>
      <c r="F594" s="2" t="s">
        <v>120</v>
      </c>
      <c r="G594" s="2" t="s">
        <v>78</v>
      </c>
      <c r="H594" s="2" t="s">
        <v>79</v>
      </c>
      <c r="I594" s="2" t="s">
        <v>127</v>
      </c>
      <c r="J594" s="2" t="s">
        <v>48</v>
      </c>
      <c r="K594" s="2" t="s">
        <v>49</v>
      </c>
      <c r="L594" s="2" t="s">
        <v>50</v>
      </c>
      <c r="M594" s="2" t="s">
        <v>51</v>
      </c>
      <c r="N594" s="2" t="s">
        <v>36</v>
      </c>
      <c r="O594" s="2">
        <v>80686.61</v>
      </c>
      <c r="P594" s="2">
        <v>70.5</v>
      </c>
      <c r="Q594" s="2">
        <v>22808.43</v>
      </c>
      <c r="R594" s="2" t="s">
        <v>138</v>
      </c>
      <c r="S594" s="2">
        <v>866</v>
      </c>
      <c r="T594" s="2">
        <v>194</v>
      </c>
      <c r="U594" s="2" t="s">
        <v>39</v>
      </c>
      <c r="V594" s="2" t="s">
        <v>98</v>
      </c>
      <c r="W594" s="2">
        <v>3</v>
      </c>
      <c r="X594" s="2">
        <v>3.4</v>
      </c>
    </row>
    <row r="595" spans="1:24" ht="15" customHeight="1">
      <c r="A595" s="2" t="s">
        <v>1983</v>
      </c>
      <c r="B595" s="2" t="s">
        <v>1984</v>
      </c>
      <c r="C595" s="2">
        <v>35</v>
      </c>
      <c r="D595" s="2" t="s">
        <v>177</v>
      </c>
      <c r="E595" s="2" t="s">
        <v>456</v>
      </c>
      <c r="F595" s="2" t="s">
        <v>30</v>
      </c>
      <c r="G595" s="2" t="s">
        <v>217</v>
      </c>
      <c r="H595" s="2" t="s">
        <v>152</v>
      </c>
      <c r="I595" s="2" t="s">
        <v>1985</v>
      </c>
      <c r="J595" s="2" t="s">
        <v>90</v>
      </c>
      <c r="K595" s="2" t="s">
        <v>67</v>
      </c>
      <c r="L595" s="2" t="s">
        <v>68</v>
      </c>
      <c r="M595" s="2" t="s">
        <v>35</v>
      </c>
      <c r="N595" s="2" t="s">
        <v>36</v>
      </c>
      <c r="O595" s="2">
        <v>84956.74</v>
      </c>
      <c r="P595" s="2">
        <v>50.6</v>
      </c>
      <c r="Q595" s="2">
        <v>35533.24</v>
      </c>
      <c r="R595" s="2" t="s">
        <v>97</v>
      </c>
      <c r="S595" s="2">
        <v>572</v>
      </c>
      <c r="T595" s="2">
        <v>36</v>
      </c>
      <c r="U595" s="2" t="s">
        <v>38</v>
      </c>
      <c r="V595" s="2" t="s">
        <v>98</v>
      </c>
      <c r="W595" s="2">
        <v>1</v>
      </c>
      <c r="X595" s="2">
        <v>7.4</v>
      </c>
    </row>
    <row r="596" spans="1:24" ht="15" customHeight="1">
      <c r="A596" s="2" t="s">
        <v>1986</v>
      </c>
      <c r="B596" s="2" t="s">
        <v>1987</v>
      </c>
      <c r="C596" s="2">
        <v>22</v>
      </c>
      <c r="D596" s="2" t="s">
        <v>42</v>
      </c>
      <c r="E596" s="2" t="s">
        <v>839</v>
      </c>
      <c r="F596" s="2" t="s">
        <v>30</v>
      </c>
      <c r="G596" s="2" t="s">
        <v>96</v>
      </c>
      <c r="H596" s="2" t="s">
        <v>126</v>
      </c>
      <c r="I596" s="2" t="s">
        <v>80</v>
      </c>
      <c r="J596" s="2" t="s">
        <v>128</v>
      </c>
      <c r="K596" s="2" t="s">
        <v>67</v>
      </c>
      <c r="L596" s="2" t="s">
        <v>68</v>
      </c>
      <c r="M596" s="2" t="s">
        <v>51</v>
      </c>
      <c r="N596" s="2" t="s">
        <v>60</v>
      </c>
      <c r="O596" s="2">
        <v>127513.67</v>
      </c>
      <c r="P596" s="2">
        <v>68.3</v>
      </c>
      <c r="Q596" s="2">
        <v>22030.13</v>
      </c>
      <c r="R596" s="2" t="s">
        <v>71</v>
      </c>
      <c r="S596" s="2">
        <v>350</v>
      </c>
      <c r="T596" s="2">
        <v>102</v>
      </c>
      <c r="U596" s="2" t="s">
        <v>122</v>
      </c>
      <c r="V596" s="2" t="s">
        <v>38</v>
      </c>
      <c r="W596" s="2">
        <v>1</v>
      </c>
      <c r="X596" s="2">
        <v>4.4000000000000004</v>
      </c>
    </row>
    <row r="597" spans="1:24" ht="15" customHeight="1">
      <c r="A597" s="2" t="s">
        <v>1988</v>
      </c>
      <c r="B597" s="2" t="s">
        <v>1989</v>
      </c>
      <c r="C597" s="2">
        <v>36</v>
      </c>
      <c r="D597" s="2" t="s">
        <v>55</v>
      </c>
      <c r="E597" s="2" t="s">
        <v>754</v>
      </c>
      <c r="F597" s="2" t="s">
        <v>184</v>
      </c>
      <c r="G597" s="2" t="s">
        <v>96</v>
      </c>
      <c r="H597" s="2" t="s">
        <v>126</v>
      </c>
      <c r="I597" s="2" t="s">
        <v>445</v>
      </c>
      <c r="J597" s="2" t="s">
        <v>81</v>
      </c>
      <c r="K597" s="2" t="s">
        <v>67</v>
      </c>
      <c r="L597" s="2" t="s">
        <v>68</v>
      </c>
      <c r="M597" s="2" t="s">
        <v>51</v>
      </c>
      <c r="N597" s="2" t="s">
        <v>36</v>
      </c>
      <c r="O597" s="2">
        <v>31501.39</v>
      </c>
      <c r="P597" s="2">
        <v>58.8</v>
      </c>
      <c r="Q597" s="2">
        <v>14422.23</v>
      </c>
      <c r="R597" s="2" t="s">
        <v>97</v>
      </c>
      <c r="S597" s="2">
        <v>374</v>
      </c>
      <c r="T597" s="2">
        <v>138</v>
      </c>
      <c r="U597" s="2" t="s">
        <v>72</v>
      </c>
      <c r="V597" s="2" t="s">
        <v>72</v>
      </c>
      <c r="W597" s="2">
        <v>1</v>
      </c>
      <c r="X597" s="2">
        <v>7.2</v>
      </c>
    </row>
    <row r="598" spans="1:24" ht="15" customHeight="1">
      <c r="A598" s="2" t="s">
        <v>1990</v>
      </c>
      <c r="B598" s="2" t="s">
        <v>1991</v>
      </c>
      <c r="C598" s="2">
        <v>9</v>
      </c>
      <c r="D598" s="2" t="s">
        <v>93</v>
      </c>
      <c r="E598" s="2" t="s">
        <v>1229</v>
      </c>
      <c r="F598" s="2" t="s">
        <v>44</v>
      </c>
      <c r="G598" s="2" t="s">
        <v>217</v>
      </c>
      <c r="H598" s="2" t="s">
        <v>152</v>
      </c>
      <c r="I598" s="2" t="s">
        <v>1992</v>
      </c>
      <c r="J598" s="2" t="s">
        <v>34</v>
      </c>
      <c r="K598" s="2" t="s">
        <v>106</v>
      </c>
      <c r="L598" s="2" t="s">
        <v>50</v>
      </c>
      <c r="M598" s="2" t="s">
        <v>51</v>
      </c>
      <c r="N598" s="2" t="s">
        <v>60</v>
      </c>
      <c r="O598" s="2">
        <v>112860.89</v>
      </c>
      <c r="P598" s="2">
        <v>66.3</v>
      </c>
      <c r="Q598" s="2">
        <v>47636.71</v>
      </c>
      <c r="R598" s="2" t="s">
        <v>52</v>
      </c>
      <c r="S598" s="2">
        <v>504</v>
      </c>
      <c r="T598" s="2">
        <v>118</v>
      </c>
      <c r="U598" s="2" t="s">
        <v>98</v>
      </c>
      <c r="V598" s="2" t="s">
        <v>72</v>
      </c>
      <c r="W598" s="2">
        <v>1</v>
      </c>
      <c r="X598" s="2">
        <v>8.6</v>
      </c>
    </row>
    <row r="599" spans="1:24" ht="15" customHeight="1">
      <c r="A599" s="2" t="s">
        <v>1993</v>
      </c>
      <c r="B599" s="2" t="s">
        <v>1994</v>
      </c>
      <c r="C599" s="2">
        <v>11</v>
      </c>
      <c r="D599" s="2" t="s">
        <v>171</v>
      </c>
      <c r="E599" s="2" t="s">
        <v>889</v>
      </c>
      <c r="F599" s="2" t="s">
        <v>77</v>
      </c>
      <c r="G599" s="2" t="s">
        <v>78</v>
      </c>
      <c r="H599" s="2" t="s">
        <v>79</v>
      </c>
      <c r="I599" s="2" t="s">
        <v>1995</v>
      </c>
      <c r="J599" s="2" t="s">
        <v>81</v>
      </c>
      <c r="K599" s="2" t="s">
        <v>49</v>
      </c>
      <c r="L599" s="2" t="s">
        <v>50</v>
      </c>
      <c r="M599" s="2" t="s">
        <v>51</v>
      </c>
      <c r="N599" s="2" t="s">
        <v>70</v>
      </c>
      <c r="O599" s="2">
        <v>54969</v>
      </c>
      <c r="P599" s="2">
        <v>25.9</v>
      </c>
      <c r="Q599" s="2">
        <v>28333.040000000001</v>
      </c>
      <c r="R599" s="2" t="s">
        <v>97</v>
      </c>
      <c r="S599" s="2">
        <v>390</v>
      </c>
      <c r="T599" s="2">
        <v>184</v>
      </c>
      <c r="U599" s="2" t="s">
        <v>98</v>
      </c>
      <c r="V599" s="2" t="s">
        <v>122</v>
      </c>
      <c r="W599" s="2">
        <v>5</v>
      </c>
      <c r="X599" s="2">
        <v>1.2</v>
      </c>
    </row>
    <row r="600" spans="1:24" ht="15" customHeight="1">
      <c r="A600" s="2" t="s">
        <v>1996</v>
      </c>
      <c r="B600" s="2" t="s">
        <v>1997</v>
      </c>
      <c r="C600" s="2">
        <v>10</v>
      </c>
      <c r="D600" s="2" t="s">
        <v>86</v>
      </c>
      <c r="E600" s="2" t="s">
        <v>261</v>
      </c>
      <c r="F600" s="2" t="s">
        <v>57</v>
      </c>
      <c r="G600" s="2" t="s">
        <v>96</v>
      </c>
      <c r="H600" s="2" t="s">
        <v>46</v>
      </c>
      <c r="I600" s="2" t="s">
        <v>1998</v>
      </c>
      <c r="J600" s="2" t="s">
        <v>90</v>
      </c>
      <c r="K600" s="2" t="s">
        <v>49</v>
      </c>
      <c r="L600" s="2" t="s">
        <v>50</v>
      </c>
      <c r="M600" s="2" t="s">
        <v>51</v>
      </c>
      <c r="N600" s="2" t="s">
        <v>36</v>
      </c>
      <c r="O600" s="2">
        <v>57191.74</v>
      </c>
      <c r="P600" s="2">
        <v>62.3</v>
      </c>
      <c r="Q600" s="2">
        <v>49431.38</v>
      </c>
      <c r="R600" s="2" t="s">
        <v>138</v>
      </c>
      <c r="S600" s="2">
        <v>730</v>
      </c>
      <c r="T600" s="2">
        <v>103</v>
      </c>
      <c r="U600" s="2" t="s">
        <v>73</v>
      </c>
      <c r="V600" s="2" t="s">
        <v>98</v>
      </c>
      <c r="W600" s="2">
        <v>4</v>
      </c>
      <c r="X600" s="2">
        <v>2.1</v>
      </c>
    </row>
    <row r="601" spans="1:24" ht="15" customHeight="1">
      <c r="A601" s="2" t="s">
        <v>1999</v>
      </c>
      <c r="B601" s="2" t="s">
        <v>2000</v>
      </c>
      <c r="C601" s="2">
        <v>22</v>
      </c>
      <c r="D601" s="2" t="s">
        <v>171</v>
      </c>
      <c r="E601" s="2" t="s">
        <v>344</v>
      </c>
      <c r="F601" s="2" t="s">
        <v>184</v>
      </c>
      <c r="G601" s="2" t="s">
        <v>190</v>
      </c>
      <c r="H601" s="2" t="s">
        <v>79</v>
      </c>
      <c r="I601" s="2" t="s">
        <v>2001</v>
      </c>
      <c r="J601" s="2" t="s">
        <v>113</v>
      </c>
      <c r="K601" s="2" t="s">
        <v>67</v>
      </c>
      <c r="L601" s="2" t="s">
        <v>68</v>
      </c>
      <c r="M601" s="2" t="s">
        <v>51</v>
      </c>
      <c r="N601" s="2" t="s">
        <v>70</v>
      </c>
      <c r="O601" s="2">
        <v>53428.91</v>
      </c>
      <c r="P601" s="2">
        <v>38.299999999999997</v>
      </c>
      <c r="Q601" s="2">
        <v>16602.009999999998</v>
      </c>
      <c r="R601" s="2" t="s">
        <v>97</v>
      </c>
      <c r="S601" s="2">
        <v>668</v>
      </c>
      <c r="T601" s="2">
        <v>85</v>
      </c>
      <c r="U601" s="2" t="s">
        <v>72</v>
      </c>
      <c r="V601" s="2" t="s">
        <v>73</v>
      </c>
      <c r="W601" s="2">
        <v>2</v>
      </c>
      <c r="X601" s="2">
        <v>2.2999999999999998</v>
      </c>
    </row>
    <row r="602" spans="1:24" ht="15" customHeight="1">
      <c r="A602" s="2" t="s">
        <v>771</v>
      </c>
      <c r="B602" s="2" t="s">
        <v>772</v>
      </c>
      <c r="C602" s="2">
        <v>14</v>
      </c>
      <c r="D602" s="2" t="s">
        <v>101</v>
      </c>
      <c r="E602" s="2" t="s">
        <v>773</v>
      </c>
      <c r="F602" s="2" t="s">
        <v>95</v>
      </c>
      <c r="G602" s="2" t="s">
        <v>45</v>
      </c>
      <c r="H602" s="2" t="s">
        <v>32</v>
      </c>
      <c r="I602" s="2" t="s">
        <v>774</v>
      </c>
      <c r="J602" s="2" t="s">
        <v>81</v>
      </c>
      <c r="K602" s="2" t="s">
        <v>114</v>
      </c>
      <c r="L602" s="2" t="s">
        <v>115</v>
      </c>
      <c r="M602" s="2" t="s">
        <v>51</v>
      </c>
      <c r="N602" s="2" t="s">
        <v>70</v>
      </c>
      <c r="O602" s="2">
        <v>56519.55</v>
      </c>
      <c r="P602" s="2">
        <v>50.3</v>
      </c>
      <c r="Q602" s="2">
        <v>34676.31</v>
      </c>
      <c r="R602" s="2" t="s">
        <v>148</v>
      </c>
      <c r="S602" s="2">
        <v>813</v>
      </c>
      <c r="T602" s="2">
        <v>139</v>
      </c>
      <c r="U602" s="2" t="s">
        <v>72</v>
      </c>
      <c r="V602" s="2" t="s">
        <v>98</v>
      </c>
      <c r="W602" s="2">
        <v>3</v>
      </c>
      <c r="X602" s="2">
        <v>1.5</v>
      </c>
    </row>
    <row r="603" spans="1:24" ht="15" customHeight="1">
      <c r="A603" s="2" t="s">
        <v>116</v>
      </c>
      <c r="B603" s="2" t="s">
        <v>117</v>
      </c>
      <c r="C603" s="2">
        <v>10</v>
      </c>
      <c r="D603" s="2" t="s">
        <v>118</v>
      </c>
      <c r="E603" s="2" t="s">
        <v>119</v>
      </c>
      <c r="F603" s="2" t="s">
        <v>120</v>
      </c>
      <c r="G603" s="2" t="s">
        <v>31</v>
      </c>
      <c r="H603" s="2" t="s">
        <v>65</v>
      </c>
      <c r="I603" s="2" t="s">
        <v>121</v>
      </c>
      <c r="J603" s="2" t="s">
        <v>34</v>
      </c>
      <c r="K603" s="2" t="s">
        <v>49</v>
      </c>
      <c r="L603" s="2" t="s">
        <v>50</v>
      </c>
      <c r="M603" s="2" t="s">
        <v>51</v>
      </c>
      <c r="N603" s="2" t="s">
        <v>60</v>
      </c>
      <c r="O603" s="2">
        <v>58581.43</v>
      </c>
      <c r="P603" s="2">
        <v>67.5</v>
      </c>
      <c r="Q603" s="2">
        <v>42212.4</v>
      </c>
      <c r="R603" s="2"/>
      <c r="S603" s="2">
        <v>308</v>
      </c>
      <c r="T603" s="2">
        <v>141</v>
      </c>
      <c r="U603" s="2" t="s">
        <v>72</v>
      </c>
      <c r="V603" s="2" t="s">
        <v>122</v>
      </c>
      <c r="W603" s="2">
        <v>1</v>
      </c>
      <c r="X603" s="2">
        <v>8.1</v>
      </c>
    </row>
    <row r="604" spans="1:24" ht="15" customHeight="1">
      <c r="A604" s="2" t="s">
        <v>235</v>
      </c>
      <c r="B604" s="2" t="s">
        <v>236</v>
      </c>
      <c r="C604" s="2">
        <v>13</v>
      </c>
      <c r="D604" s="2" t="s">
        <v>101</v>
      </c>
      <c r="E604" s="2" t="s">
        <v>237</v>
      </c>
      <c r="F604" s="2" t="s">
        <v>57</v>
      </c>
      <c r="G604" s="2" t="s">
        <v>179</v>
      </c>
      <c r="H604" s="2" t="s">
        <v>152</v>
      </c>
      <c r="I604" s="2" t="s">
        <v>238</v>
      </c>
      <c r="J604" s="2" t="s">
        <v>81</v>
      </c>
      <c r="K604" s="2" t="s">
        <v>49</v>
      </c>
      <c r="L604" s="2" t="s">
        <v>50</v>
      </c>
      <c r="M604" s="2" t="s">
        <v>51</v>
      </c>
      <c r="N604" s="2" t="s">
        <v>70</v>
      </c>
      <c r="O604" s="2">
        <v>99963.68</v>
      </c>
      <c r="P604" s="2">
        <v>51.2</v>
      </c>
      <c r="Q604" s="2">
        <v>56343.18</v>
      </c>
      <c r="R604" s="2" t="s">
        <v>138</v>
      </c>
      <c r="S604" s="2">
        <v>679</v>
      </c>
      <c r="T604" s="2">
        <v>113</v>
      </c>
      <c r="U604" s="2" t="s">
        <v>122</v>
      </c>
      <c r="V604" s="2" t="s">
        <v>122</v>
      </c>
      <c r="W604" s="2">
        <v>5</v>
      </c>
      <c r="X604" s="2">
        <v>8.1999999999999993</v>
      </c>
    </row>
    <row r="605" spans="1:24" ht="15" customHeight="1">
      <c r="A605" s="2" t="s">
        <v>1872</v>
      </c>
      <c r="B605" s="2" t="s">
        <v>1873</v>
      </c>
      <c r="C605" s="2">
        <v>38</v>
      </c>
      <c r="D605" s="2" t="s">
        <v>177</v>
      </c>
      <c r="E605" s="2" t="s">
        <v>1058</v>
      </c>
      <c r="F605" s="2" t="s">
        <v>184</v>
      </c>
      <c r="G605" s="2" t="s">
        <v>78</v>
      </c>
      <c r="H605" s="2" t="s">
        <v>65</v>
      </c>
      <c r="I605" s="2" t="s">
        <v>1874</v>
      </c>
      <c r="J605" s="2" t="s">
        <v>48</v>
      </c>
      <c r="K605" s="2" t="s">
        <v>67</v>
      </c>
      <c r="L605" s="2" t="s">
        <v>68</v>
      </c>
      <c r="M605" s="2" t="s">
        <v>51</v>
      </c>
      <c r="N605" s="2" t="s">
        <v>70</v>
      </c>
      <c r="O605" s="2">
        <v>30454.6</v>
      </c>
      <c r="P605" s="2">
        <v>21.1</v>
      </c>
      <c r="Q605" s="2">
        <v>26573.9</v>
      </c>
      <c r="R605" s="2" t="s">
        <v>148</v>
      </c>
      <c r="S605" s="2">
        <v>878</v>
      </c>
      <c r="T605" s="2">
        <v>47</v>
      </c>
      <c r="U605" s="2" t="s">
        <v>122</v>
      </c>
      <c r="V605" s="2" t="s">
        <v>83</v>
      </c>
      <c r="W605" s="2">
        <v>2</v>
      </c>
      <c r="X605" s="2">
        <v>5.4</v>
      </c>
    </row>
    <row r="606" spans="1:24" ht="15" customHeight="1">
      <c r="A606" s="2" t="s">
        <v>1263</v>
      </c>
      <c r="B606" s="2" t="s">
        <v>1264</v>
      </c>
      <c r="C606" s="2">
        <v>10</v>
      </c>
      <c r="D606" s="2" t="s">
        <v>93</v>
      </c>
      <c r="E606" s="2" t="s">
        <v>1265</v>
      </c>
      <c r="F606" s="2" t="s">
        <v>103</v>
      </c>
      <c r="G606" s="2" t="s">
        <v>162</v>
      </c>
      <c r="H606" s="2" t="s">
        <v>152</v>
      </c>
      <c r="I606" s="2" t="s">
        <v>331</v>
      </c>
      <c r="J606" s="2" t="s">
        <v>90</v>
      </c>
      <c r="K606" s="2" t="s">
        <v>49</v>
      </c>
      <c r="L606" s="2" t="s">
        <v>50</v>
      </c>
      <c r="M606" s="2" t="s">
        <v>51</v>
      </c>
      <c r="N606" s="2" t="s">
        <v>60</v>
      </c>
      <c r="O606" s="2">
        <v>81164.03</v>
      </c>
      <c r="P606" s="2">
        <v>16</v>
      </c>
      <c r="Q606" s="2">
        <v>5634.61</v>
      </c>
      <c r="R606" s="2" t="s">
        <v>129</v>
      </c>
      <c r="S606" s="2">
        <v>643</v>
      </c>
      <c r="T606" s="2">
        <v>188</v>
      </c>
      <c r="U606" s="2" t="s">
        <v>38</v>
      </c>
      <c r="V606" s="2" t="s">
        <v>38</v>
      </c>
      <c r="W606" s="2">
        <v>3</v>
      </c>
      <c r="X606" s="2">
        <v>4.4000000000000004</v>
      </c>
    </row>
    <row r="607" spans="1:24" ht="15" customHeight="1">
      <c r="A607" s="2" t="s">
        <v>1238</v>
      </c>
      <c r="B607" s="2" t="s">
        <v>1239</v>
      </c>
      <c r="C607" s="2">
        <v>42</v>
      </c>
      <c r="D607" s="2" t="s">
        <v>42</v>
      </c>
      <c r="E607" s="2" t="s">
        <v>611</v>
      </c>
      <c r="F607" s="2" t="s">
        <v>30</v>
      </c>
      <c r="G607" s="2" t="s">
        <v>45</v>
      </c>
      <c r="H607" s="2" t="s">
        <v>79</v>
      </c>
      <c r="I607" s="2" t="s">
        <v>1240</v>
      </c>
      <c r="J607" s="2" t="s">
        <v>128</v>
      </c>
      <c r="K607" s="2" t="s">
        <v>67</v>
      </c>
      <c r="L607" s="2" t="s">
        <v>68</v>
      </c>
      <c r="M607" s="2" t="s">
        <v>51</v>
      </c>
      <c r="N607" s="2" t="s">
        <v>36</v>
      </c>
      <c r="O607" s="2">
        <v>56076.73</v>
      </c>
      <c r="P607" s="2">
        <v>18.5</v>
      </c>
      <c r="Q607" s="2">
        <v>19360.87</v>
      </c>
      <c r="R607" s="2" t="s">
        <v>61</v>
      </c>
      <c r="S607" s="2">
        <v>551</v>
      </c>
      <c r="T607" s="2">
        <v>168</v>
      </c>
      <c r="U607" s="2" t="s">
        <v>38</v>
      </c>
      <c r="V607" s="2" t="s">
        <v>122</v>
      </c>
      <c r="W607" s="2">
        <v>1</v>
      </c>
      <c r="X607" s="2">
        <v>0.6</v>
      </c>
    </row>
    <row r="608" spans="1:24" ht="15" customHeight="1">
      <c r="A608" s="2" t="s">
        <v>511</v>
      </c>
      <c r="B608" s="2" t="s">
        <v>512</v>
      </c>
      <c r="C608" s="2">
        <v>12</v>
      </c>
      <c r="D608" s="2" t="s">
        <v>86</v>
      </c>
      <c r="E608" s="2" t="s">
        <v>513</v>
      </c>
      <c r="F608" s="2" t="s">
        <v>95</v>
      </c>
      <c r="G608" s="2" t="s">
        <v>78</v>
      </c>
      <c r="H608" s="2" t="s">
        <v>46</v>
      </c>
      <c r="I608" s="2" t="s">
        <v>514</v>
      </c>
      <c r="J608" s="2" t="s">
        <v>81</v>
      </c>
      <c r="K608" s="2" t="s">
        <v>49</v>
      </c>
      <c r="L608" s="2" t="s">
        <v>50</v>
      </c>
      <c r="M608" s="2" t="s">
        <v>51</v>
      </c>
      <c r="N608" s="2" t="s">
        <v>36</v>
      </c>
      <c r="O608" s="2">
        <v>132839.81</v>
      </c>
      <c r="P608" s="2">
        <v>10.9</v>
      </c>
      <c r="Q608" s="2">
        <v>54166.63</v>
      </c>
      <c r="R608" s="2" t="s">
        <v>82</v>
      </c>
      <c r="S608" s="2">
        <v>814</v>
      </c>
      <c r="T608" s="2">
        <v>132</v>
      </c>
      <c r="U608" s="2" t="s">
        <v>108</v>
      </c>
      <c r="V608" s="2" t="s">
        <v>39</v>
      </c>
      <c r="W608" s="2">
        <v>2</v>
      </c>
      <c r="X608" s="2">
        <v>8.8000000000000007</v>
      </c>
    </row>
    <row r="609" spans="1:24" ht="15" customHeight="1">
      <c r="A609" s="2" t="s">
        <v>269</v>
      </c>
      <c r="B609" s="2" t="s">
        <v>270</v>
      </c>
      <c r="C609" s="2">
        <v>28</v>
      </c>
      <c r="D609" s="2" t="s">
        <v>28</v>
      </c>
      <c r="E609" s="2" t="s">
        <v>244</v>
      </c>
      <c r="F609" s="2" t="s">
        <v>57</v>
      </c>
      <c r="G609" s="2" t="s">
        <v>190</v>
      </c>
      <c r="H609" s="2" t="s">
        <v>104</v>
      </c>
      <c r="I609" s="2" t="s">
        <v>271</v>
      </c>
      <c r="J609" s="2" t="s">
        <v>34</v>
      </c>
      <c r="K609" s="2" t="s">
        <v>67</v>
      </c>
      <c r="L609" s="2" t="s">
        <v>68</v>
      </c>
      <c r="M609" s="2" t="s">
        <v>51</v>
      </c>
      <c r="N609" s="2" t="s">
        <v>70</v>
      </c>
      <c r="O609" s="2">
        <v>114394.64</v>
      </c>
      <c r="P609" s="2">
        <v>38.700000000000003</v>
      </c>
      <c r="Q609" s="2">
        <v>55449.26</v>
      </c>
      <c r="R609" s="2"/>
      <c r="S609" s="2">
        <v>630</v>
      </c>
      <c r="T609" s="2">
        <v>160</v>
      </c>
      <c r="U609" s="2" t="s">
        <v>39</v>
      </c>
      <c r="V609" s="2" t="s">
        <v>72</v>
      </c>
      <c r="W609" s="2">
        <v>4</v>
      </c>
      <c r="X609" s="2">
        <v>4.3</v>
      </c>
    </row>
    <row r="610" spans="1:24" ht="15" customHeight="1">
      <c r="A610" s="2" t="s">
        <v>1739</v>
      </c>
      <c r="B610" s="2" t="s">
        <v>1740</v>
      </c>
      <c r="C610" s="2">
        <v>10</v>
      </c>
      <c r="D610" s="2" t="s">
        <v>55</v>
      </c>
      <c r="E610" s="2" t="s">
        <v>1741</v>
      </c>
      <c r="F610" s="2" t="s">
        <v>103</v>
      </c>
      <c r="G610" s="2" t="s">
        <v>162</v>
      </c>
      <c r="H610" s="2" t="s">
        <v>152</v>
      </c>
      <c r="I610" s="2" t="s">
        <v>80</v>
      </c>
      <c r="J610" s="2" t="s">
        <v>128</v>
      </c>
      <c r="K610" s="2" t="s">
        <v>49</v>
      </c>
      <c r="L610" s="2" t="s">
        <v>50</v>
      </c>
      <c r="M610" s="2" t="s">
        <v>35</v>
      </c>
      <c r="N610" s="2" t="s">
        <v>60</v>
      </c>
      <c r="O610" s="2">
        <v>16891.29</v>
      </c>
      <c r="P610" s="2">
        <v>53.6</v>
      </c>
      <c r="Q610" s="2">
        <v>34140.910000000003</v>
      </c>
      <c r="R610" s="2" t="s">
        <v>71</v>
      </c>
      <c r="S610" s="2">
        <v>781</v>
      </c>
      <c r="T610" s="2">
        <v>181</v>
      </c>
      <c r="U610" s="2" t="s">
        <v>83</v>
      </c>
      <c r="V610" s="2" t="s">
        <v>98</v>
      </c>
      <c r="W610" s="2">
        <v>1</v>
      </c>
      <c r="X610" s="2">
        <v>6.3</v>
      </c>
    </row>
    <row r="611" spans="1:24" ht="15" customHeight="1">
      <c r="A611" s="2" t="s">
        <v>1187</v>
      </c>
      <c r="B611" s="2" t="s">
        <v>1188</v>
      </c>
      <c r="C611" s="2">
        <v>17</v>
      </c>
      <c r="D611" s="2" t="s">
        <v>93</v>
      </c>
      <c r="E611" s="2" t="s">
        <v>1189</v>
      </c>
      <c r="F611" s="2" t="s">
        <v>95</v>
      </c>
      <c r="G611" s="2" t="s">
        <v>45</v>
      </c>
      <c r="H611" s="2" t="s">
        <v>46</v>
      </c>
      <c r="I611" s="2" t="s">
        <v>1190</v>
      </c>
      <c r="J611" s="2" t="s">
        <v>48</v>
      </c>
      <c r="K611" s="2" t="s">
        <v>147</v>
      </c>
      <c r="L611" s="2" t="s">
        <v>115</v>
      </c>
      <c r="M611" s="2" t="s">
        <v>35</v>
      </c>
      <c r="N611" s="2" t="s">
        <v>70</v>
      </c>
      <c r="O611" s="2">
        <v>146102.74</v>
      </c>
      <c r="P611" s="2">
        <v>78.3</v>
      </c>
      <c r="Q611" s="2">
        <v>7508</v>
      </c>
      <c r="R611" s="2" t="s">
        <v>97</v>
      </c>
      <c r="S611" s="2">
        <v>357</v>
      </c>
      <c r="T611" s="2">
        <v>47</v>
      </c>
      <c r="U611" s="2" t="s">
        <v>98</v>
      </c>
      <c r="V611" s="2" t="s">
        <v>38</v>
      </c>
      <c r="W611" s="2">
        <v>4</v>
      </c>
      <c r="X611" s="2">
        <v>7.5</v>
      </c>
    </row>
    <row r="612" spans="1:24" ht="15" customHeight="1">
      <c r="A612" s="2" t="s">
        <v>211</v>
      </c>
      <c r="B612" s="2" t="s">
        <v>212</v>
      </c>
      <c r="C612" s="2">
        <v>37</v>
      </c>
      <c r="D612" s="2" t="s">
        <v>118</v>
      </c>
      <c r="E612" s="2" t="s">
        <v>213</v>
      </c>
      <c r="F612" s="2" t="s">
        <v>88</v>
      </c>
      <c r="G612" s="2" t="s">
        <v>96</v>
      </c>
      <c r="H612" s="2" t="s">
        <v>46</v>
      </c>
      <c r="I612" s="2" t="s">
        <v>214</v>
      </c>
      <c r="J612" s="2" t="s">
        <v>34</v>
      </c>
      <c r="K612" s="2" t="s">
        <v>67</v>
      </c>
      <c r="L612" s="2" t="s">
        <v>68</v>
      </c>
      <c r="M612" s="2" t="s">
        <v>51</v>
      </c>
      <c r="N612" s="2" t="s">
        <v>70</v>
      </c>
      <c r="O612" s="2">
        <v>38866.550000000003</v>
      </c>
      <c r="P612" s="2">
        <v>8.3000000000000007</v>
      </c>
      <c r="Q612" s="2">
        <v>44682.31</v>
      </c>
      <c r="R612" s="2" t="s">
        <v>107</v>
      </c>
      <c r="S612" s="2">
        <v>695</v>
      </c>
      <c r="T612" s="2">
        <v>166</v>
      </c>
      <c r="U612" s="2" t="s">
        <v>98</v>
      </c>
      <c r="V612" s="2" t="s">
        <v>83</v>
      </c>
      <c r="W612" s="2">
        <v>5</v>
      </c>
      <c r="X612" s="2">
        <v>8.6999999999999993</v>
      </c>
    </row>
    <row r="613" spans="1:24" ht="15" customHeight="1">
      <c r="A613" s="2" t="s">
        <v>493</v>
      </c>
      <c r="B613" s="2" t="s">
        <v>494</v>
      </c>
      <c r="C613" s="2">
        <v>18</v>
      </c>
      <c r="D613" s="2" t="s">
        <v>86</v>
      </c>
      <c r="E613" s="2" t="s">
        <v>495</v>
      </c>
      <c r="F613" s="2" t="s">
        <v>88</v>
      </c>
      <c r="G613" s="2" t="s">
        <v>162</v>
      </c>
      <c r="H613" s="2" t="s">
        <v>245</v>
      </c>
      <c r="I613" s="2" t="s">
        <v>496</v>
      </c>
      <c r="J613" s="2" t="s">
        <v>90</v>
      </c>
      <c r="K613" s="2" t="s">
        <v>147</v>
      </c>
      <c r="L613" s="2" t="s">
        <v>115</v>
      </c>
      <c r="M613" s="2" t="s">
        <v>51</v>
      </c>
      <c r="N613" s="2" t="s">
        <v>60</v>
      </c>
      <c r="O613" s="2">
        <v>59170.66</v>
      </c>
      <c r="P613" s="2">
        <v>34.700000000000003</v>
      </c>
      <c r="Q613" s="2">
        <v>6061.93</v>
      </c>
      <c r="R613" s="2" t="s">
        <v>158</v>
      </c>
      <c r="S613" s="2">
        <v>439</v>
      </c>
      <c r="T613" s="2">
        <v>187</v>
      </c>
      <c r="U613" s="2" t="s">
        <v>73</v>
      </c>
      <c r="V613" s="2" t="s">
        <v>39</v>
      </c>
      <c r="W613" s="2">
        <v>5</v>
      </c>
      <c r="X613" s="2">
        <v>6.4</v>
      </c>
    </row>
    <row r="614" spans="1:24" ht="15" customHeight="1">
      <c r="A614" s="2" t="s">
        <v>941</v>
      </c>
      <c r="B614" s="2" t="s">
        <v>942</v>
      </c>
      <c r="C614" s="2">
        <v>18</v>
      </c>
      <c r="D614" s="2" t="s">
        <v>101</v>
      </c>
      <c r="E614" s="2" t="s">
        <v>943</v>
      </c>
      <c r="F614" s="2" t="s">
        <v>57</v>
      </c>
      <c r="G614" s="2" t="s">
        <v>78</v>
      </c>
      <c r="H614" s="2" t="s">
        <v>58</v>
      </c>
      <c r="I614" s="2" t="s">
        <v>944</v>
      </c>
      <c r="J614" s="2" t="s">
        <v>113</v>
      </c>
      <c r="K614" s="2" t="s">
        <v>147</v>
      </c>
      <c r="L614" s="2" t="s">
        <v>115</v>
      </c>
      <c r="M614" s="2" t="s">
        <v>35</v>
      </c>
      <c r="N614" s="2" t="s">
        <v>60</v>
      </c>
      <c r="O614" s="2">
        <v>29085.3</v>
      </c>
      <c r="P614" s="2">
        <v>57.7</v>
      </c>
      <c r="Q614" s="2">
        <v>57832.01</v>
      </c>
      <c r="R614" s="2" t="s">
        <v>138</v>
      </c>
      <c r="S614" s="2">
        <v>760</v>
      </c>
      <c r="T614" s="2">
        <v>51</v>
      </c>
      <c r="U614" s="2" t="s">
        <v>73</v>
      </c>
      <c r="V614" s="2" t="s">
        <v>122</v>
      </c>
      <c r="W614" s="2">
        <v>1</v>
      </c>
      <c r="X614" s="2">
        <v>1.4</v>
      </c>
    </row>
    <row r="615" spans="1:24" ht="15" customHeight="1">
      <c r="A615" s="2" t="s">
        <v>486</v>
      </c>
      <c r="B615" s="2" t="s">
        <v>487</v>
      </c>
      <c r="C615" s="2">
        <v>39</v>
      </c>
      <c r="D615" s="2" t="s">
        <v>55</v>
      </c>
      <c r="E615" s="2" t="s">
        <v>488</v>
      </c>
      <c r="F615" s="2" t="s">
        <v>95</v>
      </c>
      <c r="G615" s="2" t="s">
        <v>96</v>
      </c>
      <c r="H615" s="2" t="s">
        <v>152</v>
      </c>
      <c r="I615" s="2" t="s">
        <v>489</v>
      </c>
      <c r="J615" s="2" t="s">
        <v>113</v>
      </c>
      <c r="K615" s="2" t="s">
        <v>67</v>
      </c>
      <c r="L615" s="2" t="s">
        <v>68</v>
      </c>
      <c r="M615" s="2" t="s">
        <v>0</v>
      </c>
      <c r="N615" s="2" t="s">
        <v>36</v>
      </c>
      <c r="O615" s="2">
        <v>36757.93</v>
      </c>
      <c r="P615" s="2">
        <v>63.4</v>
      </c>
      <c r="Q615" s="2">
        <v>3515.47</v>
      </c>
      <c r="R615" s="2" t="s">
        <v>129</v>
      </c>
      <c r="S615" s="2">
        <v>666</v>
      </c>
      <c r="T615" s="2">
        <v>59</v>
      </c>
      <c r="U615" s="2" t="s">
        <v>108</v>
      </c>
      <c r="V615" s="2" t="s">
        <v>83</v>
      </c>
      <c r="W615" s="2">
        <v>3</v>
      </c>
      <c r="X615" s="2">
        <v>5</v>
      </c>
    </row>
    <row r="616" spans="1:24" ht="15" customHeight="1">
      <c r="A616" s="2" t="s">
        <v>424</v>
      </c>
      <c r="B616" s="2" t="s">
        <v>425</v>
      </c>
      <c r="C616" s="2">
        <v>22</v>
      </c>
      <c r="D616" s="2" t="s">
        <v>171</v>
      </c>
      <c r="E616" s="2" t="s">
        <v>426</v>
      </c>
      <c r="F616" s="2" t="s">
        <v>88</v>
      </c>
      <c r="G616" s="2" t="s">
        <v>179</v>
      </c>
      <c r="H616" s="2" t="s">
        <v>32</v>
      </c>
      <c r="I616" s="2" t="s">
        <v>427</v>
      </c>
      <c r="J616" s="2" t="s">
        <v>128</v>
      </c>
      <c r="K616" s="2" t="s">
        <v>67</v>
      </c>
      <c r="L616" s="2" t="s">
        <v>68</v>
      </c>
      <c r="M616" s="2" t="s">
        <v>51</v>
      </c>
      <c r="N616" s="2" t="s">
        <v>36</v>
      </c>
      <c r="O616" s="2">
        <v>107368.31</v>
      </c>
      <c r="P616" s="2">
        <v>51.1</v>
      </c>
      <c r="Q616" s="2">
        <v>5085.12</v>
      </c>
      <c r="R616" s="2" t="s">
        <v>61</v>
      </c>
      <c r="S616" s="2">
        <v>420</v>
      </c>
      <c r="T616" s="2">
        <v>29</v>
      </c>
      <c r="U616" s="2" t="s">
        <v>122</v>
      </c>
      <c r="V616" s="2" t="s">
        <v>98</v>
      </c>
      <c r="W616" s="2">
        <v>4</v>
      </c>
      <c r="X616" s="2">
        <v>5.6</v>
      </c>
    </row>
    <row r="617" spans="1:24" ht="1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ht="1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ht="1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ht="1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0B29-80B4-4233-AC7E-2E1627191CF5}">
  <sheetPr>
    <tabColor theme="2"/>
  </sheetPr>
  <dimension ref="A1:C39"/>
  <sheetViews>
    <sheetView showGridLines="0" zoomScale="85" zoomScaleNormal="85" workbookViewId="0">
      <selection activeCell="E10" sqref="E10"/>
    </sheetView>
  </sheetViews>
  <sheetFormatPr defaultRowHeight="15"/>
  <cols>
    <col min="1" max="1" width="28.42578125" bestFit="1" customWidth="1"/>
    <col min="2" max="2" width="45.7109375" customWidth="1"/>
    <col min="3" max="3" width="55.7109375" customWidth="1"/>
  </cols>
  <sheetData>
    <row r="1" spans="1:3" ht="18.75">
      <c r="A1" s="30" t="s">
        <v>2183</v>
      </c>
      <c r="B1" s="31"/>
      <c r="C1" s="31"/>
    </row>
    <row r="2" spans="1:3">
      <c r="A2" s="18" t="s">
        <v>2105</v>
      </c>
      <c r="B2" s="13" t="s">
        <v>2106</v>
      </c>
      <c r="C2" s="13" t="s">
        <v>2035</v>
      </c>
    </row>
    <row r="3" spans="1:3">
      <c r="A3" s="20" t="s">
        <v>2129</v>
      </c>
      <c r="B3" t="s">
        <v>2122</v>
      </c>
      <c r="C3" s="15" t="s">
        <v>2130</v>
      </c>
    </row>
    <row r="4" spans="1:3">
      <c r="A4" s="15" t="s">
        <v>2088</v>
      </c>
      <c r="B4" s="16" t="s">
        <v>2108</v>
      </c>
      <c r="C4" s="15" t="s">
        <v>2089</v>
      </c>
    </row>
    <row r="5" spans="1:3">
      <c r="A5" s="15" t="s">
        <v>2090</v>
      </c>
      <c r="B5" s="16" t="s">
        <v>2109</v>
      </c>
      <c r="C5" s="15" t="s">
        <v>2103</v>
      </c>
    </row>
    <row r="6" spans="1:3">
      <c r="A6" s="15" t="s">
        <v>2091</v>
      </c>
      <c r="B6" s="16" t="s">
        <v>2110</v>
      </c>
      <c r="C6" s="15" t="s">
        <v>2111</v>
      </c>
    </row>
    <row r="7" spans="1:3">
      <c r="A7" s="15" t="s">
        <v>2092</v>
      </c>
      <c r="B7" s="16" t="s">
        <v>2112</v>
      </c>
      <c r="C7" s="15" t="s">
        <v>2113</v>
      </c>
    </row>
    <row r="8" spans="1:3">
      <c r="A8" s="15" t="s">
        <v>2104</v>
      </c>
      <c r="B8" s="16" t="s">
        <v>2114</v>
      </c>
      <c r="C8" s="15" t="s">
        <v>2115</v>
      </c>
    </row>
    <row r="9" spans="1:3">
      <c r="A9" s="15" t="s">
        <v>2093</v>
      </c>
      <c r="B9" s="16" t="s">
        <v>2116</v>
      </c>
      <c r="C9" s="15" t="s">
        <v>2094</v>
      </c>
    </row>
    <row r="10" spans="1:3" ht="30">
      <c r="A10" s="15" t="s">
        <v>2095</v>
      </c>
      <c r="B10" s="16" t="s">
        <v>2117</v>
      </c>
      <c r="C10" s="15" t="s">
        <v>2118</v>
      </c>
    </row>
    <row r="11" spans="1:3" ht="30">
      <c r="A11" s="15" t="s">
        <v>2096</v>
      </c>
      <c r="B11" s="16" t="s">
        <v>2119</v>
      </c>
      <c r="C11" s="15" t="s">
        <v>2107</v>
      </c>
    </row>
    <row r="12" spans="1:3">
      <c r="A12" s="15" t="s">
        <v>2097</v>
      </c>
      <c r="B12" s="16" t="s">
        <v>2120</v>
      </c>
      <c r="C12" s="15" t="s">
        <v>2121</v>
      </c>
    </row>
    <row r="13" spans="1:3" ht="30">
      <c r="A13" s="15" t="s">
        <v>2098</v>
      </c>
      <c r="B13" s="16" t="s">
        <v>2122</v>
      </c>
      <c r="C13" s="15" t="s">
        <v>2099</v>
      </c>
    </row>
    <row r="14" spans="1:3" ht="30">
      <c r="A14" s="15" t="s">
        <v>2100</v>
      </c>
      <c r="B14" s="16" t="s">
        <v>2123</v>
      </c>
      <c r="C14" s="15" t="s">
        <v>2124</v>
      </c>
    </row>
    <row r="15" spans="1:3">
      <c r="A15" s="15" t="s">
        <v>2101</v>
      </c>
      <c r="B15" s="19" t="s">
        <v>2125</v>
      </c>
      <c r="C15" s="15" t="s">
        <v>2102</v>
      </c>
    </row>
    <row r="16" spans="1:3">
      <c r="A16" t="s">
        <v>2126</v>
      </c>
      <c r="B16" t="s">
        <v>2128</v>
      </c>
      <c r="C16" t="s">
        <v>2127</v>
      </c>
    </row>
    <row r="18" spans="1:3" ht="18.75">
      <c r="A18" s="21" t="s">
        <v>2131</v>
      </c>
    </row>
    <row r="19" spans="1:3">
      <c r="A19" s="14" t="s">
        <v>2132</v>
      </c>
      <c r="B19" s="14" t="s">
        <v>2133</v>
      </c>
      <c r="C19" s="14" t="s">
        <v>2035</v>
      </c>
    </row>
    <row r="20" spans="1:3">
      <c r="A20" s="17" t="s">
        <v>2036</v>
      </c>
      <c r="B20" s="16" t="s">
        <v>2140</v>
      </c>
      <c r="C20" s="15" t="s">
        <v>2134</v>
      </c>
    </row>
    <row r="21" spans="1:3">
      <c r="A21" s="17" t="s">
        <v>2135</v>
      </c>
      <c r="B21" s="16" t="s">
        <v>2141</v>
      </c>
      <c r="C21" s="15" t="s">
        <v>2136</v>
      </c>
    </row>
    <row r="22" spans="1:3">
      <c r="A22" s="17" t="s">
        <v>2064</v>
      </c>
      <c r="B22" s="16" t="s">
        <v>2142</v>
      </c>
      <c r="C22" s="15" t="s">
        <v>2137</v>
      </c>
    </row>
    <row r="23" spans="1:3">
      <c r="A23" s="17" t="s">
        <v>2138</v>
      </c>
      <c r="B23" s="16" t="s">
        <v>2143</v>
      </c>
      <c r="C23" s="15" t="s">
        <v>2139</v>
      </c>
    </row>
    <row r="26" spans="1:3" ht="18">
      <c r="A26" s="32" t="s">
        <v>2177</v>
      </c>
      <c r="B26" s="33"/>
    </row>
    <row r="27" spans="1:3">
      <c r="A27" s="14" t="s">
        <v>2144</v>
      </c>
      <c r="B27" s="14" t="s">
        <v>2145</v>
      </c>
      <c r="C27" s="14" t="s">
        <v>2035</v>
      </c>
    </row>
    <row r="28" spans="1:3">
      <c r="A28" s="17" t="s">
        <v>2146</v>
      </c>
      <c r="B28" s="16" t="s">
        <v>2147</v>
      </c>
      <c r="C28" s="15" t="s">
        <v>2148</v>
      </c>
    </row>
    <row r="29" spans="1:3">
      <c r="A29" s="17" t="s">
        <v>2149</v>
      </c>
      <c r="B29" s="16" t="s">
        <v>2150</v>
      </c>
      <c r="C29" s="15" t="s">
        <v>2151</v>
      </c>
    </row>
    <row r="30" spans="1:3">
      <c r="A30" s="17" t="s">
        <v>2152</v>
      </c>
      <c r="B30" s="16" t="s">
        <v>2153</v>
      </c>
      <c r="C30" s="15" t="s">
        <v>2154</v>
      </c>
    </row>
    <row r="31" spans="1:3" ht="25.5">
      <c r="A31" s="17" t="s">
        <v>2155</v>
      </c>
      <c r="B31" s="16" t="s">
        <v>2156</v>
      </c>
      <c r="C31" s="15" t="s">
        <v>2157</v>
      </c>
    </row>
    <row r="32" spans="1:3" ht="25.5">
      <c r="A32" s="17" t="s">
        <v>2158</v>
      </c>
      <c r="B32" s="16" t="s">
        <v>2159</v>
      </c>
      <c r="C32" s="15" t="s">
        <v>2160</v>
      </c>
    </row>
    <row r="33" spans="1:3" ht="30">
      <c r="A33" s="17" t="s">
        <v>2161</v>
      </c>
      <c r="B33" s="16" t="s">
        <v>2162</v>
      </c>
      <c r="C33" s="15" t="s">
        <v>2163</v>
      </c>
    </row>
    <row r="34" spans="1:3" ht="25.5">
      <c r="A34" s="17" t="s">
        <v>2164</v>
      </c>
      <c r="B34" s="16" t="s">
        <v>2165</v>
      </c>
      <c r="C34" s="15" t="s">
        <v>2166</v>
      </c>
    </row>
    <row r="35" spans="1:3" ht="25.5">
      <c r="A35" s="17" t="s">
        <v>2167</v>
      </c>
      <c r="B35" s="16" t="s">
        <v>2168</v>
      </c>
      <c r="C35" s="15" t="s">
        <v>2169</v>
      </c>
    </row>
    <row r="36" spans="1:3">
      <c r="A36" s="17" t="s">
        <v>2170</v>
      </c>
      <c r="B36" s="16" t="s">
        <v>2171</v>
      </c>
      <c r="C36" s="15" t="s">
        <v>2172</v>
      </c>
    </row>
    <row r="37" spans="1:3">
      <c r="A37" s="17" t="s">
        <v>2173</v>
      </c>
      <c r="B37" s="16" t="s">
        <v>2174</v>
      </c>
      <c r="C37" s="15" t="s">
        <v>2175</v>
      </c>
    </row>
    <row r="38" spans="1:3" ht="25.5">
      <c r="A38" s="17" t="s">
        <v>2176</v>
      </c>
      <c r="B38" s="16" t="s">
        <v>2178</v>
      </c>
      <c r="C38" s="15" t="s">
        <v>2179</v>
      </c>
    </row>
    <row r="39" spans="1:3" ht="30">
      <c r="A39" s="17" t="s">
        <v>2180</v>
      </c>
      <c r="B39" s="16" t="s">
        <v>2181</v>
      </c>
      <c r="C39" s="15" t="s">
        <v>2182</v>
      </c>
    </row>
  </sheetData>
  <mergeCells count="2">
    <mergeCell ref="A1:C1"/>
    <mergeCell ref="A26:B26"/>
  </mergeCells>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pageSetUpPr fitToPage="1"/>
  </sheetPr>
  <dimension ref="A2:AC625"/>
  <sheetViews>
    <sheetView showGridLines="0" topLeftCell="A15" zoomScale="85" zoomScaleNormal="85" workbookViewId="0"/>
  </sheetViews>
  <sheetFormatPr defaultColWidth="8.7109375" defaultRowHeight="15"/>
  <cols>
    <col min="1" max="1" width="15.7109375" bestFit="1" customWidth="1"/>
    <col min="2" max="2" width="26.140625" bestFit="1" customWidth="1"/>
    <col min="3" max="3" width="15.28515625" bestFit="1" customWidth="1"/>
    <col min="4" max="4" width="14.5703125" bestFit="1" customWidth="1"/>
    <col min="5" max="5" width="18.42578125" bestFit="1" customWidth="1"/>
    <col min="6" max="6" width="24.7109375" bestFit="1" customWidth="1"/>
    <col min="7" max="7" width="16.42578125" bestFit="1" customWidth="1"/>
    <col min="8" max="8" width="23.28515625" bestFit="1" customWidth="1"/>
    <col min="9" max="9" width="26.5703125" bestFit="1" customWidth="1"/>
    <col min="10" max="10" width="20.5703125" bestFit="1" customWidth="1"/>
    <col min="11" max="11" width="28.85546875" bestFit="1" customWidth="1"/>
    <col min="12" max="12" width="20.28515625" bestFit="1" customWidth="1"/>
    <col min="13" max="13" width="22.7109375" bestFit="1" customWidth="1"/>
    <col min="14" max="14" width="27.5703125" bestFit="1" customWidth="1"/>
    <col min="15" max="15" width="25.7109375" bestFit="1" customWidth="1"/>
    <col min="16" max="16" width="19.85546875" bestFit="1" customWidth="1"/>
    <col min="17" max="17" width="18.85546875" bestFit="1" customWidth="1"/>
    <col min="18" max="18" width="30.140625" bestFit="1" customWidth="1"/>
    <col min="19" max="19" width="20.85546875" bestFit="1" customWidth="1"/>
    <col min="20" max="20" width="29.42578125" bestFit="1" customWidth="1"/>
    <col min="21" max="21" width="29.28515625" bestFit="1" customWidth="1"/>
    <col min="22" max="22" width="27.85546875" bestFit="1" customWidth="1"/>
    <col min="23" max="23" width="22.85546875" bestFit="1" customWidth="1"/>
    <col min="24" max="24" width="21.85546875" bestFit="1" customWidth="1"/>
    <col min="25" max="25" width="22.5703125" bestFit="1" customWidth="1"/>
    <col min="26" max="26" width="22" bestFit="1" customWidth="1"/>
    <col min="27" max="27" width="26.7109375" bestFit="1" customWidth="1"/>
    <col min="28" max="28" width="19.140625" bestFit="1" customWidth="1"/>
    <col min="29" max="29" width="22" bestFit="1" customWidth="1"/>
    <col min="30" max="38" width="11.140625" bestFit="1" customWidth="1"/>
    <col min="39" max="128" width="12.140625" bestFit="1" customWidth="1"/>
    <col min="129" max="1028" width="13.140625" bestFit="1" customWidth="1"/>
    <col min="1029" max="10028" width="14.140625" bestFit="1" customWidth="1"/>
    <col min="10029" max="16384" width="15.140625" bestFit="1" customWidth="1"/>
  </cols>
  <sheetData>
    <row r="2" spans="1:29" ht="15" customHeight="1">
      <c r="B2" s="34" t="s">
        <v>2002</v>
      </c>
      <c r="C2" s="34"/>
      <c r="D2" s="34"/>
      <c r="E2" s="34"/>
      <c r="F2" s="6"/>
      <c r="G2" s="6"/>
      <c r="H2" s="6"/>
    </row>
    <row r="3" spans="1:29" ht="15" customHeight="1">
      <c r="B3" s="6"/>
      <c r="C3" s="6"/>
      <c r="D3" s="6"/>
      <c r="E3" s="6"/>
      <c r="F3" s="6"/>
      <c r="G3" s="6"/>
      <c r="H3" s="6"/>
    </row>
    <row r="4" spans="1:29" ht="15" customHeight="1">
      <c r="B4" s="7" t="s">
        <v>2003</v>
      </c>
      <c r="C4" s="8">
        <v>24</v>
      </c>
      <c r="D4" s="35" t="s">
        <v>2004</v>
      </c>
      <c r="E4" s="36"/>
      <c r="F4" s="36"/>
      <c r="G4" s="36"/>
      <c r="H4" s="36"/>
    </row>
    <row r="5" spans="1:29" ht="15" customHeight="1">
      <c r="B5" s="7" t="s">
        <v>2005</v>
      </c>
      <c r="C5" s="8">
        <v>3</v>
      </c>
      <c r="D5" s="9" t="s">
        <v>2006</v>
      </c>
      <c r="E5" s="10"/>
      <c r="F5" s="10"/>
      <c r="G5" s="10"/>
      <c r="H5" s="10"/>
      <c r="U5" t="b">
        <f>ISNUMBER(U11)</f>
        <v>1</v>
      </c>
    </row>
    <row r="6" spans="1:29" ht="15" customHeight="1">
      <c r="B6" s="7" t="s">
        <v>2007</v>
      </c>
      <c r="C6" s="8">
        <v>80</v>
      </c>
      <c r="D6" s="9" t="s">
        <v>2008</v>
      </c>
      <c r="E6" s="10"/>
      <c r="F6" s="10"/>
      <c r="G6" s="10"/>
      <c r="H6" s="10"/>
      <c r="T6" t="b">
        <f>ISNUMBER(H2)</f>
        <v>0</v>
      </c>
    </row>
    <row r="7" spans="1:29" ht="15" customHeight="1">
      <c r="B7" s="7" t="s">
        <v>2009</v>
      </c>
      <c r="C7" s="8">
        <v>71742.19</v>
      </c>
      <c r="D7" s="9" t="s">
        <v>2010</v>
      </c>
      <c r="E7" s="10"/>
      <c r="F7" s="10"/>
      <c r="G7" s="10"/>
      <c r="H7" s="10"/>
    </row>
    <row r="8" spans="1:29">
      <c r="B8" s="7" t="s">
        <v>2011</v>
      </c>
      <c r="C8" s="8">
        <v>596</v>
      </c>
      <c r="D8" s="9" t="s">
        <v>2012</v>
      </c>
      <c r="E8" s="10"/>
      <c r="F8" s="10"/>
      <c r="G8" s="10"/>
      <c r="H8" s="10"/>
    </row>
    <row r="10" spans="1:29" ht="27.75" customHeight="1">
      <c r="A10" s="22" t="s">
        <v>2</v>
      </c>
      <c r="B10" s="22" t="s">
        <v>3</v>
      </c>
      <c r="C10" s="22" t="s">
        <v>2013</v>
      </c>
      <c r="D10" s="22" t="s">
        <v>2014</v>
      </c>
      <c r="E10" s="22" t="s">
        <v>2015</v>
      </c>
      <c r="F10" s="22" t="s">
        <v>2016</v>
      </c>
      <c r="G10" s="22" t="s">
        <v>2017</v>
      </c>
      <c r="H10" s="22" t="s">
        <v>2018</v>
      </c>
      <c r="I10" s="22" t="s">
        <v>2019</v>
      </c>
      <c r="J10" s="22" t="s">
        <v>2020</v>
      </c>
      <c r="K10" s="22" t="s">
        <v>2021</v>
      </c>
      <c r="L10" s="22" t="s">
        <v>2022</v>
      </c>
      <c r="M10" s="22" t="s">
        <v>2023</v>
      </c>
      <c r="N10" s="22" t="s">
        <v>2024</v>
      </c>
      <c r="O10" s="22" t="s">
        <v>2025</v>
      </c>
      <c r="P10" s="22" t="s">
        <v>2026</v>
      </c>
      <c r="Q10" s="22" t="s">
        <v>2027</v>
      </c>
      <c r="R10" s="22" t="s">
        <v>17</v>
      </c>
      <c r="S10" s="22" t="s">
        <v>18</v>
      </c>
      <c r="T10" s="22" t="s">
        <v>2028</v>
      </c>
      <c r="U10" s="22" t="s">
        <v>2029</v>
      </c>
      <c r="V10" s="22" t="s">
        <v>2030</v>
      </c>
      <c r="W10" s="22" t="s">
        <v>21</v>
      </c>
      <c r="X10" s="22" t="s">
        <v>2031</v>
      </c>
      <c r="Y10" s="22" t="s">
        <v>2032</v>
      </c>
      <c r="Z10" s="22" t="s">
        <v>24</v>
      </c>
      <c r="AA10" s="22" t="s">
        <v>25</v>
      </c>
      <c r="AB10" s="22" t="s">
        <v>2033</v>
      </c>
      <c r="AC10" s="22" t="s">
        <v>2034</v>
      </c>
    </row>
    <row r="11" spans="1:29" ht="15" customHeight="1">
      <c r="A11" s="23" t="str">
        <f>Raw_Data!A2</f>
        <v>BYJ1001</v>
      </c>
      <c r="B11" s="23" t="str">
        <f>Raw_Data!B2</f>
        <v>Aryan Maharaj</v>
      </c>
      <c r="C11" s="24">
        <f>IF(OR(Raw_Data!C2="",Raw_Data!C2&lt;$C$5,Raw_Data!C2&gt;$C$6),$C$4,Raw_Data!C2)</f>
        <v>24</v>
      </c>
      <c r="D11" s="23" t="str">
        <f>IF(Raw_Data!C2="","Missing-Imputed",IF(OR(Raw_Data!C2&lt;$C$5,Raw_Data!C2&gt;$C$6),"Outlier-Imputed","Original"))</f>
        <v>Missing-Imputed</v>
      </c>
      <c r="E11" s="23" t="str">
        <f>IF(OR(UPPER(TRIM(Raw_Data!D2))="M",UPPER(TRIM(Raw_Data!D2))="MALE"),"Male","Female")</f>
        <v>Female</v>
      </c>
      <c r="F11" s="23" t="str">
        <f>PROPER(TRIM(Raw_Data!E2))</f>
        <v>Rajahmundry</v>
      </c>
      <c r="G11" s="23" t="str">
        <f>PROPER(TRIM(Raw_Data!F2))</f>
        <v>Karnataka</v>
      </c>
      <c r="H11" s="23" t="str">
        <f>PROPER(TRIM(Raw_Data!G2))</f>
        <v>Mathematics</v>
      </c>
      <c r="I11" s="23" t="str">
        <f>PROPER(TRIM(Raw_Data!H2))</f>
        <v>Lucknow Hub</v>
      </c>
      <c r="J11" s="24">
        <f>IF(LEN(TRIM(Raw_Data!I2))=4,VALUE(TRIM(Raw_Data!I2)),IF(ISNUMBER(IFERROR(VALUE(MID(TRIM(Raw_Data!I2),1,4)),"NA")),VALUE(MID(TRIM(Raw_Data!I2),1,4)),VALUE(RIGHT(TRIM(Raw_Data!I2),4))))</f>
        <v>2022</v>
      </c>
      <c r="K11" s="23" t="str">
        <f>PROPER(TRIM(Raw_Data!J2))</f>
        <v>Business</v>
      </c>
      <c r="L11" s="23" t="str">
        <f t="shared" ref="L11:L74" si="0">IF(C11&lt;10,"Under 10",IF(C11&lt;=13,"10-13",IF(C11&lt;=16,"14-16",IF(C11&lt;=19,"17-19","20+"))))</f>
        <v>20+</v>
      </c>
      <c r="M11" s="23" t="str">
        <f t="shared" ref="M11:M74" si="1">IF(OR(L11="Under 10",L11="10-13"),"Kids",IF(OR(L11="14-16",L11="17-19"),"Teens","Adult Learners"))</f>
        <v>Adult Learners</v>
      </c>
      <c r="N11" s="23" t="str">
        <f>IF(ISNUMBER(SEARCH("NON",UPPER(Raw_Data!M2))),"Non-Premium Learner","Premium Learner")</f>
        <v>Premium Learner</v>
      </c>
      <c r="O11" s="23" t="str">
        <f>PROPER(TRIM(Raw_Data!N2))</f>
        <v>Both App &amp; Web</v>
      </c>
      <c r="P11" s="24">
        <f>IF(Raw_Data!O2="",$C$7,Raw_Data!O2)</f>
        <v>33831.46</v>
      </c>
      <c r="Q11" s="23" t="str">
        <f>IF(Raw_Data!O2="","Missing-Imputed","Original")</f>
        <v>Original</v>
      </c>
      <c r="R11" s="24">
        <f>Raw_Data!P2</f>
        <v>45.9</v>
      </c>
      <c r="S11" s="24">
        <f>Raw_Data!Q2</f>
        <v>13226.44</v>
      </c>
      <c r="T11" s="23" t="str">
        <f>IF(Raw_Data!R2="","Unknown",IF(ISNUMBER(SEARCH("ACT",UPPER(Raw_Data!R2))),"Active",IF(ISNUMBER(SEARCH("CLOS",UPPER(Raw_Data!R2))),"Closed","None")))</f>
        <v>None</v>
      </c>
      <c r="U11" s="24">
        <f>IF(Raw_Data!S2="",$C$8,VALUE(Raw_Data!S2))</f>
        <v>306</v>
      </c>
      <c r="V11" s="23" t="str">
        <f>IF(Raw_Data!S2="","Missing-Imputed","Original")</f>
        <v>Original</v>
      </c>
      <c r="W11" s="24">
        <f>Raw_Data!T2</f>
        <v>40</v>
      </c>
      <c r="X11" s="23" t="str">
        <f>IF(ISNUMBER(SEARCH("Y",UPPER(TRIM(Raw_Data!U2)))),"Yes","No")</f>
        <v>No</v>
      </c>
      <c r="Y11" s="23" t="str">
        <f>IF(ISNUMBER(SEARCH("Y",UPPER(TRIM(Raw_Data!V2)))),"Yes","No")</f>
        <v>No</v>
      </c>
      <c r="Z11" s="24">
        <f>Raw_Data!W2</f>
        <v>2</v>
      </c>
      <c r="AA11" s="24">
        <f>Raw_Data!X2</f>
        <v>8.6</v>
      </c>
      <c r="AB11" s="23" t="str">
        <f>IF(COUNTIFS(Raw_Data!$A$2:$A$616,Raw_Data!A2)&gt;1,"Duplicate","Unique")</f>
        <v>Unique</v>
      </c>
      <c r="AC11" s="23" t="str">
        <f t="shared" ref="AC11:AC74" si="2">IF(AB11="Duplicate","Review-Duplicate",IF(OR(D11&lt;&gt;"Original",Q11&lt;&gt;"Original",V11&lt;&gt;"Original"),"Imputed","Clean"))</f>
        <v>Imputed</v>
      </c>
    </row>
    <row r="12" spans="1:29" ht="15" customHeight="1">
      <c r="A12" s="25" t="str">
        <f>Raw_Data!A3</f>
        <v>BYJ1002</v>
      </c>
      <c r="B12" s="25" t="str">
        <f>Raw_Data!B3</f>
        <v>Harsh Chahal</v>
      </c>
      <c r="C12" s="26">
        <f>IF(OR(Raw_Data!C3="",Raw_Data!C3&lt;$C$5,Raw_Data!C3&gt;$C$6),$C$4,Raw_Data!C3)</f>
        <v>12</v>
      </c>
      <c r="D12" s="25" t="str">
        <f>IF(Raw_Data!C3="","Missing-Imputed",IF(OR(Raw_Data!C3&lt;$C$5,Raw_Data!C3&gt;$C$6),"Outlier-Imputed","Original"))</f>
        <v>Original</v>
      </c>
      <c r="E12" s="25" t="str">
        <f>IF(OR(UPPER(TRIM(Raw_Data!D3))="M",UPPER(TRIM(Raw_Data!D3))="MALE"),"Male","Female")</f>
        <v>Female</v>
      </c>
      <c r="F12" s="25" t="str">
        <f>PROPER(TRIM(Raw_Data!E3))</f>
        <v>Patna</v>
      </c>
      <c r="G12" s="25" t="str">
        <f>PROPER(TRIM(Raw_Data!F3))</f>
        <v>Tamil Nadu</v>
      </c>
      <c r="H12" s="25" t="str">
        <f>PROPER(TRIM(Raw_Data!G3))</f>
        <v>Spoken English</v>
      </c>
      <c r="I12" s="25" t="str">
        <f>PROPER(TRIM(Raw_Data!H3))</f>
        <v>Jaipur Center</v>
      </c>
      <c r="J12" s="26">
        <f>IF(LEN(TRIM(Raw_Data!I3))=4,VALUE(TRIM(Raw_Data!I3)),IF(ISNUMBER(IFERROR(VALUE(MID(TRIM(Raw_Data!I3),1,4)),"NA")),VALUE(MID(TRIM(Raw_Data!I3),1,4)),VALUE(RIGHT(TRIM(Raw_Data!I3),4))))</f>
        <v>2017</v>
      </c>
      <c r="K12" s="25" t="str">
        <f>PROPER(TRIM(Raw_Data!J3))</f>
        <v>Retired</v>
      </c>
      <c r="L12" s="25" t="str">
        <f t="shared" si="0"/>
        <v>10-13</v>
      </c>
      <c r="M12" s="25" t="str">
        <f t="shared" si="1"/>
        <v>Kids</v>
      </c>
      <c r="N12" s="25" t="str">
        <f>IF(ISNUMBER(SEARCH("NON",UPPER(Raw_Data!M3))),"Non-Premium Learner","Premium Learner")</f>
        <v>Non-Premium Learner</v>
      </c>
      <c r="O12" s="25" t="str">
        <f>PROPER(TRIM(Raw_Data!N3))</f>
        <v>Both App &amp; Web</v>
      </c>
      <c r="P12" s="26">
        <f>IF(Raw_Data!O3="",$C$7,Raw_Data!O3)</f>
        <v>32881.85</v>
      </c>
      <c r="Q12" s="25" t="str">
        <f>IF(Raw_Data!O3="","Missing-Imputed","Original")</f>
        <v>Original</v>
      </c>
      <c r="R12" s="26">
        <f>Raw_Data!P3</f>
        <v>54.6</v>
      </c>
      <c r="S12" s="26">
        <f>Raw_Data!Q3</f>
        <v>46384.1</v>
      </c>
      <c r="T12" s="25" t="str">
        <f>IF(Raw_Data!R3="","Unknown",IF(ISNUMBER(SEARCH("ACT",UPPER(Raw_Data!R3))),"Active",IF(ISNUMBER(SEARCH("CLOS",UPPER(Raw_Data!R3))),"Closed","None")))</f>
        <v>Active</v>
      </c>
      <c r="U12" s="26">
        <f>IF(Raw_Data!S3="",$C$8,VALUE(Raw_Data!S3))</f>
        <v>403</v>
      </c>
      <c r="V12" s="25" t="str">
        <f>IF(Raw_Data!S3="","Missing-Imputed","Original")</f>
        <v>Original</v>
      </c>
      <c r="W12" s="26">
        <f>Raw_Data!T3</f>
        <v>116</v>
      </c>
      <c r="X12" s="25" t="str">
        <f>IF(ISNUMBER(SEARCH("Y",UPPER(TRIM(Raw_Data!U3)))),"Yes","No")</f>
        <v>No</v>
      </c>
      <c r="Y12" s="25" t="str">
        <f>IF(ISNUMBER(SEARCH("Y",UPPER(TRIM(Raw_Data!V3)))),"Yes","No")</f>
        <v>No</v>
      </c>
      <c r="Z12" s="26">
        <f>Raw_Data!W3</f>
        <v>2</v>
      </c>
      <c r="AA12" s="26">
        <f>Raw_Data!X3</f>
        <v>6.2</v>
      </c>
      <c r="AB12" s="25" t="str">
        <f>IF(COUNTIFS(Raw_Data!$A$2:$A$616,Raw_Data!A3)&gt;1,"Duplicate","Unique")</f>
        <v>Unique</v>
      </c>
      <c r="AC12" s="25" t="str">
        <f t="shared" si="2"/>
        <v>Clean</v>
      </c>
    </row>
    <row r="13" spans="1:29" ht="15" customHeight="1">
      <c r="A13" s="23" t="str">
        <f>Raw_Data!A4</f>
        <v>BYJ1003</v>
      </c>
      <c r="B13" s="23" t="str">
        <f>Raw_Data!B4</f>
        <v>Girik Kamdar</v>
      </c>
      <c r="C13" s="24">
        <f>IF(OR(Raw_Data!C4="",Raw_Data!C4&lt;$C$5,Raw_Data!C4&gt;$C$6),$C$4,Raw_Data!C4)</f>
        <v>10</v>
      </c>
      <c r="D13" s="23" t="str">
        <f>IF(Raw_Data!C4="","Missing-Imputed",IF(OR(Raw_Data!C4&lt;$C$5,Raw_Data!C4&gt;$C$6),"Outlier-Imputed","Original"))</f>
        <v>Original</v>
      </c>
      <c r="E13" s="23" t="str">
        <f>IF(OR(UPPER(TRIM(Raw_Data!D4))="M",UPPER(TRIM(Raw_Data!D4))="MALE"),"Male","Female")</f>
        <v>Male</v>
      </c>
      <c r="F13" s="23" t="str">
        <f>PROPER(TRIM(Raw_Data!E4))</f>
        <v>Dibrugarh</v>
      </c>
      <c r="G13" s="23" t="str">
        <f>PROPER(TRIM(Raw_Data!F4))</f>
        <v>Maharashtra</v>
      </c>
      <c r="H13" s="23" t="str">
        <f>PROPER(TRIM(Raw_Data!G4))</f>
        <v>Spoken English</v>
      </c>
      <c r="I13" s="23" t="str">
        <f>PROPER(TRIM(Raw_Data!H4))</f>
        <v>Kolkata Main</v>
      </c>
      <c r="J13" s="24">
        <f>IF(LEN(TRIM(Raw_Data!I4))=4,VALUE(TRIM(Raw_Data!I4)),IF(ISNUMBER(IFERROR(VALUE(MID(TRIM(Raw_Data!I4),1,4)),"NA")),VALUE(MID(TRIM(Raw_Data!I4),1,4)),VALUE(RIGHT(TRIM(Raw_Data!I4),4))))</f>
        <v>2020</v>
      </c>
      <c r="K13" s="23" t="str">
        <f>PROPER(TRIM(Raw_Data!J4))</f>
        <v>Retired</v>
      </c>
      <c r="L13" s="23" t="str">
        <f t="shared" si="0"/>
        <v>10-13</v>
      </c>
      <c r="M13" s="23" t="str">
        <f t="shared" si="1"/>
        <v>Kids</v>
      </c>
      <c r="N13" s="23" t="str">
        <f>IF(ISNUMBER(SEARCH("NON",UPPER(Raw_Data!M4))),"Non-Premium Learner","Premium Learner")</f>
        <v>Non-Premium Learner</v>
      </c>
      <c r="O13" s="23" t="str">
        <f>PROPER(TRIM(Raw_Data!N4))</f>
        <v>App Only</v>
      </c>
      <c r="P13" s="24">
        <f>IF(Raw_Data!O4="",$C$7,Raw_Data!O4)</f>
        <v>38211.97</v>
      </c>
      <c r="Q13" s="23" t="str">
        <f>IF(Raw_Data!O4="","Missing-Imputed","Original")</f>
        <v>Original</v>
      </c>
      <c r="R13" s="24">
        <f>Raw_Data!P4</f>
        <v>28.7</v>
      </c>
      <c r="S13" s="24">
        <f>Raw_Data!Q4</f>
        <v>16064.45</v>
      </c>
      <c r="T13" s="23" t="str">
        <f>IF(Raw_Data!R4="","Unknown",IF(ISNUMBER(SEARCH("ACT",UPPER(Raw_Data!R4))),"Active",IF(ISNUMBER(SEARCH("CLOS",UPPER(Raw_Data!R4))),"Closed","None")))</f>
        <v>Active</v>
      </c>
      <c r="U13" s="24">
        <f>IF(Raw_Data!S4="",$C$8,VALUE(Raw_Data!S4))</f>
        <v>517</v>
      </c>
      <c r="V13" s="23" t="str">
        <f>IF(Raw_Data!S4="","Missing-Imputed","Original")</f>
        <v>Original</v>
      </c>
      <c r="W13" s="24">
        <f>Raw_Data!T4</f>
        <v>101</v>
      </c>
      <c r="X13" s="23" t="str">
        <f>IF(ISNUMBER(SEARCH("Y",UPPER(TRIM(Raw_Data!U4)))),"Yes","No")</f>
        <v>No</v>
      </c>
      <c r="Y13" s="23" t="str">
        <f>IF(ISNUMBER(SEARCH("Y",UPPER(TRIM(Raw_Data!V4)))),"Yes","No")</f>
        <v>No</v>
      </c>
      <c r="Z13" s="24">
        <f>Raw_Data!W4</f>
        <v>2</v>
      </c>
      <c r="AA13" s="24">
        <f>Raw_Data!X4</f>
        <v>6.8</v>
      </c>
      <c r="AB13" s="23" t="str">
        <f>IF(COUNTIFS(Raw_Data!$A$2:$A$616,Raw_Data!A4)&gt;1,"Duplicate","Unique")</f>
        <v>Unique</v>
      </c>
      <c r="AC13" s="23" t="str">
        <f t="shared" si="2"/>
        <v>Clean</v>
      </c>
    </row>
    <row r="14" spans="1:29" ht="15" customHeight="1">
      <c r="A14" s="25" t="str">
        <f>Raw_Data!A5</f>
        <v>BYJ1004</v>
      </c>
      <c r="B14" s="25" t="str">
        <f>Raw_Data!B5</f>
        <v>Rushil Saini</v>
      </c>
      <c r="C14" s="26">
        <f>IF(OR(Raw_Data!C5="",Raw_Data!C5&lt;$C$5,Raw_Data!C5&gt;$C$6),$C$4,Raw_Data!C5)</f>
        <v>33</v>
      </c>
      <c r="D14" s="25" t="str">
        <f>IF(Raw_Data!C5="","Missing-Imputed",IF(OR(Raw_Data!C5&lt;$C$5,Raw_Data!C5&gt;$C$6),"Outlier-Imputed","Original"))</f>
        <v>Original</v>
      </c>
      <c r="E14" s="25" t="str">
        <f>IF(OR(UPPER(TRIM(Raw_Data!D5))="M",UPPER(TRIM(Raw_Data!D5))="MALE"),"Male","Female")</f>
        <v>Female</v>
      </c>
      <c r="F14" s="25" t="str">
        <f>PROPER(TRIM(Raw_Data!E5))</f>
        <v>Sultan Pur Majra</v>
      </c>
      <c r="G14" s="25" t="str">
        <f>PROPER(TRIM(Raw_Data!F5))</f>
        <v>Maharashtra</v>
      </c>
      <c r="H14" s="25" t="str">
        <f>PROPER(TRIM(Raw_Data!G5))</f>
        <v>Spoken English</v>
      </c>
      <c r="I14" s="25" t="str">
        <f>PROPER(TRIM(Raw_Data!H5))</f>
        <v>Bengaluru South</v>
      </c>
      <c r="J14" s="26">
        <f>IF(LEN(TRIM(Raw_Data!I5))=4,VALUE(TRIM(Raw_Data!I5)),IF(ISNUMBER(IFERROR(VALUE(MID(TRIM(Raw_Data!I5),1,4)),"NA")),VALUE(MID(TRIM(Raw_Data!I5),1,4)),VALUE(RIGHT(TRIM(Raw_Data!I5),4))))</f>
        <v>2016</v>
      </c>
      <c r="K14" s="25" t="str">
        <f>PROPER(TRIM(Raw_Data!J5))</f>
        <v>Retired</v>
      </c>
      <c r="L14" s="25" t="str">
        <f t="shared" si="0"/>
        <v>20+</v>
      </c>
      <c r="M14" s="25" t="str">
        <f t="shared" si="1"/>
        <v>Adult Learners</v>
      </c>
      <c r="N14" s="25" t="str">
        <f>IF(ISNUMBER(SEARCH("NON",UPPER(Raw_Data!M5))),"Non-Premium Learner","Premium Learner")</f>
        <v>Non-Premium Learner</v>
      </c>
      <c r="O14" s="25" t="str">
        <f>PROPER(TRIM(Raw_Data!N5))</f>
        <v>Web Only</v>
      </c>
      <c r="P14" s="26">
        <f>IF(Raw_Data!O5="",$C$7,Raw_Data!O5)</f>
        <v>91403.82</v>
      </c>
      <c r="Q14" s="25" t="str">
        <f>IF(Raw_Data!O5="","Missing-Imputed","Original")</f>
        <v>Original</v>
      </c>
      <c r="R14" s="26">
        <f>Raw_Data!P5</f>
        <v>23.9</v>
      </c>
      <c r="S14" s="26">
        <f>Raw_Data!Q5</f>
        <v>33193.550000000003</v>
      </c>
      <c r="T14" s="25" t="str">
        <f>IF(Raw_Data!R5="","Unknown",IF(ISNUMBER(SEARCH("ACT",UPPER(Raw_Data!R5))),"Active",IF(ISNUMBER(SEARCH("CLOS",UPPER(Raw_Data!R5))),"Closed","None")))</f>
        <v>Active</v>
      </c>
      <c r="U14" s="26">
        <f>IF(Raw_Data!S5="",$C$8,VALUE(Raw_Data!S5))</f>
        <v>849</v>
      </c>
      <c r="V14" s="25" t="str">
        <f>IF(Raw_Data!S5="","Missing-Imputed","Original")</f>
        <v>Original</v>
      </c>
      <c r="W14" s="26">
        <f>Raw_Data!T5</f>
        <v>196</v>
      </c>
      <c r="X14" s="25" t="str">
        <f>IF(ISNUMBER(SEARCH("Y",UPPER(TRIM(Raw_Data!U5)))),"Yes","No")</f>
        <v>No</v>
      </c>
      <c r="Y14" s="25" t="str">
        <f>IF(ISNUMBER(SEARCH("Y",UPPER(TRIM(Raw_Data!V5)))),"Yes","No")</f>
        <v>No</v>
      </c>
      <c r="Z14" s="26">
        <f>Raw_Data!W5</f>
        <v>2</v>
      </c>
      <c r="AA14" s="26">
        <f>Raw_Data!X5</f>
        <v>4.4000000000000004</v>
      </c>
      <c r="AB14" s="25" t="str">
        <f>IF(COUNTIFS(Raw_Data!$A$2:$A$616,Raw_Data!A5)&gt;1,"Duplicate","Unique")</f>
        <v>Unique</v>
      </c>
      <c r="AC14" s="25" t="str">
        <f t="shared" si="2"/>
        <v>Clean</v>
      </c>
    </row>
    <row r="15" spans="1:29" ht="15" customHeight="1">
      <c r="A15" s="23" t="str">
        <f>Raw_Data!A6</f>
        <v>BYJ1005</v>
      </c>
      <c r="B15" s="23" t="str">
        <f>Raw_Data!B6</f>
        <v>Abeer Dutta</v>
      </c>
      <c r="C15" s="24">
        <f>IF(OR(Raw_Data!C6="",Raw_Data!C6&lt;$C$5,Raw_Data!C6&gt;$C$6),$C$4,Raw_Data!C6)</f>
        <v>22</v>
      </c>
      <c r="D15" s="23" t="str">
        <f>IF(Raw_Data!C6="","Missing-Imputed",IF(OR(Raw_Data!C6&lt;$C$5,Raw_Data!C6&gt;$C$6),"Outlier-Imputed","Original"))</f>
        <v>Original</v>
      </c>
      <c r="E15" s="23" t="str">
        <f>IF(OR(UPPER(TRIM(Raw_Data!D6))="M",UPPER(TRIM(Raw_Data!D6))="MALE"),"Male","Female")</f>
        <v>Male</v>
      </c>
      <c r="F15" s="23" t="str">
        <f>PROPER(TRIM(Raw_Data!E6))</f>
        <v>Mau</v>
      </c>
      <c r="G15" s="23" t="str">
        <f>PROPER(TRIM(Raw_Data!F6))</f>
        <v>Telangana</v>
      </c>
      <c r="H15" s="23" t="str">
        <f>PROPER(TRIM(Raw_Data!G6))</f>
        <v>English</v>
      </c>
      <c r="I15" s="23" t="str">
        <f>PROPER(TRIM(Raw_Data!H6))</f>
        <v>Mumbai West</v>
      </c>
      <c r="J15" s="24">
        <f>IF(LEN(TRIM(Raw_Data!I6))=4,VALUE(TRIM(Raw_Data!I6)),IF(ISNUMBER(IFERROR(VALUE(MID(TRIM(Raw_Data!I6),1,4)),"NA")),VALUE(MID(TRIM(Raw_Data!I6),1,4)),VALUE(RIGHT(TRIM(Raw_Data!I6),4))))</f>
        <v>2021</v>
      </c>
      <c r="K15" s="23" t="str">
        <f>PROPER(TRIM(Raw_Data!J6))</f>
        <v>Government Employee</v>
      </c>
      <c r="L15" s="23" t="str">
        <f t="shared" si="0"/>
        <v>20+</v>
      </c>
      <c r="M15" s="23" t="str">
        <f t="shared" si="1"/>
        <v>Adult Learners</v>
      </c>
      <c r="N15" s="23" t="str">
        <f>IF(ISNUMBER(SEARCH("NON",UPPER(Raw_Data!M6))),"Non-Premium Learner","Premium Learner")</f>
        <v>Non-Premium Learner</v>
      </c>
      <c r="O15" s="23" t="str">
        <f>PROPER(TRIM(Raw_Data!N6))</f>
        <v>Web Only</v>
      </c>
      <c r="P15" s="24">
        <f>IF(Raw_Data!O6="",$C$7,Raw_Data!O6)</f>
        <v>132414.67000000001</v>
      </c>
      <c r="Q15" s="23" t="str">
        <f>IF(Raw_Data!O6="","Missing-Imputed","Original")</f>
        <v>Original</v>
      </c>
      <c r="R15" s="24">
        <f>Raw_Data!P6</f>
        <v>28.1</v>
      </c>
      <c r="S15" s="24">
        <f>Raw_Data!Q6</f>
        <v>3475.51</v>
      </c>
      <c r="T15" s="23" t="str">
        <f>IF(Raw_Data!R6="","Unknown",IF(ISNUMBER(SEARCH("ACT",UPPER(Raw_Data!R6))),"Active",IF(ISNUMBER(SEARCH("CLOS",UPPER(Raw_Data!R6))),"Closed","None")))</f>
        <v>None</v>
      </c>
      <c r="U15" s="24">
        <f>IF(Raw_Data!S6="",$C$8,VALUE(Raw_Data!S6))</f>
        <v>387</v>
      </c>
      <c r="V15" s="23" t="str">
        <f>IF(Raw_Data!S6="","Missing-Imputed","Original")</f>
        <v>Original</v>
      </c>
      <c r="W15" s="24">
        <f>Raw_Data!T6</f>
        <v>17</v>
      </c>
      <c r="X15" s="23" t="str">
        <f>IF(ISNUMBER(SEARCH("Y",UPPER(TRIM(Raw_Data!U6)))),"Yes","No")</f>
        <v>Yes</v>
      </c>
      <c r="Y15" s="23" t="str">
        <f>IF(ISNUMBER(SEARCH("Y",UPPER(TRIM(Raw_Data!V6)))),"Yes","No")</f>
        <v>No</v>
      </c>
      <c r="Z15" s="24">
        <f>Raw_Data!W6</f>
        <v>3</v>
      </c>
      <c r="AA15" s="24">
        <f>Raw_Data!X6</f>
        <v>5</v>
      </c>
      <c r="AB15" s="23" t="str">
        <f>IF(COUNTIFS(Raw_Data!$A$2:$A$616,Raw_Data!A6)&gt;1,"Duplicate","Unique")</f>
        <v>Unique</v>
      </c>
      <c r="AC15" s="23" t="str">
        <f t="shared" si="2"/>
        <v>Clean</v>
      </c>
    </row>
    <row r="16" spans="1:29" ht="15" customHeight="1">
      <c r="A16" s="25" t="str">
        <f>Raw_Data!A7</f>
        <v>BYJ1006</v>
      </c>
      <c r="B16" s="25" t="str">
        <f>Raw_Data!B7</f>
        <v>Nachiket Kale</v>
      </c>
      <c r="C16" s="26">
        <f>IF(OR(Raw_Data!C7="",Raw_Data!C7&lt;$C$5,Raw_Data!C7&gt;$C$6),$C$4,Raw_Data!C7)</f>
        <v>40</v>
      </c>
      <c r="D16" s="25" t="str">
        <f>IF(Raw_Data!C7="","Missing-Imputed",IF(OR(Raw_Data!C7&lt;$C$5,Raw_Data!C7&gt;$C$6),"Outlier-Imputed","Original"))</f>
        <v>Original</v>
      </c>
      <c r="E16" s="25" t="str">
        <f>IF(OR(UPPER(TRIM(Raw_Data!D7))="M",UPPER(TRIM(Raw_Data!D7))="MALE"),"Male","Female")</f>
        <v>Male</v>
      </c>
      <c r="F16" s="25" t="str">
        <f>PROPER(TRIM(Raw_Data!E7))</f>
        <v>Kota</v>
      </c>
      <c r="G16" s="25" t="str">
        <f>PROPER(TRIM(Raw_Data!F7))</f>
        <v>Gujarat</v>
      </c>
      <c r="H16" s="25" t="str">
        <f>PROPER(TRIM(Raw_Data!G7))</f>
        <v>Spoken English</v>
      </c>
      <c r="I16" s="25" t="str">
        <f>PROPER(TRIM(Raw_Data!H7))</f>
        <v>Jaipur Center</v>
      </c>
      <c r="J16" s="26">
        <f>IF(LEN(TRIM(Raw_Data!I7))=4,VALUE(TRIM(Raw_Data!I7)),IF(ISNUMBER(IFERROR(VALUE(MID(TRIM(Raw_Data!I7),1,4)),"NA")),VALUE(MID(TRIM(Raw_Data!I7),1,4)),VALUE(RIGHT(TRIM(Raw_Data!I7),4))))</f>
        <v>2023</v>
      </c>
      <c r="K16" s="25" t="str">
        <f>PROPER(TRIM(Raw_Data!J7))</f>
        <v>Salaried</v>
      </c>
      <c r="L16" s="25" t="str">
        <f t="shared" si="0"/>
        <v>20+</v>
      </c>
      <c r="M16" s="25" t="str">
        <f t="shared" si="1"/>
        <v>Adult Learners</v>
      </c>
      <c r="N16" s="25" t="str">
        <f>IF(ISNUMBER(SEARCH("NON",UPPER(Raw_Data!M7))),"Non-Premium Learner","Premium Learner")</f>
        <v>Non-Premium Learner</v>
      </c>
      <c r="O16" s="25" t="str">
        <f>PROPER(TRIM(Raw_Data!N7))</f>
        <v>App Only</v>
      </c>
      <c r="P16" s="26">
        <f>IF(Raw_Data!O7="",$C$7,Raw_Data!O7)</f>
        <v>71742.19</v>
      </c>
      <c r="Q16" s="25" t="str">
        <f>IF(Raw_Data!O7="","Missing-Imputed","Original")</f>
        <v>Missing-Imputed</v>
      </c>
      <c r="R16" s="26">
        <f>Raw_Data!P7</f>
        <v>58.1</v>
      </c>
      <c r="S16" s="26">
        <f>Raw_Data!Q7</f>
        <v>3532.43</v>
      </c>
      <c r="T16" s="25" t="str">
        <f>IF(Raw_Data!R7="","Unknown",IF(ISNUMBER(SEARCH("ACT",UPPER(Raw_Data!R7))),"Active",IF(ISNUMBER(SEARCH("CLOS",UPPER(Raw_Data!R7))),"Closed","None")))</f>
        <v>Active</v>
      </c>
      <c r="U16" s="26">
        <f>IF(Raw_Data!S7="",$C$8,VALUE(Raw_Data!S7))</f>
        <v>638</v>
      </c>
      <c r="V16" s="25" t="str">
        <f>IF(Raw_Data!S7="","Missing-Imputed","Original")</f>
        <v>Original</v>
      </c>
      <c r="W16" s="26">
        <f>Raw_Data!T7</f>
        <v>60</v>
      </c>
      <c r="X16" s="25" t="str">
        <f>IF(ISNUMBER(SEARCH("Y",UPPER(TRIM(Raw_Data!U7)))),"Yes","No")</f>
        <v>No</v>
      </c>
      <c r="Y16" s="25" t="str">
        <f>IF(ISNUMBER(SEARCH("Y",UPPER(TRIM(Raw_Data!V7)))),"Yes","No")</f>
        <v>Yes</v>
      </c>
      <c r="Z16" s="26">
        <f>Raw_Data!W7</f>
        <v>5</v>
      </c>
      <c r="AA16" s="26">
        <f>Raw_Data!X7</f>
        <v>5.4</v>
      </c>
      <c r="AB16" s="25" t="str">
        <f>IF(COUNTIFS(Raw_Data!$A$2:$A$616,Raw_Data!A7)&gt;1,"Duplicate","Unique")</f>
        <v>Unique</v>
      </c>
      <c r="AC16" s="25" t="str">
        <f t="shared" si="2"/>
        <v>Imputed</v>
      </c>
    </row>
    <row r="17" spans="1:29" ht="15" customHeight="1">
      <c r="A17" s="23" t="str">
        <f>Raw_Data!A8</f>
        <v>BYJ1007</v>
      </c>
      <c r="B17" s="23" t="str">
        <f>Raw_Data!B8</f>
        <v>Lajita Chatterjee</v>
      </c>
      <c r="C17" s="24">
        <f>IF(OR(Raw_Data!C8="",Raw_Data!C8&lt;$C$5,Raw_Data!C8&gt;$C$6),$C$4,Raw_Data!C8)</f>
        <v>32</v>
      </c>
      <c r="D17" s="23" t="str">
        <f>IF(Raw_Data!C8="","Missing-Imputed",IF(OR(Raw_Data!C8&lt;$C$5,Raw_Data!C8&gt;$C$6),"Outlier-Imputed","Original"))</f>
        <v>Original</v>
      </c>
      <c r="E17" s="23" t="str">
        <f>IF(OR(UPPER(TRIM(Raw_Data!D8))="M",UPPER(TRIM(Raw_Data!D8))="MALE"),"Male","Female")</f>
        <v>Male</v>
      </c>
      <c r="F17" s="23" t="str">
        <f>PROPER(TRIM(Raw_Data!E8))</f>
        <v>Hapur</v>
      </c>
      <c r="G17" s="23" t="str">
        <f>PROPER(TRIM(Raw_Data!F8))</f>
        <v>West Bengal</v>
      </c>
      <c r="H17" s="23" t="str">
        <f>PROPER(TRIM(Raw_Data!G8))</f>
        <v>Neet Prep</v>
      </c>
      <c r="I17" s="23" t="str">
        <f>PROPER(TRIM(Raw_Data!H8))</f>
        <v>Kolkata Main</v>
      </c>
      <c r="J17" s="24">
        <f>IF(LEN(TRIM(Raw_Data!I8))=4,VALUE(TRIM(Raw_Data!I8)),IF(ISNUMBER(IFERROR(VALUE(MID(TRIM(Raw_Data!I8),1,4)),"NA")),VALUE(MID(TRIM(Raw_Data!I8),1,4)),VALUE(RIGHT(TRIM(Raw_Data!I8),4))))</f>
        <v>2022</v>
      </c>
      <c r="K17" s="23" t="str">
        <f>PROPER(TRIM(Raw_Data!J8))</f>
        <v>Retired</v>
      </c>
      <c r="L17" s="23" t="str">
        <f t="shared" si="0"/>
        <v>20+</v>
      </c>
      <c r="M17" s="23" t="str">
        <f t="shared" si="1"/>
        <v>Adult Learners</v>
      </c>
      <c r="N17" s="23" t="str">
        <f>IF(ISNUMBER(SEARCH("NON",UPPER(Raw_Data!M8))),"Non-Premium Learner","Premium Learner")</f>
        <v>Non-Premium Learner</v>
      </c>
      <c r="O17" s="23" t="str">
        <f>PROPER(TRIM(Raw_Data!N8))</f>
        <v>App Only</v>
      </c>
      <c r="P17" s="24">
        <f>IF(Raw_Data!O8="",$C$7,Raw_Data!O8)</f>
        <v>63380.09</v>
      </c>
      <c r="Q17" s="23" t="str">
        <f>IF(Raw_Data!O8="","Missing-Imputed","Original")</f>
        <v>Original</v>
      </c>
      <c r="R17" s="24">
        <f>Raw_Data!P8</f>
        <v>69.599999999999994</v>
      </c>
      <c r="S17" s="24">
        <f>Raw_Data!Q8</f>
        <v>14919.38</v>
      </c>
      <c r="T17" s="23" t="str">
        <f>IF(Raw_Data!R8="","Unknown",IF(ISNUMBER(SEARCH("ACT",UPPER(Raw_Data!R8))),"Active",IF(ISNUMBER(SEARCH("CLOS",UPPER(Raw_Data!R8))),"Closed","None")))</f>
        <v>Active</v>
      </c>
      <c r="U17" s="24">
        <f>IF(Raw_Data!S8="",$C$8,VALUE(Raw_Data!S8))</f>
        <v>443</v>
      </c>
      <c r="V17" s="23" t="str">
        <f>IF(Raw_Data!S8="","Missing-Imputed","Original")</f>
        <v>Original</v>
      </c>
      <c r="W17" s="24">
        <f>Raw_Data!T8</f>
        <v>71</v>
      </c>
      <c r="X17" s="23" t="str">
        <f>IF(ISNUMBER(SEARCH("Y",UPPER(TRIM(Raw_Data!U8)))),"Yes","No")</f>
        <v>No</v>
      </c>
      <c r="Y17" s="23" t="str">
        <f>IF(ISNUMBER(SEARCH("Y",UPPER(TRIM(Raw_Data!V8)))),"Yes","No")</f>
        <v>Yes</v>
      </c>
      <c r="Z17" s="24">
        <f>Raw_Data!W8</f>
        <v>5</v>
      </c>
      <c r="AA17" s="24">
        <f>Raw_Data!X8</f>
        <v>1.3</v>
      </c>
      <c r="AB17" s="23" t="str">
        <f>IF(COUNTIFS(Raw_Data!$A$2:$A$616,Raw_Data!A8)&gt;1,"Duplicate","Unique")</f>
        <v>Unique</v>
      </c>
      <c r="AC17" s="23" t="str">
        <f t="shared" si="2"/>
        <v>Clean</v>
      </c>
    </row>
    <row r="18" spans="1:29" ht="15" customHeight="1">
      <c r="A18" s="25" t="str">
        <f>Raw_Data!A9</f>
        <v>BYJ1008</v>
      </c>
      <c r="B18" s="25" t="str">
        <f>Raw_Data!B9</f>
        <v>Caleb Sharaf</v>
      </c>
      <c r="C18" s="26">
        <f>IF(OR(Raw_Data!C9="",Raw_Data!C9&lt;$C$5,Raw_Data!C9&gt;$C$6),$C$4,Raw_Data!C9)</f>
        <v>6</v>
      </c>
      <c r="D18" s="25" t="str">
        <f>IF(Raw_Data!C9="","Missing-Imputed",IF(OR(Raw_Data!C9&lt;$C$5,Raw_Data!C9&gt;$C$6),"Outlier-Imputed","Original"))</f>
        <v>Original</v>
      </c>
      <c r="E18" s="25" t="str">
        <f>IF(OR(UPPER(TRIM(Raw_Data!D9))="M",UPPER(TRIM(Raw_Data!D9))="MALE"),"Male","Female")</f>
        <v>Male</v>
      </c>
      <c r="F18" s="25" t="str">
        <f>PROPER(TRIM(Raw_Data!E9))</f>
        <v>Burhanpur</v>
      </c>
      <c r="G18" s="25" t="str">
        <f>PROPER(TRIM(Raw_Data!F9))</f>
        <v>Rajasthan</v>
      </c>
      <c r="H18" s="25" t="str">
        <f>PROPER(TRIM(Raw_Data!G9))</f>
        <v>Spoken English</v>
      </c>
      <c r="I18" s="25" t="str">
        <f>PROPER(TRIM(Raw_Data!H9))</f>
        <v>Delhi North</v>
      </c>
      <c r="J18" s="26">
        <f>IF(LEN(TRIM(Raw_Data!I9))=4,VALUE(TRIM(Raw_Data!I9)),IF(ISNUMBER(IFERROR(VALUE(MID(TRIM(Raw_Data!I9),1,4)),"NA")),VALUE(MID(TRIM(Raw_Data!I9),1,4)),VALUE(RIGHT(TRIM(Raw_Data!I9),4))))</f>
        <v>2022</v>
      </c>
      <c r="K18" s="25" t="str">
        <f>PROPER(TRIM(Raw_Data!J9))</f>
        <v>Salaried</v>
      </c>
      <c r="L18" s="25" t="str">
        <f t="shared" si="0"/>
        <v>Under 10</v>
      </c>
      <c r="M18" s="25" t="str">
        <f t="shared" si="1"/>
        <v>Kids</v>
      </c>
      <c r="N18" s="25" t="str">
        <f>IF(ISNUMBER(SEARCH("NON",UPPER(Raw_Data!M9))),"Non-Premium Learner","Premium Learner")</f>
        <v>Non-Premium Learner</v>
      </c>
      <c r="O18" s="25" t="str">
        <f>PROPER(TRIM(Raw_Data!N9))</f>
        <v>Web Only</v>
      </c>
      <c r="P18" s="26">
        <f>IF(Raw_Data!O9="",$C$7,Raw_Data!O9)</f>
        <v>46361.14</v>
      </c>
      <c r="Q18" s="25" t="str">
        <f>IF(Raw_Data!O9="","Missing-Imputed","Original")</f>
        <v>Original</v>
      </c>
      <c r="R18" s="26">
        <f>Raw_Data!P9</f>
        <v>59.8</v>
      </c>
      <c r="S18" s="26">
        <f>Raw_Data!Q9</f>
        <v>47001.69</v>
      </c>
      <c r="T18" s="25" t="str">
        <f>IF(Raw_Data!R9="","Unknown",IF(ISNUMBER(SEARCH("ACT",UPPER(Raw_Data!R9))),"Active",IF(ISNUMBER(SEARCH("CLOS",UPPER(Raw_Data!R9))),"Closed","None")))</f>
        <v>None</v>
      </c>
      <c r="U18" s="26">
        <f>IF(Raw_Data!S9="",$C$8,VALUE(Raw_Data!S9))</f>
        <v>458</v>
      </c>
      <c r="V18" s="25" t="str">
        <f>IF(Raw_Data!S9="","Missing-Imputed","Original")</f>
        <v>Original</v>
      </c>
      <c r="W18" s="26">
        <f>Raw_Data!T9</f>
        <v>55</v>
      </c>
      <c r="X18" s="25" t="str">
        <f>IF(ISNUMBER(SEARCH("Y",UPPER(TRIM(Raw_Data!U9)))),"Yes","No")</f>
        <v>Yes</v>
      </c>
      <c r="Y18" s="25" t="str">
        <f>IF(ISNUMBER(SEARCH("Y",UPPER(TRIM(Raw_Data!V9)))),"Yes","No")</f>
        <v>No</v>
      </c>
      <c r="Z18" s="26">
        <f>Raw_Data!W9</f>
        <v>1</v>
      </c>
      <c r="AA18" s="26">
        <f>Raw_Data!X9</f>
        <v>5.5</v>
      </c>
      <c r="AB18" s="25" t="str">
        <f>IF(COUNTIFS(Raw_Data!$A$2:$A$616,Raw_Data!A9)&gt;1,"Duplicate","Unique")</f>
        <v>Unique</v>
      </c>
      <c r="AC18" s="25" t="str">
        <f t="shared" si="2"/>
        <v>Clean</v>
      </c>
    </row>
    <row r="19" spans="1:29" ht="15" customHeight="1">
      <c r="A19" s="23" t="str">
        <f>Raw_Data!A10</f>
        <v>BYJ1009</v>
      </c>
      <c r="B19" s="23" t="str">
        <f>Raw_Data!B10</f>
        <v>Chaaya Pathak</v>
      </c>
      <c r="C19" s="24">
        <f>IF(OR(Raw_Data!C10="",Raw_Data!C10&lt;$C$5,Raw_Data!C10&gt;$C$6),$C$4,Raw_Data!C10)</f>
        <v>16</v>
      </c>
      <c r="D19" s="23" t="str">
        <f>IF(Raw_Data!C10="","Missing-Imputed",IF(OR(Raw_Data!C10&lt;$C$5,Raw_Data!C10&gt;$C$6),"Outlier-Imputed","Original"))</f>
        <v>Original</v>
      </c>
      <c r="E19" s="23" t="str">
        <f>IF(OR(UPPER(TRIM(Raw_Data!D10))="M",UPPER(TRIM(Raw_Data!D10))="MALE"),"Male","Female")</f>
        <v>Male</v>
      </c>
      <c r="F19" s="23" t="str">
        <f>PROPER(TRIM(Raw_Data!E10))</f>
        <v>Coimbatore</v>
      </c>
      <c r="G19" s="23" t="str">
        <f>PROPER(TRIM(Raw_Data!F10))</f>
        <v>Maharashtra</v>
      </c>
      <c r="H19" s="23" t="str">
        <f>PROPER(TRIM(Raw_Data!G10))</f>
        <v>Mathematics</v>
      </c>
      <c r="I19" s="23" t="str">
        <f>PROPER(TRIM(Raw_Data!H10))</f>
        <v>Lucknow Hub</v>
      </c>
      <c r="J19" s="24">
        <f>IF(LEN(TRIM(Raw_Data!I10))=4,VALUE(TRIM(Raw_Data!I10)),IF(ISNUMBER(IFERROR(VALUE(MID(TRIM(Raw_Data!I10),1,4)),"NA")),VALUE(MID(TRIM(Raw_Data!I10),1,4)),VALUE(RIGHT(TRIM(Raw_Data!I10),4))))</f>
        <v>2017</v>
      </c>
      <c r="K19" s="23" t="str">
        <f>PROPER(TRIM(Raw_Data!J10))</f>
        <v>Self-Employed</v>
      </c>
      <c r="L19" s="23" t="str">
        <f t="shared" si="0"/>
        <v>14-16</v>
      </c>
      <c r="M19" s="23" t="str">
        <f t="shared" si="1"/>
        <v>Teens</v>
      </c>
      <c r="N19" s="23" t="str">
        <f>IF(ISNUMBER(SEARCH("NON",UPPER(Raw_Data!M10))),"Non-Premium Learner","Premium Learner")</f>
        <v>Premium Learner</v>
      </c>
      <c r="O19" s="23" t="str">
        <f>PROPER(TRIM(Raw_Data!N10))</f>
        <v>App Only</v>
      </c>
      <c r="P19" s="24">
        <f>IF(Raw_Data!O10="",$C$7,Raw_Data!O10)</f>
        <v>88943.26</v>
      </c>
      <c r="Q19" s="23" t="str">
        <f>IF(Raw_Data!O10="","Missing-Imputed","Original")</f>
        <v>Original</v>
      </c>
      <c r="R19" s="24">
        <f>Raw_Data!P10</f>
        <v>11.1</v>
      </c>
      <c r="S19" s="24">
        <f>Raw_Data!Q10</f>
        <v>39442.39</v>
      </c>
      <c r="T19" s="23" t="str">
        <f>IF(Raw_Data!R10="","Unknown",IF(ISNUMBER(SEARCH("ACT",UPPER(Raw_Data!R10))),"Active",IF(ISNUMBER(SEARCH("CLOS",UPPER(Raw_Data!R10))),"Closed","None")))</f>
        <v>Unknown</v>
      </c>
      <c r="U19" s="24">
        <f>IF(Raw_Data!S10="",$C$8,VALUE(Raw_Data!S10))</f>
        <v>623</v>
      </c>
      <c r="V19" s="23" t="str">
        <f>IF(Raw_Data!S10="","Missing-Imputed","Original")</f>
        <v>Original</v>
      </c>
      <c r="W19" s="24">
        <f>Raw_Data!T10</f>
        <v>52</v>
      </c>
      <c r="X19" s="23" t="str">
        <f>IF(ISNUMBER(SEARCH("Y",UPPER(TRIM(Raw_Data!U10)))),"Yes","No")</f>
        <v>No</v>
      </c>
      <c r="Y19" s="23" t="str">
        <f>IF(ISNUMBER(SEARCH("Y",UPPER(TRIM(Raw_Data!V10)))),"Yes","No")</f>
        <v>No</v>
      </c>
      <c r="Z19" s="24">
        <f>Raw_Data!W10</f>
        <v>2</v>
      </c>
      <c r="AA19" s="24">
        <f>Raw_Data!X10</f>
        <v>6.2</v>
      </c>
      <c r="AB19" s="23" t="str">
        <f>IF(COUNTIFS(Raw_Data!$A$2:$A$616,Raw_Data!A10)&gt;1,"Duplicate","Unique")</f>
        <v>Unique</v>
      </c>
      <c r="AC19" s="23" t="str">
        <f t="shared" si="2"/>
        <v>Clean</v>
      </c>
    </row>
    <row r="20" spans="1:29" ht="15" customHeight="1">
      <c r="A20" s="25" t="str">
        <f>Raw_Data!A11</f>
        <v>BYJ1010</v>
      </c>
      <c r="B20" s="25" t="str">
        <f>Raw_Data!B11</f>
        <v>Vedant Mann</v>
      </c>
      <c r="C20" s="26">
        <f>IF(OR(Raw_Data!C11="",Raw_Data!C11&lt;$C$5,Raw_Data!C11&gt;$C$6),$C$4,Raw_Data!C11)</f>
        <v>10</v>
      </c>
      <c r="D20" s="25" t="str">
        <f>IF(Raw_Data!C11="","Missing-Imputed",IF(OR(Raw_Data!C11&lt;$C$5,Raw_Data!C11&gt;$C$6),"Outlier-Imputed","Original"))</f>
        <v>Original</v>
      </c>
      <c r="E20" s="25" t="str">
        <f>IF(OR(UPPER(TRIM(Raw_Data!D11))="M",UPPER(TRIM(Raw_Data!D11))="MALE"),"Male","Female")</f>
        <v>Male</v>
      </c>
      <c r="F20" s="25" t="str">
        <f>PROPER(TRIM(Raw_Data!E11))</f>
        <v>Muzaffarpur</v>
      </c>
      <c r="G20" s="25" t="str">
        <f>PROPER(TRIM(Raw_Data!F11))</f>
        <v>Kerala</v>
      </c>
      <c r="H20" s="25" t="str">
        <f>PROPER(TRIM(Raw_Data!G11))</f>
        <v>Mathematics</v>
      </c>
      <c r="I20" s="25" t="str">
        <f>PROPER(TRIM(Raw_Data!H11))</f>
        <v>Bengaluru South</v>
      </c>
      <c r="J20" s="26">
        <f>IF(LEN(TRIM(Raw_Data!I11))=4,VALUE(TRIM(Raw_Data!I11)),IF(ISNUMBER(IFERROR(VALUE(MID(TRIM(Raw_Data!I11),1,4)),"NA")),VALUE(MID(TRIM(Raw_Data!I11),1,4)),VALUE(RIGHT(TRIM(Raw_Data!I11),4))))</f>
        <v>2024</v>
      </c>
      <c r="K20" s="25" t="str">
        <f>PROPER(TRIM(Raw_Data!J11))</f>
        <v>Business</v>
      </c>
      <c r="L20" s="25" t="str">
        <f t="shared" si="0"/>
        <v>10-13</v>
      </c>
      <c r="M20" s="25" t="str">
        <f t="shared" si="1"/>
        <v>Kids</v>
      </c>
      <c r="N20" s="25" t="str">
        <f>IF(ISNUMBER(SEARCH("NON",UPPER(Raw_Data!M11))),"Non-Premium Learner","Premium Learner")</f>
        <v>Non-Premium Learner</v>
      </c>
      <c r="O20" s="25" t="str">
        <f>PROPER(TRIM(Raw_Data!N11))</f>
        <v>App Only</v>
      </c>
      <c r="P20" s="26">
        <f>IF(Raw_Data!O11="",$C$7,Raw_Data!O11)</f>
        <v>58581.43</v>
      </c>
      <c r="Q20" s="25" t="str">
        <f>IF(Raw_Data!O11="","Missing-Imputed","Original")</f>
        <v>Original</v>
      </c>
      <c r="R20" s="26">
        <f>Raw_Data!P11</f>
        <v>67.5</v>
      </c>
      <c r="S20" s="26">
        <f>Raw_Data!Q11</f>
        <v>42212.4</v>
      </c>
      <c r="T20" s="25" t="str">
        <f>IF(Raw_Data!R11="","Unknown",IF(ISNUMBER(SEARCH("ACT",UPPER(Raw_Data!R11))),"Active",IF(ISNUMBER(SEARCH("CLOS",UPPER(Raw_Data!R11))),"Closed","None")))</f>
        <v>Unknown</v>
      </c>
      <c r="U20" s="26">
        <f>IF(Raw_Data!S11="",$C$8,VALUE(Raw_Data!S11))</f>
        <v>308</v>
      </c>
      <c r="V20" s="25" t="str">
        <f>IF(Raw_Data!S11="","Missing-Imputed","Original")</f>
        <v>Original</v>
      </c>
      <c r="W20" s="26">
        <f>Raw_Data!T11</f>
        <v>141</v>
      </c>
      <c r="X20" s="25" t="str">
        <f>IF(ISNUMBER(SEARCH("Y",UPPER(TRIM(Raw_Data!U11)))),"Yes","No")</f>
        <v>No</v>
      </c>
      <c r="Y20" s="25" t="str">
        <f>IF(ISNUMBER(SEARCH("Y",UPPER(TRIM(Raw_Data!V11)))),"Yes","No")</f>
        <v>Yes</v>
      </c>
      <c r="Z20" s="26">
        <f>Raw_Data!W11</f>
        <v>1</v>
      </c>
      <c r="AA20" s="26">
        <f>Raw_Data!X11</f>
        <v>8.1</v>
      </c>
      <c r="AB20" s="25" t="str">
        <f>IF(COUNTIFS(Raw_Data!$A$2:$A$616,Raw_Data!A11)&gt;1,"Duplicate","Unique")</f>
        <v>Duplicate</v>
      </c>
      <c r="AC20" s="25" t="str">
        <f t="shared" si="2"/>
        <v>Review-Duplicate</v>
      </c>
    </row>
    <row r="21" spans="1:29" ht="15" customHeight="1">
      <c r="A21" s="23" t="str">
        <f>Raw_Data!A12</f>
        <v>BYJ1011</v>
      </c>
      <c r="B21" s="23" t="str">
        <f>Raw_Data!B12</f>
        <v>Lajita Mall</v>
      </c>
      <c r="C21" s="24">
        <f>IF(OR(Raw_Data!C12="",Raw_Data!C12&lt;$C$5,Raw_Data!C12&gt;$C$6),$C$4,Raw_Data!C12)</f>
        <v>24</v>
      </c>
      <c r="D21" s="23" t="str">
        <f>IF(Raw_Data!C12="","Missing-Imputed",IF(OR(Raw_Data!C12&lt;$C$5,Raw_Data!C12&gt;$C$6),"Outlier-Imputed","Original"))</f>
        <v>Original</v>
      </c>
      <c r="E21" s="23" t="str">
        <f>IF(OR(UPPER(TRIM(Raw_Data!D12))="M",UPPER(TRIM(Raw_Data!D12))="MALE"),"Male","Female")</f>
        <v>Male</v>
      </c>
      <c r="F21" s="23" t="str">
        <f>PROPER(TRIM(Raw_Data!E12))</f>
        <v>Bharatpur</v>
      </c>
      <c r="G21" s="23" t="str">
        <f>PROPER(TRIM(Raw_Data!F12))</f>
        <v>Telangana</v>
      </c>
      <c r="H21" s="23" t="str">
        <f>PROPER(TRIM(Raw_Data!G12))</f>
        <v>Spoken English</v>
      </c>
      <c r="I21" s="23" t="str">
        <f>PROPER(TRIM(Raw_Data!H12))</f>
        <v>Hyderabad Hub</v>
      </c>
      <c r="J21" s="24">
        <f>IF(LEN(TRIM(Raw_Data!I12))=4,VALUE(TRIM(Raw_Data!I12)),IF(ISNUMBER(IFERROR(VALUE(MID(TRIM(Raw_Data!I12),1,4)),"NA")),VALUE(MID(TRIM(Raw_Data!I12),1,4)),VALUE(RIGHT(TRIM(Raw_Data!I12),4))))</f>
        <v>2016</v>
      </c>
      <c r="K21" s="23" t="str">
        <f>PROPER(TRIM(Raw_Data!J12))</f>
        <v>Homemaker</v>
      </c>
      <c r="L21" s="23" t="str">
        <f t="shared" si="0"/>
        <v>20+</v>
      </c>
      <c r="M21" s="23" t="str">
        <f t="shared" si="1"/>
        <v>Adult Learners</v>
      </c>
      <c r="N21" s="23" t="str">
        <f>IF(ISNUMBER(SEARCH("NON",UPPER(Raw_Data!M12))),"Non-Premium Learner","Premium Learner")</f>
        <v>Premium Learner</v>
      </c>
      <c r="O21" s="23" t="str">
        <f>PROPER(TRIM(Raw_Data!N12))</f>
        <v>App Only</v>
      </c>
      <c r="P21" s="24">
        <f>IF(Raw_Data!O12="",$C$7,Raw_Data!O12)</f>
        <v>97381.440000000002</v>
      </c>
      <c r="Q21" s="23" t="str">
        <f>IF(Raw_Data!O12="","Missing-Imputed","Original")</f>
        <v>Original</v>
      </c>
      <c r="R21" s="24">
        <f>Raw_Data!P12</f>
        <v>60.6</v>
      </c>
      <c r="S21" s="24">
        <f>Raw_Data!Q12</f>
        <v>33100.83</v>
      </c>
      <c r="T21" s="23" t="str">
        <f>IF(Raw_Data!R12="","Unknown",IF(ISNUMBER(SEARCH("ACT",UPPER(Raw_Data!R12))),"Active",IF(ISNUMBER(SEARCH("CLOS",UPPER(Raw_Data!R12))),"Closed","None")))</f>
        <v>Closed</v>
      </c>
      <c r="U21" s="24">
        <f>IF(Raw_Data!S12="",$C$8,VALUE(Raw_Data!S12))</f>
        <v>309</v>
      </c>
      <c r="V21" s="23" t="str">
        <f>IF(Raw_Data!S12="","Missing-Imputed","Original")</f>
        <v>Original</v>
      </c>
      <c r="W21" s="24">
        <f>Raw_Data!T12</f>
        <v>176</v>
      </c>
      <c r="X21" s="23" t="str">
        <f>IF(ISNUMBER(SEARCH("Y",UPPER(TRIM(Raw_Data!U12)))),"Yes","No")</f>
        <v>Yes</v>
      </c>
      <c r="Y21" s="23" t="str">
        <f>IF(ISNUMBER(SEARCH("Y",UPPER(TRIM(Raw_Data!V12)))),"Yes","No")</f>
        <v>No</v>
      </c>
      <c r="Z21" s="24">
        <f>Raw_Data!W12</f>
        <v>4</v>
      </c>
      <c r="AA21" s="24">
        <f>Raw_Data!X12</f>
        <v>1.6</v>
      </c>
      <c r="AB21" s="23" t="str">
        <f>IF(COUNTIFS(Raw_Data!$A$2:$A$616,Raw_Data!A12)&gt;1,"Duplicate","Unique")</f>
        <v>Unique</v>
      </c>
      <c r="AC21" s="23" t="str">
        <f t="shared" si="2"/>
        <v>Clean</v>
      </c>
    </row>
    <row r="22" spans="1:29" ht="15" customHeight="1">
      <c r="A22" s="25" t="str">
        <f>Raw_Data!A13</f>
        <v>BYJ1012</v>
      </c>
      <c r="B22" s="25" t="str">
        <f>Raw_Data!B13</f>
        <v>Kamala Pant</v>
      </c>
      <c r="C22" s="26">
        <f>IF(OR(Raw_Data!C13="",Raw_Data!C13&lt;$C$5,Raw_Data!C13&gt;$C$6),$C$4,Raw_Data!C13)</f>
        <v>8</v>
      </c>
      <c r="D22" s="25" t="str">
        <f>IF(Raw_Data!C13="","Missing-Imputed",IF(OR(Raw_Data!C13&lt;$C$5,Raw_Data!C13&gt;$C$6),"Outlier-Imputed","Original"))</f>
        <v>Original</v>
      </c>
      <c r="E22" s="25" t="str">
        <f>IF(OR(UPPER(TRIM(Raw_Data!D13))="M",UPPER(TRIM(Raw_Data!D13))="MALE"),"Male","Female")</f>
        <v>Female</v>
      </c>
      <c r="F22" s="25" t="str">
        <f>PROPER(TRIM(Raw_Data!E13))</f>
        <v>Shimoga</v>
      </c>
      <c r="G22" s="25" t="str">
        <f>PROPER(TRIM(Raw_Data!F13))</f>
        <v>Karnataka</v>
      </c>
      <c r="H22" s="25" t="str">
        <f>PROPER(TRIM(Raw_Data!G13))</f>
        <v>Neet Prep</v>
      </c>
      <c r="I22" s="25" t="str">
        <f>PROPER(TRIM(Raw_Data!H13))</f>
        <v>Jaipur Center</v>
      </c>
      <c r="J22" s="26">
        <f>IF(LEN(TRIM(Raw_Data!I13))=4,VALUE(TRIM(Raw_Data!I13)),IF(ISNUMBER(IFERROR(VALUE(MID(TRIM(Raw_Data!I13),1,4)),"NA")),VALUE(MID(TRIM(Raw_Data!I13),1,4)),VALUE(RIGHT(TRIM(Raw_Data!I13),4))))</f>
        <v>2022</v>
      </c>
      <c r="K22" s="25" t="str">
        <f>PROPER(TRIM(Raw_Data!J13))</f>
        <v>Business</v>
      </c>
      <c r="L22" s="25" t="str">
        <f t="shared" si="0"/>
        <v>Under 10</v>
      </c>
      <c r="M22" s="25" t="str">
        <f t="shared" si="1"/>
        <v>Kids</v>
      </c>
      <c r="N22" s="25" t="str">
        <f>IF(ISNUMBER(SEARCH("NON",UPPER(Raw_Data!M13))),"Non-Premium Learner","Premium Learner")</f>
        <v>Non-Premium Learner</v>
      </c>
      <c r="O22" s="25" t="str">
        <f>PROPER(TRIM(Raw_Data!N13))</f>
        <v>App Only</v>
      </c>
      <c r="P22" s="26">
        <f>IF(Raw_Data!O13="",$C$7,Raw_Data!O13)</f>
        <v>132805.35</v>
      </c>
      <c r="Q22" s="25" t="str">
        <f>IF(Raw_Data!O13="","Missing-Imputed","Original")</f>
        <v>Original</v>
      </c>
      <c r="R22" s="26">
        <f>Raw_Data!P13</f>
        <v>60.2</v>
      </c>
      <c r="S22" s="26">
        <f>Raw_Data!Q13</f>
        <v>19931.13</v>
      </c>
      <c r="T22" s="25" t="str">
        <f>IF(Raw_Data!R13="","Unknown",IF(ISNUMBER(SEARCH("ACT",UPPER(Raw_Data!R13))),"Active",IF(ISNUMBER(SEARCH("CLOS",UPPER(Raw_Data!R13))),"Closed","None")))</f>
        <v>Closed</v>
      </c>
      <c r="U22" s="26">
        <f>IF(Raw_Data!S13="",$C$8,VALUE(Raw_Data!S13))</f>
        <v>554</v>
      </c>
      <c r="V22" s="25" t="str">
        <f>IF(Raw_Data!S13="","Missing-Imputed","Original")</f>
        <v>Original</v>
      </c>
      <c r="W22" s="26">
        <f>Raw_Data!T13</f>
        <v>179</v>
      </c>
      <c r="X22" s="25" t="str">
        <f>IF(ISNUMBER(SEARCH("Y",UPPER(TRIM(Raw_Data!U13)))),"Yes","No")</f>
        <v>Yes</v>
      </c>
      <c r="Y22" s="25" t="str">
        <f>IF(ISNUMBER(SEARCH("Y",UPPER(TRIM(Raw_Data!V13)))),"Yes","No")</f>
        <v>Yes</v>
      </c>
      <c r="Z22" s="26">
        <f>Raw_Data!W13</f>
        <v>2</v>
      </c>
      <c r="AA22" s="26">
        <f>Raw_Data!X13</f>
        <v>2.2000000000000002</v>
      </c>
      <c r="AB22" s="25" t="str">
        <f>IF(COUNTIFS(Raw_Data!$A$2:$A$616,Raw_Data!A13)&gt;1,"Duplicate","Unique")</f>
        <v>Unique</v>
      </c>
      <c r="AC22" s="25" t="str">
        <f t="shared" si="2"/>
        <v>Clean</v>
      </c>
    </row>
    <row r="23" spans="1:29" ht="15" customHeight="1">
      <c r="A23" s="23" t="str">
        <f>Raw_Data!A14</f>
        <v>BYJ1013</v>
      </c>
      <c r="B23" s="23" t="str">
        <f>Raw_Data!B14</f>
        <v>Onveer Walla</v>
      </c>
      <c r="C23" s="24">
        <f>IF(OR(Raw_Data!C14="",Raw_Data!C14&lt;$C$5,Raw_Data!C14&gt;$C$6),$C$4,Raw_Data!C14)</f>
        <v>20</v>
      </c>
      <c r="D23" s="23" t="str">
        <f>IF(Raw_Data!C14="","Missing-Imputed",IF(OR(Raw_Data!C14&lt;$C$5,Raw_Data!C14&gt;$C$6),"Outlier-Imputed","Original"))</f>
        <v>Original</v>
      </c>
      <c r="E23" s="23" t="str">
        <f>IF(OR(UPPER(TRIM(Raw_Data!D14))="M",UPPER(TRIM(Raw_Data!D14))="MALE"),"Male","Female")</f>
        <v>Male</v>
      </c>
      <c r="F23" s="23" t="str">
        <f>PROPER(TRIM(Raw_Data!E14))</f>
        <v>Ujjain</v>
      </c>
      <c r="G23" s="23" t="str">
        <f>PROPER(TRIM(Raw_Data!F14))</f>
        <v>West Bengal</v>
      </c>
      <c r="H23" s="23" t="str">
        <f>PROPER(TRIM(Raw_Data!G14))</f>
        <v>Neet Prep</v>
      </c>
      <c r="I23" s="23" t="str">
        <f>PROPER(TRIM(Raw_Data!H14))</f>
        <v>Hyderabad Hub</v>
      </c>
      <c r="J23" s="24">
        <f>IF(LEN(TRIM(Raw_Data!I14))=4,VALUE(TRIM(Raw_Data!I14)),IF(ISNUMBER(IFERROR(VALUE(MID(TRIM(Raw_Data!I14),1,4)),"NA")),VALUE(MID(TRIM(Raw_Data!I14),1,4)),VALUE(RIGHT(TRIM(Raw_Data!I14),4))))</f>
        <v>2017</v>
      </c>
      <c r="K23" s="23" t="str">
        <f>PROPER(TRIM(Raw_Data!J14))</f>
        <v>Retired</v>
      </c>
      <c r="L23" s="23" t="str">
        <f t="shared" si="0"/>
        <v>20+</v>
      </c>
      <c r="M23" s="23" t="str">
        <f t="shared" si="1"/>
        <v>Adult Learners</v>
      </c>
      <c r="N23" s="23" t="str">
        <f>IF(ISNUMBER(SEARCH("NON",UPPER(Raw_Data!M14))),"Non-Premium Learner","Premium Learner")</f>
        <v>Non-Premium Learner</v>
      </c>
      <c r="O23" s="23" t="str">
        <f>PROPER(TRIM(Raw_Data!N14))</f>
        <v>App Only</v>
      </c>
      <c r="P23" s="24">
        <f>IF(Raw_Data!O14="",$C$7,Raw_Data!O14)</f>
        <v>21724.55</v>
      </c>
      <c r="Q23" s="23" t="str">
        <f>IF(Raw_Data!O14="","Missing-Imputed","Original")</f>
        <v>Original</v>
      </c>
      <c r="R23" s="24">
        <f>Raw_Data!P14</f>
        <v>18.399999999999999</v>
      </c>
      <c r="S23" s="24">
        <f>Raw_Data!Q14</f>
        <v>57752.06</v>
      </c>
      <c r="T23" s="23" t="str">
        <f>IF(Raw_Data!R14="","Unknown",IF(ISNUMBER(SEARCH("ACT",UPPER(Raw_Data!R14))),"Active",IF(ISNUMBER(SEARCH("CLOS",UPPER(Raw_Data!R14))),"Closed","None")))</f>
        <v>Closed</v>
      </c>
      <c r="U23" s="24">
        <f>IF(Raw_Data!S14="",$C$8,VALUE(Raw_Data!S14))</f>
        <v>411</v>
      </c>
      <c r="V23" s="23" t="str">
        <f>IF(Raw_Data!S14="","Missing-Imputed","Original")</f>
        <v>Original</v>
      </c>
      <c r="W23" s="24">
        <f>Raw_Data!T14</f>
        <v>88</v>
      </c>
      <c r="X23" s="23" t="str">
        <f>IF(ISNUMBER(SEARCH("Y",UPPER(TRIM(Raw_Data!U14)))),"Yes","No")</f>
        <v>No</v>
      </c>
      <c r="Y23" s="23" t="str">
        <f>IF(ISNUMBER(SEARCH("Y",UPPER(TRIM(Raw_Data!V14)))),"Yes","No")</f>
        <v>Yes</v>
      </c>
      <c r="Z23" s="24">
        <f>Raw_Data!W14</f>
        <v>5</v>
      </c>
      <c r="AA23" s="24">
        <f>Raw_Data!X14</f>
        <v>2.1</v>
      </c>
      <c r="AB23" s="23" t="str">
        <f>IF(COUNTIFS(Raw_Data!$A$2:$A$616,Raw_Data!A14)&gt;1,"Duplicate","Unique")</f>
        <v>Unique</v>
      </c>
      <c r="AC23" s="23" t="str">
        <f t="shared" si="2"/>
        <v>Clean</v>
      </c>
    </row>
    <row r="24" spans="1:29" ht="15" customHeight="1">
      <c r="A24" s="25" t="str">
        <f>Raw_Data!A15</f>
        <v>BYJ1014</v>
      </c>
      <c r="B24" s="25" t="str">
        <f>Raw_Data!B15</f>
        <v xml:space="preserve">  Ladli Madan  </v>
      </c>
      <c r="C24" s="26">
        <f>IF(OR(Raw_Data!C15="",Raw_Data!C15&lt;$C$5,Raw_Data!C15&gt;$C$6),$C$4,Raw_Data!C15)</f>
        <v>39</v>
      </c>
      <c r="D24" s="25" t="str">
        <f>IF(Raw_Data!C15="","Missing-Imputed",IF(OR(Raw_Data!C15&lt;$C$5,Raw_Data!C15&gt;$C$6),"Outlier-Imputed","Original"))</f>
        <v>Original</v>
      </c>
      <c r="E24" s="25" t="str">
        <f>IF(OR(UPPER(TRIM(Raw_Data!D15))="M",UPPER(TRIM(Raw_Data!D15))="MALE"),"Male","Female")</f>
        <v>Male</v>
      </c>
      <c r="F24" s="25" t="str">
        <f>PROPER(TRIM(Raw_Data!E15))</f>
        <v>Anantapur</v>
      </c>
      <c r="G24" s="25" t="str">
        <f>PROPER(TRIM(Raw_Data!F15))</f>
        <v>Gujarat</v>
      </c>
      <c r="H24" s="25" t="str">
        <f>PROPER(TRIM(Raw_Data!G15))</f>
        <v>Neet Prep</v>
      </c>
      <c r="I24" s="25" t="str">
        <f>PROPER(TRIM(Raw_Data!H15))</f>
        <v>Bengaluru South</v>
      </c>
      <c r="J24" s="26">
        <f>IF(LEN(TRIM(Raw_Data!I15))=4,VALUE(TRIM(Raw_Data!I15)),IF(ISNUMBER(IFERROR(VALUE(MID(TRIM(Raw_Data!I15),1,4)),"NA")),VALUE(MID(TRIM(Raw_Data!I15),1,4)),VALUE(RIGHT(TRIM(Raw_Data!I15),4))))</f>
        <v>2020</v>
      </c>
      <c r="K24" s="25" t="str">
        <f>PROPER(TRIM(Raw_Data!J15))</f>
        <v>Homemaker</v>
      </c>
      <c r="L24" s="25" t="str">
        <f t="shared" si="0"/>
        <v>20+</v>
      </c>
      <c r="M24" s="25" t="str">
        <f t="shared" si="1"/>
        <v>Adult Learners</v>
      </c>
      <c r="N24" s="25" t="str">
        <f>IF(ISNUMBER(SEARCH("NON",UPPER(Raw_Data!M15))),"Non-Premium Learner","Premium Learner")</f>
        <v>Non-Premium Learner</v>
      </c>
      <c r="O24" s="25" t="str">
        <f>PROPER(TRIM(Raw_Data!N15))</f>
        <v>App Only</v>
      </c>
      <c r="P24" s="26">
        <f>IF(Raw_Data!O15="",$C$7,Raw_Data!O15)</f>
        <v>32816.81</v>
      </c>
      <c r="Q24" s="25" t="str">
        <f>IF(Raw_Data!O15="","Missing-Imputed","Original")</f>
        <v>Original</v>
      </c>
      <c r="R24" s="26">
        <f>Raw_Data!P15</f>
        <v>33.4</v>
      </c>
      <c r="S24" s="26">
        <f>Raw_Data!Q15</f>
        <v>44888.07</v>
      </c>
      <c r="T24" s="25" t="str">
        <f>IF(Raw_Data!R15="","Unknown",IF(ISNUMBER(SEARCH("ACT",UPPER(Raw_Data!R15))),"Active",IF(ISNUMBER(SEARCH("CLOS",UPPER(Raw_Data!R15))),"Closed","None")))</f>
        <v>Active</v>
      </c>
      <c r="U24" s="26">
        <f>IF(Raw_Data!S15="",$C$8,VALUE(Raw_Data!S15))</f>
        <v>715</v>
      </c>
      <c r="V24" s="25" t="str">
        <f>IF(Raw_Data!S15="","Missing-Imputed","Original")</f>
        <v>Original</v>
      </c>
      <c r="W24" s="26">
        <f>Raw_Data!T15</f>
        <v>0</v>
      </c>
      <c r="X24" s="25" t="str">
        <f>IF(ISNUMBER(SEARCH("Y",UPPER(TRIM(Raw_Data!U15)))),"Yes","No")</f>
        <v>No</v>
      </c>
      <c r="Y24" s="25" t="str">
        <f>IF(ISNUMBER(SEARCH("Y",UPPER(TRIM(Raw_Data!V15)))),"Yes","No")</f>
        <v>Yes</v>
      </c>
      <c r="Z24" s="26">
        <f>Raw_Data!W15</f>
        <v>5</v>
      </c>
      <c r="AA24" s="26">
        <f>Raw_Data!X15</f>
        <v>5.7</v>
      </c>
      <c r="AB24" s="25" t="str">
        <f>IF(COUNTIFS(Raw_Data!$A$2:$A$616,Raw_Data!A15)&gt;1,"Duplicate","Unique")</f>
        <v>Unique</v>
      </c>
      <c r="AC24" s="25" t="str">
        <f t="shared" si="2"/>
        <v>Clean</v>
      </c>
    </row>
    <row r="25" spans="1:29" ht="15" customHeight="1">
      <c r="A25" s="23" t="str">
        <f>Raw_Data!A16</f>
        <v>BYJ1015</v>
      </c>
      <c r="B25" s="23" t="str">
        <f>Raw_Data!B16</f>
        <v>Veer Balay</v>
      </c>
      <c r="C25" s="24">
        <f>IF(OR(Raw_Data!C16="",Raw_Data!C16&lt;$C$5,Raw_Data!C16&gt;$C$6),$C$4,Raw_Data!C16)</f>
        <v>19</v>
      </c>
      <c r="D25" s="23" t="str">
        <f>IF(Raw_Data!C16="","Missing-Imputed",IF(OR(Raw_Data!C16&lt;$C$5,Raw_Data!C16&gt;$C$6),"Outlier-Imputed","Original"))</f>
        <v>Original</v>
      </c>
      <c r="E25" s="23" t="str">
        <f>IF(OR(UPPER(TRIM(Raw_Data!D16))="M",UPPER(TRIM(Raw_Data!D16))="MALE"),"Male","Female")</f>
        <v>Female</v>
      </c>
      <c r="F25" s="23" t="str">
        <f>PROPER(TRIM(Raw_Data!E16))</f>
        <v>Rewa</v>
      </c>
      <c r="G25" s="23" t="str">
        <f>PROPER(TRIM(Raw_Data!F16))</f>
        <v>Telangana</v>
      </c>
      <c r="H25" s="23" t="str">
        <f>PROPER(TRIM(Raw_Data!G16))</f>
        <v>Neet Prep</v>
      </c>
      <c r="I25" s="23" t="str">
        <f>PROPER(TRIM(Raw_Data!H16))</f>
        <v>Bengaluru South</v>
      </c>
      <c r="J25" s="24">
        <f>IF(LEN(TRIM(Raw_Data!I16))=4,VALUE(TRIM(Raw_Data!I16)),IF(ISNUMBER(IFERROR(VALUE(MID(TRIM(Raw_Data!I16),1,4)),"NA")),VALUE(MID(TRIM(Raw_Data!I16),1,4)),VALUE(RIGHT(TRIM(Raw_Data!I16),4))))</f>
        <v>2019</v>
      </c>
      <c r="K25" s="23" t="str">
        <f>PROPER(TRIM(Raw_Data!J16))</f>
        <v>Business</v>
      </c>
      <c r="L25" s="23" t="str">
        <f t="shared" si="0"/>
        <v>17-19</v>
      </c>
      <c r="M25" s="23" t="str">
        <f t="shared" si="1"/>
        <v>Teens</v>
      </c>
      <c r="N25" s="23" t="str">
        <f>IF(ISNUMBER(SEARCH("NON",UPPER(Raw_Data!M16))),"Non-Premium Learner","Premium Learner")</f>
        <v>Premium Learner</v>
      </c>
      <c r="O25" s="23" t="str">
        <f>PROPER(TRIM(Raw_Data!N16))</f>
        <v>Web Only</v>
      </c>
      <c r="P25" s="24">
        <f>IF(Raw_Data!O16="",$C$7,Raw_Data!O16)</f>
        <v>93634.73</v>
      </c>
      <c r="Q25" s="23" t="str">
        <f>IF(Raw_Data!O16="","Missing-Imputed","Original")</f>
        <v>Original</v>
      </c>
      <c r="R25" s="24">
        <f>Raw_Data!P16</f>
        <v>39.200000000000003</v>
      </c>
      <c r="S25" s="24">
        <f>Raw_Data!Q16</f>
        <v>53168.21</v>
      </c>
      <c r="T25" s="23" t="str">
        <f>IF(Raw_Data!R16="","Unknown",IF(ISNUMBER(SEARCH("ACT",UPPER(Raw_Data!R16))),"Active",IF(ISNUMBER(SEARCH("CLOS",UPPER(Raw_Data!R16))),"Closed","None")))</f>
        <v>None</v>
      </c>
      <c r="U25" s="24">
        <f>IF(Raw_Data!S16="",$C$8,VALUE(Raw_Data!S16))</f>
        <v>693</v>
      </c>
      <c r="V25" s="23" t="str">
        <f>IF(Raw_Data!S16="","Missing-Imputed","Original")</f>
        <v>Original</v>
      </c>
      <c r="W25" s="24">
        <f>Raw_Data!T16</f>
        <v>62</v>
      </c>
      <c r="X25" s="23" t="str">
        <f>IF(ISNUMBER(SEARCH("Y",UPPER(TRIM(Raw_Data!U16)))),"Yes","No")</f>
        <v>Yes</v>
      </c>
      <c r="Y25" s="23" t="str">
        <f>IF(ISNUMBER(SEARCH("Y",UPPER(TRIM(Raw_Data!V16)))),"Yes","No")</f>
        <v>Yes</v>
      </c>
      <c r="Z25" s="24">
        <f>Raw_Data!W16</f>
        <v>2</v>
      </c>
      <c r="AA25" s="24">
        <f>Raw_Data!X16</f>
        <v>2</v>
      </c>
      <c r="AB25" s="23" t="str">
        <f>IF(COUNTIFS(Raw_Data!$A$2:$A$616,Raw_Data!A16)&gt;1,"Duplicate","Unique")</f>
        <v>Unique</v>
      </c>
      <c r="AC25" s="23" t="str">
        <f t="shared" si="2"/>
        <v>Clean</v>
      </c>
    </row>
    <row r="26" spans="1:29" ht="15" customHeight="1">
      <c r="A26" s="25" t="str">
        <f>Raw_Data!A17</f>
        <v>BYJ1016</v>
      </c>
      <c r="B26" s="25" t="str">
        <f>Raw_Data!B17</f>
        <v>Dominic Kakar</v>
      </c>
      <c r="C26" s="26">
        <f>IF(OR(Raw_Data!C17="",Raw_Data!C17&lt;$C$5,Raw_Data!C17&gt;$C$6),$C$4,Raw_Data!C17)</f>
        <v>9</v>
      </c>
      <c r="D26" s="25" t="str">
        <f>IF(Raw_Data!C17="","Missing-Imputed",IF(OR(Raw_Data!C17&lt;$C$5,Raw_Data!C17&gt;$C$6),"Outlier-Imputed","Original"))</f>
        <v>Original</v>
      </c>
      <c r="E26" s="25" t="str">
        <f>IF(OR(UPPER(TRIM(Raw_Data!D17))="M",UPPER(TRIM(Raw_Data!D17))="MALE"),"Male","Female")</f>
        <v>Male</v>
      </c>
      <c r="F26" s="25" t="str">
        <f>PROPER(TRIM(Raw_Data!E17))</f>
        <v>Rajpur Sonarpur</v>
      </c>
      <c r="G26" s="25" t="str">
        <f>PROPER(TRIM(Raw_Data!F17))</f>
        <v>Rajasthan</v>
      </c>
      <c r="H26" s="25" t="str">
        <f>PROPER(TRIM(Raw_Data!G17))</f>
        <v>Neet Prep</v>
      </c>
      <c r="I26" s="25" t="str">
        <f>PROPER(TRIM(Raw_Data!H17))</f>
        <v>Ahmedabad Center</v>
      </c>
      <c r="J26" s="26">
        <f>IF(LEN(TRIM(Raw_Data!I17))=4,VALUE(TRIM(Raw_Data!I17)),IF(ISNUMBER(IFERROR(VALUE(MID(TRIM(Raw_Data!I17),1,4)),"NA")),VALUE(MID(TRIM(Raw_Data!I17),1,4)),VALUE(RIGHT(TRIM(Raw_Data!I17),4))))</f>
        <v>2025</v>
      </c>
      <c r="K26" s="25" t="str">
        <f>PROPER(TRIM(Raw_Data!J17))</f>
        <v>Government Employee</v>
      </c>
      <c r="L26" s="25" t="str">
        <f t="shared" si="0"/>
        <v>Under 10</v>
      </c>
      <c r="M26" s="25" t="str">
        <f t="shared" si="1"/>
        <v>Kids</v>
      </c>
      <c r="N26" s="25" t="str">
        <f>IF(ISNUMBER(SEARCH("NON",UPPER(Raw_Data!M17))),"Non-Premium Learner","Premium Learner")</f>
        <v>Non-Premium Learner</v>
      </c>
      <c r="O26" s="25" t="str">
        <f>PROPER(TRIM(Raw_Data!N17))</f>
        <v>Web Only</v>
      </c>
      <c r="P26" s="26">
        <f>IF(Raw_Data!O17="",$C$7,Raw_Data!O17)</f>
        <v>70260.11</v>
      </c>
      <c r="Q26" s="25" t="str">
        <f>IF(Raw_Data!O17="","Missing-Imputed","Original")</f>
        <v>Original</v>
      </c>
      <c r="R26" s="26">
        <f>Raw_Data!P17</f>
        <v>68</v>
      </c>
      <c r="S26" s="26">
        <f>Raw_Data!Q17</f>
        <v>16638.68</v>
      </c>
      <c r="T26" s="25" t="str">
        <f>IF(Raw_Data!R17="","Unknown",IF(ISNUMBER(SEARCH("ACT",UPPER(Raw_Data!R17))),"Active",IF(ISNUMBER(SEARCH("CLOS",UPPER(Raw_Data!R17))),"Closed","None")))</f>
        <v>None</v>
      </c>
      <c r="U26" s="26">
        <f>IF(Raw_Data!S17="",$C$8,VALUE(Raw_Data!S17))</f>
        <v>544</v>
      </c>
      <c r="V26" s="25" t="str">
        <f>IF(Raw_Data!S17="","Missing-Imputed","Original")</f>
        <v>Original</v>
      </c>
      <c r="W26" s="26">
        <f>Raw_Data!T17</f>
        <v>19</v>
      </c>
      <c r="X26" s="25" t="str">
        <f>IF(ISNUMBER(SEARCH("Y",UPPER(TRIM(Raw_Data!U17)))),"Yes","No")</f>
        <v>No</v>
      </c>
      <c r="Y26" s="25" t="str">
        <f>IF(ISNUMBER(SEARCH("Y",UPPER(TRIM(Raw_Data!V17)))),"Yes","No")</f>
        <v>No</v>
      </c>
      <c r="Z26" s="26">
        <f>Raw_Data!W17</f>
        <v>3</v>
      </c>
      <c r="AA26" s="26">
        <f>Raw_Data!X17</f>
        <v>8.1</v>
      </c>
      <c r="AB26" s="25" t="str">
        <f>IF(COUNTIFS(Raw_Data!$A$2:$A$616,Raw_Data!A17)&gt;1,"Duplicate","Unique")</f>
        <v>Unique</v>
      </c>
      <c r="AC26" s="25" t="str">
        <f t="shared" si="2"/>
        <v>Clean</v>
      </c>
    </row>
    <row r="27" spans="1:29" ht="15" customHeight="1">
      <c r="A27" s="23" t="str">
        <f>Raw_Data!A18</f>
        <v>BYJ1017</v>
      </c>
      <c r="B27" s="23" t="str">
        <f>Raw_Data!B18</f>
        <v>Meghana Shanker</v>
      </c>
      <c r="C27" s="24">
        <f>IF(OR(Raw_Data!C18="",Raw_Data!C18&lt;$C$5,Raw_Data!C18&gt;$C$6),$C$4,Raw_Data!C18)</f>
        <v>30</v>
      </c>
      <c r="D27" s="23" t="str">
        <f>IF(Raw_Data!C18="","Missing-Imputed",IF(OR(Raw_Data!C18&lt;$C$5,Raw_Data!C18&gt;$C$6),"Outlier-Imputed","Original"))</f>
        <v>Original</v>
      </c>
      <c r="E27" s="23" t="str">
        <f>IF(OR(UPPER(TRIM(Raw_Data!D18))="M",UPPER(TRIM(Raw_Data!D18))="MALE"),"Male","Female")</f>
        <v>Male</v>
      </c>
      <c r="F27" s="23" t="str">
        <f>PROPER(TRIM(Raw_Data!E18))</f>
        <v>Bilaspur</v>
      </c>
      <c r="G27" s="23" t="str">
        <f>PROPER(TRIM(Raw_Data!F18))</f>
        <v>West Bengal</v>
      </c>
      <c r="H27" s="23" t="str">
        <f>PROPER(TRIM(Raw_Data!G18))</f>
        <v>Neet Prep</v>
      </c>
      <c r="I27" s="23" t="str">
        <f>PROPER(TRIM(Raw_Data!H18))</f>
        <v>Jaipur Center</v>
      </c>
      <c r="J27" s="24">
        <f>IF(LEN(TRIM(Raw_Data!I18))=4,VALUE(TRIM(Raw_Data!I18)),IF(ISNUMBER(IFERROR(VALUE(MID(TRIM(Raw_Data!I18),1,4)),"NA")),VALUE(MID(TRIM(Raw_Data!I18),1,4)),VALUE(RIGHT(TRIM(Raw_Data!I18),4))))</f>
        <v>2023</v>
      </c>
      <c r="K27" s="23" t="str">
        <f>PROPER(TRIM(Raw_Data!J18))</f>
        <v>Self-Employed</v>
      </c>
      <c r="L27" s="23" t="str">
        <f t="shared" si="0"/>
        <v>20+</v>
      </c>
      <c r="M27" s="23" t="str">
        <f t="shared" si="1"/>
        <v>Adult Learners</v>
      </c>
      <c r="N27" s="23" t="str">
        <f>IF(ISNUMBER(SEARCH("NON",UPPER(Raw_Data!M18))),"Non-Premium Learner","Premium Learner")</f>
        <v>Non-Premium Learner</v>
      </c>
      <c r="O27" s="23" t="str">
        <f>PROPER(TRIM(Raw_Data!N18))</f>
        <v>Both App &amp; Web</v>
      </c>
      <c r="P27" s="24">
        <f>IF(Raw_Data!O18="",$C$7,Raw_Data!O18)</f>
        <v>7832.13</v>
      </c>
      <c r="Q27" s="23" t="str">
        <f>IF(Raw_Data!O18="","Missing-Imputed","Original")</f>
        <v>Original</v>
      </c>
      <c r="R27" s="24">
        <f>Raw_Data!P18</f>
        <v>48.2</v>
      </c>
      <c r="S27" s="24">
        <f>Raw_Data!Q18</f>
        <v>28618.78</v>
      </c>
      <c r="T27" s="23" t="str">
        <f>IF(Raw_Data!R18="","Unknown",IF(ISNUMBER(SEARCH("ACT",UPPER(Raw_Data!R18))),"Active",IF(ISNUMBER(SEARCH("CLOS",UPPER(Raw_Data!R18))),"Closed","None")))</f>
        <v>Closed</v>
      </c>
      <c r="U27" s="24">
        <f>IF(Raw_Data!S18="",$C$8,VALUE(Raw_Data!S18))</f>
        <v>699</v>
      </c>
      <c r="V27" s="23" t="str">
        <f>IF(Raw_Data!S18="","Missing-Imputed","Original")</f>
        <v>Original</v>
      </c>
      <c r="W27" s="24">
        <f>Raw_Data!T18</f>
        <v>107</v>
      </c>
      <c r="X27" s="23" t="str">
        <f>IF(ISNUMBER(SEARCH("Y",UPPER(TRIM(Raw_Data!U18)))),"Yes","No")</f>
        <v>Yes</v>
      </c>
      <c r="Y27" s="23" t="str">
        <f>IF(ISNUMBER(SEARCH("Y",UPPER(TRIM(Raw_Data!V18)))),"Yes","No")</f>
        <v>Yes</v>
      </c>
      <c r="Z27" s="24">
        <f>Raw_Data!W18</f>
        <v>4</v>
      </c>
      <c r="AA27" s="24">
        <f>Raw_Data!X18</f>
        <v>4.5999999999999996</v>
      </c>
      <c r="AB27" s="23" t="str">
        <f>IF(COUNTIFS(Raw_Data!$A$2:$A$616,Raw_Data!A18)&gt;1,"Duplicate","Unique")</f>
        <v>Unique</v>
      </c>
      <c r="AC27" s="23" t="str">
        <f t="shared" si="2"/>
        <v>Clean</v>
      </c>
    </row>
    <row r="28" spans="1:29" ht="15" customHeight="1">
      <c r="A28" s="25" t="str">
        <f>Raw_Data!A19</f>
        <v>BYJ1018</v>
      </c>
      <c r="B28" s="25" t="str">
        <f>Raw_Data!B19</f>
        <v>Yatin Yohannan</v>
      </c>
      <c r="C28" s="26">
        <f>IF(OR(Raw_Data!C19="",Raw_Data!C19&lt;$C$5,Raw_Data!C19&gt;$C$6),$C$4,Raw_Data!C19)</f>
        <v>31</v>
      </c>
      <c r="D28" s="25" t="str">
        <f>IF(Raw_Data!C19="","Missing-Imputed",IF(OR(Raw_Data!C19&lt;$C$5,Raw_Data!C19&gt;$C$6),"Outlier-Imputed","Original"))</f>
        <v>Original</v>
      </c>
      <c r="E28" s="25" t="str">
        <f>IF(OR(UPPER(TRIM(Raw_Data!D19))="M",UPPER(TRIM(Raw_Data!D19))="MALE"),"Male","Female")</f>
        <v>Male</v>
      </c>
      <c r="F28" s="25" t="str">
        <f>PROPER(TRIM(Raw_Data!E19))</f>
        <v>Bhimavaram</v>
      </c>
      <c r="G28" s="25" t="str">
        <f>PROPER(TRIM(Raw_Data!F19))</f>
        <v>Kerala</v>
      </c>
      <c r="H28" s="25" t="str">
        <f>PROPER(TRIM(Raw_Data!G19))</f>
        <v>Coding</v>
      </c>
      <c r="I28" s="25" t="str">
        <f>PROPER(TRIM(Raw_Data!H19))</f>
        <v>Kolkata Main</v>
      </c>
      <c r="J28" s="26">
        <f>IF(LEN(TRIM(Raw_Data!I19))=4,VALUE(TRIM(Raw_Data!I19)),IF(ISNUMBER(IFERROR(VALUE(MID(TRIM(Raw_Data!I19),1,4)),"NA")),VALUE(MID(TRIM(Raw_Data!I19),1,4)),VALUE(RIGHT(TRIM(Raw_Data!I19),4))))</f>
        <v>2025</v>
      </c>
      <c r="K28" s="25" t="str">
        <f>PROPER(TRIM(Raw_Data!J19))</f>
        <v>Salaried</v>
      </c>
      <c r="L28" s="25" t="str">
        <f t="shared" si="0"/>
        <v>20+</v>
      </c>
      <c r="M28" s="25" t="str">
        <f t="shared" si="1"/>
        <v>Adult Learners</v>
      </c>
      <c r="N28" s="25" t="str">
        <f>IF(ISNUMBER(SEARCH("NON",UPPER(Raw_Data!M19))),"Non-Premium Learner","Premium Learner")</f>
        <v>Non-Premium Learner</v>
      </c>
      <c r="O28" s="25" t="str">
        <f>PROPER(TRIM(Raw_Data!N19))</f>
        <v>Web Only</v>
      </c>
      <c r="P28" s="26">
        <f>IF(Raw_Data!O19="",$C$7,Raw_Data!O19)</f>
        <v>31350.71</v>
      </c>
      <c r="Q28" s="25" t="str">
        <f>IF(Raw_Data!O19="","Missing-Imputed","Original")</f>
        <v>Original</v>
      </c>
      <c r="R28" s="26">
        <f>Raw_Data!P19</f>
        <v>29.6</v>
      </c>
      <c r="S28" s="26">
        <f>Raw_Data!Q19</f>
        <v>27281.96</v>
      </c>
      <c r="T28" s="25" t="str">
        <f>IF(Raw_Data!R19="","Unknown",IF(ISNUMBER(SEARCH("ACT",UPPER(Raw_Data!R19))),"Active",IF(ISNUMBER(SEARCH("CLOS",UPPER(Raw_Data!R19))),"Closed","None")))</f>
        <v>Closed</v>
      </c>
      <c r="U28" s="26">
        <f>IF(Raw_Data!S19="",$C$8,VALUE(Raw_Data!S19))</f>
        <v>584</v>
      </c>
      <c r="V28" s="25" t="str">
        <f>IF(Raw_Data!S19="","Missing-Imputed","Original")</f>
        <v>Original</v>
      </c>
      <c r="W28" s="26">
        <f>Raw_Data!T19</f>
        <v>107</v>
      </c>
      <c r="X28" s="25" t="str">
        <f>IF(ISNUMBER(SEARCH("Y",UPPER(TRIM(Raw_Data!U19)))),"Yes","No")</f>
        <v>No</v>
      </c>
      <c r="Y28" s="25" t="str">
        <f>IF(ISNUMBER(SEARCH("Y",UPPER(TRIM(Raw_Data!V19)))),"Yes","No")</f>
        <v>No</v>
      </c>
      <c r="Z28" s="26">
        <f>Raw_Data!W19</f>
        <v>5</v>
      </c>
      <c r="AA28" s="26">
        <f>Raw_Data!X19</f>
        <v>0.9</v>
      </c>
      <c r="AB28" s="25" t="str">
        <f>IF(COUNTIFS(Raw_Data!$A$2:$A$616,Raw_Data!A19)&gt;1,"Duplicate","Unique")</f>
        <v>Unique</v>
      </c>
      <c r="AC28" s="25" t="str">
        <f t="shared" si="2"/>
        <v>Clean</v>
      </c>
    </row>
    <row r="29" spans="1:29" ht="15" customHeight="1">
      <c r="A29" s="23" t="str">
        <f>Raw_Data!A20</f>
        <v>BYJ1019</v>
      </c>
      <c r="B29" s="23" t="str">
        <f>Raw_Data!B20</f>
        <v>Mohini Pathak</v>
      </c>
      <c r="C29" s="24">
        <f>IF(OR(Raw_Data!C20="",Raw_Data!C20&lt;$C$5,Raw_Data!C20&gt;$C$6),$C$4,Raw_Data!C20)</f>
        <v>10</v>
      </c>
      <c r="D29" s="23" t="str">
        <f>IF(Raw_Data!C20="","Missing-Imputed",IF(OR(Raw_Data!C20&lt;$C$5,Raw_Data!C20&gt;$C$6),"Outlier-Imputed","Original"))</f>
        <v>Original</v>
      </c>
      <c r="E29" s="23" t="str">
        <f>IF(OR(UPPER(TRIM(Raw_Data!D20))="M",UPPER(TRIM(Raw_Data!D20))="MALE"),"Male","Female")</f>
        <v>Male</v>
      </c>
      <c r="F29" s="23" t="str">
        <f>PROPER(TRIM(Raw_Data!E20))</f>
        <v>Durgapur</v>
      </c>
      <c r="G29" s="23" t="str">
        <f>PROPER(TRIM(Raw_Data!F20))</f>
        <v>Delhi</v>
      </c>
      <c r="H29" s="23" t="str">
        <f>PROPER(TRIM(Raw_Data!G20))</f>
        <v>Coding</v>
      </c>
      <c r="I29" s="23" t="str">
        <f>PROPER(TRIM(Raw_Data!H20))</f>
        <v>Lucknow Hub</v>
      </c>
      <c r="J29" s="24">
        <f>IF(LEN(TRIM(Raw_Data!I20))=4,VALUE(TRIM(Raw_Data!I20)),IF(ISNUMBER(IFERROR(VALUE(MID(TRIM(Raw_Data!I20),1,4)),"NA")),VALUE(MID(TRIM(Raw_Data!I20),1,4)),VALUE(RIGHT(TRIM(Raw_Data!I20),4))))</f>
        <v>2018</v>
      </c>
      <c r="K29" s="23" t="str">
        <f>PROPER(TRIM(Raw_Data!J20))</f>
        <v>Retired</v>
      </c>
      <c r="L29" s="23" t="str">
        <f t="shared" si="0"/>
        <v>10-13</v>
      </c>
      <c r="M29" s="23" t="str">
        <f t="shared" si="1"/>
        <v>Kids</v>
      </c>
      <c r="N29" s="23" t="str">
        <f>IF(ISNUMBER(SEARCH("NON",UPPER(Raw_Data!M20))),"Non-Premium Learner","Premium Learner")</f>
        <v>Premium Learner</v>
      </c>
      <c r="O29" s="23" t="str">
        <f>PROPER(TRIM(Raw_Data!N20))</f>
        <v>Web Only</v>
      </c>
      <c r="P29" s="24">
        <f>IF(Raw_Data!O20="",$C$7,Raw_Data!O20)</f>
        <v>106422.42</v>
      </c>
      <c r="Q29" s="23" t="str">
        <f>IF(Raw_Data!O20="","Missing-Imputed","Original")</f>
        <v>Original</v>
      </c>
      <c r="R29" s="24">
        <f>Raw_Data!P20</f>
        <v>17.600000000000001</v>
      </c>
      <c r="S29" s="24">
        <f>Raw_Data!Q20</f>
        <v>36434.85</v>
      </c>
      <c r="T29" s="23" t="str">
        <f>IF(Raw_Data!R20="","Unknown",IF(ISNUMBER(SEARCH("ACT",UPPER(Raw_Data!R20))),"Active",IF(ISNUMBER(SEARCH("CLOS",UPPER(Raw_Data!R20))),"Closed","None")))</f>
        <v>None</v>
      </c>
      <c r="U29" s="24">
        <f>IF(Raw_Data!S20="",$C$8,VALUE(Raw_Data!S20))</f>
        <v>467</v>
      </c>
      <c r="V29" s="23" t="str">
        <f>IF(Raw_Data!S20="","Missing-Imputed","Original")</f>
        <v>Original</v>
      </c>
      <c r="W29" s="24">
        <f>Raw_Data!T20</f>
        <v>27</v>
      </c>
      <c r="X29" s="23" t="str">
        <f>IF(ISNUMBER(SEARCH("Y",UPPER(TRIM(Raw_Data!U20)))),"Yes","No")</f>
        <v>Yes</v>
      </c>
      <c r="Y29" s="23" t="str">
        <f>IF(ISNUMBER(SEARCH("Y",UPPER(TRIM(Raw_Data!V20)))),"Yes","No")</f>
        <v>No</v>
      </c>
      <c r="Z29" s="24">
        <f>Raw_Data!W20</f>
        <v>2</v>
      </c>
      <c r="AA29" s="24">
        <f>Raw_Data!X20</f>
        <v>1.1000000000000001</v>
      </c>
      <c r="AB29" s="23" t="str">
        <f>IF(COUNTIFS(Raw_Data!$A$2:$A$616,Raw_Data!A20)&gt;1,"Duplicate","Unique")</f>
        <v>Unique</v>
      </c>
      <c r="AC29" s="23" t="str">
        <f t="shared" si="2"/>
        <v>Clean</v>
      </c>
    </row>
    <row r="30" spans="1:29" ht="15" customHeight="1">
      <c r="A30" s="25" t="str">
        <f>Raw_Data!A21</f>
        <v>BYJ1020</v>
      </c>
      <c r="B30" s="25" t="str">
        <f>Raw_Data!B21</f>
        <v>Gavin Batta</v>
      </c>
      <c r="C30" s="26">
        <f>IF(OR(Raw_Data!C21="",Raw_Data!C21&lt;$C$5,Raw_Data!C21&gt;$C$6),$C$4,Raw_Data!C21)</f>
        <v>12</v>
      </c>
      <c r="D30" s="25" t="str">
        <f>IF(Raw_Data!C21="","Missing-Imputed",IF(OR(Raw_Data!C21&lt;$C$5,Raw_Data!C21&gt;$C$6),"Outlier-Imputed","Original"))</f>
        <v>Original</v>
      </c>
      <c r="E30" s="25" t="str">
        <f>IF(OR(UPPER(TRIM(Raw_Data!D21))="M",UPPER(TRIM(Raw_Data!D21))="MALE"),"Male","Female")</f>
        <v>Female</v>
      </c>
      <c r="F30" s="25" t="str">
        <f>PROPER(TRIM(Raw_Data!E21))</f>
        <v>Jamnagar</v>
      </c>
      <c r="G30" s="25" t="str">
        <f>PROPER(TRIM(Raw_Data!F21))</f>
        <v>Kerala</v>
      </c>
      <c r="H30" s="25" t="str">
        <f>PROPER(TRIM(Raw_Data!G21))</f>
        <v>Coding</v>
      </c>
      <c r="I30" s="25" t="str">
        <f>PROPER(TRIM(Raw_Data!H21))</f>
        <v>Pune East</v>
      </c>
      <c r="J30" s="26">
        <f>IF(LEN(TRIM(Raw_Data!I21))=4,VALUE(TRIM(Raw_Data!I21)),IF(ISNUMBER(IFERROR(VALUE(MID(TRIM(Raw_Data!I21),1,4)),"NA")),VALUE(MID(TRIM(Raw_Data!I21),1,4)),VALUE(RIGHT(TRIM(Raw_Data!I21),4))))</f>
        <v>2024</v>
      </c>
      <c r="K30" s="25" t="str">
        <f>PROPER(TRIM(Raw_Data!J21))</f>
        <v>Salaried</v>
      </c>
      <c r="L30" s="25" t="str">
        <f t="shared" si="0"/>
        <v>10-13</v>
      </c>
      <c r="M30" s="25" t="str">
        <f t="shared" si="1"/>
        <v>Kids</v>
      </c>
      <c r="N30" s="25" t="str">
        <f>IF(ISNUMBER(SEARCH("NON",UPPER(Raw_Data!M21))),"Non-Premium Learner","Premium Learner")</f>
        <v>Non-Premium Learner</v>
      </c>
      <c r="O30" s="25" t="str">
        <f>PROPER(TRIM(Raw_Data!N21))</f>
        <v>Web Only</v>
      </c>
      <c r="P30" s="26">
        <f>IF(Raw_Data!O21="",$C$7,Raw_Data!O21)</f>
        <v>124237.98</v>
      </c>
      <c r="Q30" s="25" t="str">
        <f>IF(Raw_Data!O21="","Missing-Imputed","Original")</f>
        <v>Original</v>
      </c>
      <c r="R30" s="26">
        <f>Raw_Data!P21</f>
        <v>77.099999999999994</v>
      </c>
      <c r="S30" s="26">
        <f>Raw_Data!Q21</f>
        <v>38135.11</v>
      </c>
      <c r="T30" s="25" t="str">
        <f>IF(Raw_Data!R21="","Unknown",IF(ISNUMBER(SEARCH("ACT",UPPER(Raw_Data!R21))),"Active",IF(ISNUMBER(SEARCH("CLOS",UPPER(Raw_Data!R21))),"Closed","None")))</f>
        <v>Closed</v>
      </c>
      <c r="U30" s="26">
        <f>IF(Raw_Data!S21="",$C$8,VALUE(Raw_Data!S21))</f>
        <v>456</v>
      </c>
      <c r="V30" s="25" t="str">
        <f>IF(Raw_Data!S21="","Missing-Imputed","Original")</f>
        <v>Original</v>
      </c>
      <c r="W30" s="26">
        <f>Raw_Data!T21</f>
        <v>187</v>
      </c>
      <c r="X30" s="25" t="str">
        <f>IF(ISNUMBER(SEARCH("Y",UPPER(TRIM(Raw_Data!U21)))),"Yes","No")</f>
        <v>No</v>
      </c>
      <c r="Y30" s="25" t="str">
        <f>IF(ISNUMBER(SEARCH("Y",UPPER(TRIM(Raw_Data!V21)))),"Yes","No")</f>
        <v>No</v>
      </c>
      <c r="Z30" s="26">
        <f>Raw_Data!W21</f>
        <v>5</v>
      </c>
      <c r="AA30" s="26">
        <f>Raw_Data!X21</f>
        <v>2.8</v>
      </c>
      <c r="AB30" s="25" t="str">
        <f>IF(COUNTIFS(Raw_Data!$A$2:$A$616,Raw_Data!A21)&gt;1,"Duplicate","Unique")</f>
        <v>Unique</v>
      </c>
      <c r="AC30" s="25" t="str">
        <f t="shared" si="2"/>
        <v>Clean</v>
      </c>
    </row>
    <row r="31" spans="1:29" ht="15" customHeight="1">
      <c r="A31" s="23" t="str">
        <f>Raw_Data!A22</f>
        <v>BYJ1021</v>
      </c>
      <c r="B31" s="23" t="str">
        <f>Raw_Data!B22</f>
        <v>Pahal Bhatt</v>
      </c>
      <c r="C31" s="24">
        <f>IF(OR(Raw_Data!C22="",Raw_Data!C22&lt;$C$5,Raw_Data!C22&gt;$C$6),$C$4,Raw_Data!C22)</f>
        <v>11</v>
      </c>
      <c r="D31" s="23" t="str">
        <f>IF(Raw_Data!C22="","Missing-Imputed",IF(OR(Raw_Data!C22&lt;$C$5,Raw_Data!C22&gt;$C$6),"Outlier-Imputed","Original"))</f>
        <v>Original</v>
      </c>
      <c r="E31" s="23" t="str">
        <f>IF(OR(UPPER(TRIM(Raw_Data!D22))="M",UPPER(TRIM(Raw_Data!D22))="MALE"),"Male","Female")</f>
        <v>Female</v>
      </c>
      <c r="F31" s="23" t="str">
        <f>PROPER(TRIM(Raw_Data!E22))</f>
        <v>Eluru</v>
      </c>
      <c r="G31" s="23" t="str">
        <f>PROPER(TRIM(Raw_Data!F22))</f>
        <v>Rajasthan</v>
      </c>
      <c r="H31" s="23" t="str">
        <f>PROPER(TRIM(Raw_Data!G22))</f>
        <v>Robotics</v>
      </c>
      <c r="I31" s="23" t="str">
        <f>PROPER(TRIM(Raw_Data!H22))</f>
        <v>Pune East</v>
      </c>
      <c r="J31" s="24">
        <f>IF(LEN(TRIM(Raw_Data!I22))=4,VALUE(TRIM(Raw_Data!I22)),IF(ISNUMBER(IFERROR(VALUE(MID(TRIM(Raw_Data!I22),1,4)),"NA")),VALUE(MID(TRIM(Raw_Data!I22),1,4)),VALUE(RIGHT(TRIM(Raw_Data!I22),4))))</f>
        <v>2016</v>
      </c>
      <c r="K31" s="23" t="str">
        <f>PROPER(TRIM(Raw_Data!J22))</f>
        <v>Business</v>
      </c>
      <c r="L31" s="23" t="str">
        <f t="shared" si="0"/>
        <v>10-13</v>
      </c>
      <c r="M31" s="23" t="str">
        <f t="shared" si="1"/>
        <v>Kids</v>
      </c>
      <c r="N31" s="23" t="str">
        <f>IF(ISNUMBER(SEARCH("NON",UPPER(Raw_Data!M22))),"Non-Premium Learner","Premium Learner")</f>
        <v>Non-Premium Learner</v>
      </c>
      <c r="O31" s="23" t="str">
        <f>PROPER(TRIM(Raw_Data!N22))</f>
        <v>Web Only</v>
      </c>
      <c r="P31" s="24">
        <f>IF(Raw_Data!O22="",$C$7,Raw_Data!O22)</f>
        <v>54349.13</v>
      </c>
      <c r="Q31" s="23" t="str">
        <f>IF(Raw_Data!O22="","Missing-Imputed","Original")</f>
        <v>Original</v>
      </c>
      <c r="R31" s="24">
        <f>Raw_Data!P22</f>
        <v>57.6</v>
      </c>
      <c r="S31" s="24">
        <f>Raw_Data!Q22</f>
        <v>16576.11</v>
      </c>
      <c r="T31" s="23" t="str">
        <f>IF(Raw_Data!R22="","Unknown",IF(ISNUMBER(SEARCH("ACT",UPPER(Raw_Data!R22))),"Active",IF(ISNUMBER(SEARCH("CLOS",UPPER(Raw_Data!R22))),"Closed","None")))</f>
        <v>Active</v>
      </c>
      <c r="U31" s="24">
        <f>IF(Raw_Data!S22="",$C$8,VALUE(Raw_Data!S22))</f>
        <v>387</v>
      </c>
      <c r="V31" s="23" t="str">
        <f>IF(Raw_Data!S22="","Missing-Imputed","Original")</f>
        <v>Original</v>
      </c>
      <c r="W31" s="24">
        <f>Raw_Data!T22</f>
        <v>104</v>
      </c>
      <c r="X31" s="23" t="str">
        <f>IF(ISNUMBER(SEARCH("Y",UPPER(TRIM(Raw_Data!U22)))),"Yes","No")</f>
        <v>No</v>
      </c>
      <c r="Y31" s="23" t="str">
        <f>IF(ISNUMBER(SEARCH("Y",UPPER(TRIM(Raw_Data!V22)))),"Yes","No")</f>
        <v>No</v>
      </c>
      <c r="Z31" s="24">
        <f>Raw_Data!W22</f>
        <v>4</v>
      </c>
      <c r="AA31" s="24">
        <f>Raw_Data!X22</f>
        <v>7.2</v>
      </c>
      <c r="AB31" s="23" t="str">
        <f>IF(COUNTIFS(Raw_Data!$A$2:$A$616,Raw_Data!A22)&gt;1,"Duplicate","Unique")</f>
        <v>Unique</v>
      </c>
      <c r="AC31" s="23" t="str">
        <f t="shared" si="2"/>
        <v>Clean</v>
      </c>
    </row>
    <row r="32" spans="1:29" ht="15" customHeight="1">
      <c r="A32" s="25" t="str">
        <f>Raw_Data!A23</f>
        <v>BYJ1022</v>
      </c>
      <c r="B32" s="25" t="str">
        <f>Raw_Data!B23</f>
        <v>Zayan Apte</v>
      </c>
      <c r="C32" s="26">
        <f>IF(OR(Raw_Data!C23="",Raw_Data!C23&lt;$C$5,Raw_Data!C23&gt;$C$6),$C$4,Raw_Data!C23)</f>
        <v>21</v>
      </c>
      <c r="D32" s="25" t="str">
        <f>IF(Raw_Data!C23="","Missing-Imputed",IF(OR(Raw_Data!C23&lt;$C$5,Raw_Data!C23&gt;$C$6),"Outlier-Imputed","Original"))</f>
        <v>Original</v>
      </c>
      <c r="E32" s="25" t="str">
        <f>IF(OR(UPPER(TRIM(Raw_Data!D23))="M",UPPER(TRIM(Raw_Data!D23))="MALE"),"Male","Female")</f>
        <v>Female</v>
      </c>
      <c r="F32" s="25" t="str">
        <f>PROPER(TRIM(Raw_Data!E23))</f>
        <v>Jorhat</v>
      </c>
      <c r="G32" s="25" t="str">
        <f>PROPER(TRIM(Raw_Data!F23))</f>
        <v>Uttar Pradesh</v>
      </c>
      <c r="H32" s="25" t="str">
        <f>PROPER(TRIM(Raw_Data!G23))</f>
        <v>Neet Prep</v>
      </c>
      <c r="I32" s="25" t="str">
        <f>PROPER(TRIM(Raw_Data!H23))</f>
        <v>Kolkata Main</v>
      </c>
      <c r="J32" s="26">
        <f>IF(LEN(TRIM(Raw_Data!I23))=4,VALUE(TRIM(Raw_Data!I23)),IF(ISNUMBER(IFERROR(VALUE(MID(TRIM(Raw_Data!I23),1,4)),"NA")),VALUE(MID(TRIM(Raw_Data!I23),1,4)),VALUE(RIGHT(TRIM(Raw_Data!I23),4))))</f>
        <v>2024</v>
      </c>
      <c r="K32" s="25" t="str">
        <f>PROPER(TRIM(Raw_Data!J23))</f>
        <v>Homemaker</v>
      </c>
      <c r="L32" s="25" t="str">
        <f t="shared" si="0"/>
        <v>20+</v>
      </c>
      <c r="M32" s="25" t="str">
        <f t="shared" si="1"/>
        <v>Adult Learners</v>
      </c>
      <c r="N32" s="25" t="str">
        <f>IF(ISNUMBER(SEARCH("NON",UPPER(Raw_Data!M23))),"Non-Premium Learner","Premium Learner")</f>
        <v>Non-Premium Learner</v>
      </c>
      <c r="O32" s="25" t="str">
        <f>PROPER(TRIM(Raw_Data!N23))</f>
        <v>Both App &amp; Web</v>
      </c>
      <c r="P32" s="26">
        <f>IF(Raw_Data!O23="",$C$7,Raw_Data!O23)</f>
        <v>32924.720000000001</v>
      </c>
      <c r="Q32" s="25" t="str">
        <f>IF(Raw_Data!O23="","Missing-Imputed","Original")</f>
        <v>Original</v>
      </c>
      <c r="R32" s="26">
        <f>Raw_Data!P23</f>
        <v>45.2</v>
      </c>
      <c r="S32" s="26">
        <f>Raw_Data!Q23</f>
        <v>45731.38</v>
      </c>
      <c r="T32" s="25" t="str">
        <f>IF(Raw_Data!R23="","Unknown",IF(ISNUMBER(SEARCH("ACT",UPPER(Raw_Data!R23))),"Active",IF(ISNUMBER(SEARCH("CLOS",UPPER(Raw_Data!R23))),"Closed","None")))</f>
        <v>Active</v>
      </c>
      <c r="U32" s="26">
        <f>IF(Raw_Data!S23="",$C$8,VALUE(Raw_Data!S23))</f>
        <v>521</v>
      </c>
      <c r="V32" s="25" t="str">
        <f>IF(Raw_Data!S23="","Missing-Imputed","Original")</f>
        <v>Original</v>
      </c>
      <c r="W32" s="26">
        <f>Raw_Data!T23</f>
        <v>70</v>
      </c>
      <c r="X32" s="25" t="str">
        <f>IF(ISNUMBER(SEARCH("Y",UPPER(TRIM(Raw_Data!U23)))),"Yes","No")</f>
        <v>No</v>
      </c>
      <c r="Y32" s="25" t="str">
        <f>IF(ISNUMBER(SEARCH("Y",UPPER(TRIM(Raw_Data!V23)))),"Yes","No")</f>
        <v>Yes</v>
      </c>
      <c r="Z32" s="26">
        <f>Raw_Data!W23</f>
        <v>2</v>
      </c>
      <c r="AA32" s="26">
        <f>Raw_Data!X23</f>
        <v>3.6</v>
      </c>
      <c r="AB32" s="25" t="str">
        <f>IF(COUNTIFS(Raw_Data!$A$2:$A$616,Raw_Data!A23)&gt;1,"Duplicate","Unique")</f>
        <v>Unique</v>
      </c>
      <c r="AC32" s="25" t="str">
        <f t="shared" si="2"/>
        <v>Clean</v>
      </c>
    </row>
    <row r="33" spans="1:29" ht="15" customHeight="1">
      <c r="A33" s="23" t="str">
        <f>Raw_Data!A24</f>
        <v>BYJ1023</v>
      </c>
      <c r="B33" s="23" t="str">
        <f>Raw_Data!B24</f>
        <v>Harini Choudhury</v>
      </c>
      <c r="C33" s="24">
        <f>IF(OR(Raw_Data!C24="",Raw_Data!C24&lt;$C$5,Raw_Data!C24&gt;$C$6),$C$4,Raw_Data!C24)</f>
        <v>14</v>
      </c>
      <c r="D33" s="23" t="str">
        <f>IF(Raw_Data!C24="","Missing-Imputed",IF(OR(Raw_Data!C24&lt;$C$5,Raw_Data!C24&gt;$C$6),"Outlier-Imputed","Original"))</f>
        <v>Original</v>
      </c>
      <c r="E33" s="23" t="str">
        <f>IF(OR(UPPER(TRIM(Raw_Data!D24))="M",UPPER(TRIM(Raw_Data!D24))="MALE"),"Male","Female")</f>
        <v>Female</v>
      </c>
      <c r="F33" s="23" t="str">
        <f>PROPER(TRIM(Raw_Data!E24))</f>
        <v>Raebareli</v>
      </c>
      <c r="G33" s="23" t="str">
        <f>PROPER(TRIM(Raw_Data!F24))</f>
        <v>Uttar Pradesh</v>
      </c>
      <c r="H33" s="23" t="str">
        <f>PROPER(TRIM(Raw_Data!G24))</f>
        <v>Jee Prep</v>
      </c>
      <c r="I33" s="23" t="str">
        <f>PROPER(TRIM(Raw_Data!H24))</f>
        <v>Mumbai West</v>
      </c>
      <c r="J33" s="24">
        <f>IF(LEN(TRIM(Raw_Data!I24))=4,VALUE(TRIM(Raw_Data!I24)),IF(ISNUMBER(IFERROR(VALUE(MID(TRIM(Raw_Data!I24),1,4)),"NA")),VALUE(MID(TRIM(Raw_Data!I24),1,4)),VALUE(RIGHT(TRIM(Raw_Data!I24),4))))</f>
        <v>2023</v>
      </c>
      <c r="K33" s="23" t="str">
        <f>PROPER(TRIM(Raw_Data!J24))</f>
        <v>Government Employee</v>
      </c>
      <c r="L33" s="23" t="str">
        <f t="shared" si="0"/>
        <v>14-16</v>
      </c>
      <c r="M33" s="23" t="str">
        <f t="shared" si="1"/>
        <v>Teens</v>
      </c>
      <c r="N33" s="23" t="str">
        <f>IF(ISNUMBER(SEARCH("NON",UPPER(Raw_Data!M24))),"Non-Premium Learner","Premium Learner")</f>
        <v>Premium Learner</v>
      </c>
      <c r="O33" s="23" t="str">
        <f>PROPER(TRIM(Raw_Data!N24))</f>
        <v>Web Only</v>
      </c>
      <c r="P33" s="24">
        <f>IF(Raw_Data!O24="",$C$7,Raw_Data!O24)</f>
        <v>31732.73</v>
      </c>
      <c r="Q33" s="23" t="str">
        <f>IF(Raw_Data!O24="","Missing-Imputed","Original")</f>
        <v>Original</v>
      </c>
      <c r="R33" s="24">
        <f>Raw_Data!P24</f>
        <v>75.599999999999994</v>
      </c>
      <c r="S33" s="24">
        <f>Raw_Data!Q24</f>
        <v>28663.75</v>
      </c>
      <c r="T33" s="23" t="str">
        <f>IF(Raw_Data!R24="","Unknown",IF(ISNUMBER(SEARCH("ACT",UPPER(Raw_Data!R24))),"Active",IF(ISNUMBER(SEARCH("CLOS",UPPER(Raw_Data!R24))),"Closed","None")))</f>
        <v>Active</v>
      </c>
      <c r="U33" s="24">
        <f>IF(Raw_Data!S24="",$C$8,VALUE(Raw_Data!S24))</f>
        <v>803</v>
      </c>
      <c r="V33" s="23" t="str">
        <f>IF(Raw_Data!S24="","Missing-Imputed","Original")</f>
        <v>Original</v>
      </c>
      <c r="W33" s="24">
        <f>Raw_Data!T24</f>
        <v>161</v>
      </c>
      <c r="X33" s="23" t="str">
        <f>IF(ISNUMBER(SEARCH("Y",UPPER(TRIM(Raw_Data!U24)))),"Yes","No")</f>
        <v>Yes</v>
      </c>
      <c r="Y33" s="23" t="str">
        <f>IF(ISNUMBER(SEARCH("Y",UPPER(TRIM(Raw_Data!V24)))),"Yes","No")</f>
        <v>Yes</v>
      </c>
      <c r="Z33" s="24">
        <f>Raw_Data!W24</f>
        <v>1</v>
      </c>
      <c r="AA33" s="24">
        <f>Raw_Data!X24</f>
        <v>8.9</v>
      </c>
      <c r="AB33" s="23" t="str">
        <f>IF(COUNTIFS(Raw_Data!$A$2:$A$616,Raw_Data!A24)&gt;1,"Duplicate","Unique")</f>
        <v>Unique</v>
      </c>
      <c r="AC33" s="23" t="str">
        <f t="shared" si="2"/>
        <v>Clean</v>
      </c>
    </row>
    <row r="34" spans="1:29" ht="15" customHeight="1">
      <c r="A34" s="25" t="str">
        <f>Raw_Data!A25</f>
        <v>BYJ1024</v>
      </c>
      <c r="B34" s="25" t="str">
        <f>Raw_Data!B25</f>
        <v>Sudiksha Aggarwal</v>
      </c>
      <c r="C34" s="26">
        <f>IF(OR(Raw_Data!C25="",Raw_Data!C25&lt;$C$5,Raw_Data!C25&gt;$C$6),$C$4,Raw_Data!C25)</f>
        <v>44</v>
      </c>
      <c r="D34" s="25" t="str">
        <f>IF(Raw_Data!C25="","Missing-Imputed",IF(OR(Raw_Data!C25&lt;$C$5,Raw_Data!C25&gt;$C$6),"Outlier-Imputed","Original"))</f>
        <v>Original</v>
      </c>
      <c r="E34" s="25" t="str">
        <f>IF(OR(UPPER(TRIM(Raw_Data!D25))="M",UPPER(TRIM(Raw_Data!D25))="MALE"),"Male","Female")</f>
        <v>Male</v>
      </c>
      <c r="F34" s="25" t="str">
        <f>PROPER(TRIM(Raw_Data!E25))</f>
        <v>Orai</v>
      </c>
      <c r="G34" s="25" t="str">
        <f>PROPER(TRIM(Raw_Data!F25))</f>
        <v>Rajasthan</v>
      </c>
      <c r="H34" s="25" t="str">
        <f>PROPER(TRIM(Raw_Data!G25))</f>
        <v>Jee Prep</v>
      </c>
      <c r="I34" s="25" t="str">
        <f>PROPER(TRIM(Raw_Data!H25))</f>
        <v>Lucknow Hub</v>
      </c>
      <c r="J34" s="26">
        <f>IF(LEN(TRIM(Raw_Data!I25))=4,VALUE(TRIM(Raw_Data!I25)),IF(ISNUMBER(IFERROR(VALUE(MID(TRIM(Raw_Data!I25),1,4)),"NA")),VALUE(MID(TRIM(Raw_Data!I25),1,4)),VALUE(RIGHT(TRIM(Raw_Data!I25),4))))</f>
        <v>2022</v>
      </c>
      <c r="K34" s="25" t="str">
        <f>PROPER(TRIM(Raw_Data!J25))</f>
        <v>Government Employee</v>
      </c>
      <c r="L34" s="25" t="str">
        <f t="shared" si="0"/>
        <v>20+</v>
      </c>
      <c r="M34" s="25" t="str">
        <f t="shared" si="1"/>
        <v>Adult Learners</v>
      </c>
      <c r="N34" s="25" t="str">
        <f>IF(ISNUMBER(SEARCH("NON",UPPER(Raw_Data!M25))),"Non-Premium Learner","Premium Learner")</f>
        <v>Non-Premium Learner</v>
      </c>
      <c r="O34" s="25" t="str">
        <f>PROPER(TRIM(Raw_Data!N25))</f>
        <v>App Only</v>
      </c>
      <c r="P34" s="26">
        <f>IF(Raw_Data!O25="",$C$7,Raw_Data!O25)</f>
        <v>95699.68</v>
      </c>
      <c r="Q34" s="25" t="str">
        <f>IF(Raw_Data!O25="","Missing-Imputed","Original")</f>
        <v>Original</v>
      </c>
      <c r="R34" s="26">
        <f>Raw_Data!P25</f>
        <v>11.1</v>
      </c>
      <c r="S34" s="26">
        <f>Raw_Data!Q25</f>
        <v>14391.91</v>
      </c>
      <c r="T34" s="25" t="str">
        <f>IF(Raw_Data!R25="","Unknown",IF(ISNUMBER(SEARCH("ACT",UPPER(Raw_Data!R25))),"Active",IF(ISNUMBER(SEARCH("CLOS",UPPER(Raw_Data!R25))),"Closed","None")))</f>
        <v>None</v>
      </c>
      <c r="U34" s="26" t="e">
        <f>IF(Raw_Data!S25="",$C$8,VALUE(Raw_Data!S25))</f>
        <v>#VALUE!</v>
      </c>
      <c r="V34" s="25" t="str">
        <f>IF(Raw_Data!S25="","Missing-Imputed","Original")</f>
        <v>Original</v>
      </c>
      <c r="W34" s="26">
        <f>Raw_Data!T25</f>
        <v>115</v>
      </c>
      <c r="X34" s="25" t="str">
        <f>IF(ISNUMBER(SEARCH("Y",UPPER(TRIM(Raw_Data!U25)))),"Yes","No")</f>
        <v>No</v>
      </c>
      <c r="Y34" s="25" t="str">
        <f>IF(ISNUMBER(SEARCH("Y",UPPER(TRIM(Raw_Data!V25)))),"Yes","No")</f>
        <v>Yes</v>
      </c>
      <c r="Z34" s="26">
        <f>Raw_Data!W25</f>
        <v>3</v>
      </c>
      <c r="AA34" s="26">
        <f>Raw_Data!X25</f>
        <v>6.5</v>
      </c>
      <c r="AB34" s="25" t="str">
        <f>IF(COUNTIFS(Raw_Data!$A$2:$A$616,Raw_Data!A25)&gt;1,"Duplicate","Unique")</f>
        <v>Unique</v>
      </c>
      <c r="AC34" s="25" t="str">
        <f t="shared" si="2"/>
        <v>Clean</v>
      </c>
    </row>
    <row r="35" spans="1:29" ht="15" customHeight="1">
      <c r="A35" s="23" t="str">
        <f>Raw_Data!A26</f>
        <v>BYJ1025</v>
      </c>
      <c r="B35" s="23" t="str">
        <f>Raw_Data!B26</f>
        <v>Yashica Cherian</v>
      </c>
      <c r="C35" s="24">
        <f>IF(OR(Raw_Data!C26="",Raw_Data!C26&lt;$C$5,Raw_Data!C26&gt;$C$6),$C$4,Raw_Data!C26)</f>
        <v>20</v>
      </c>
      <c r="D35" s="23" t="str">
        <f>IF(Raw_Data!C26="","Missing-Imputed",IF(OR(Raw_Data!C26&lt;$C$5,Raw_Data!C26&gt;$C$6),"Outlier-Imputed","Original"))</f>
        <v>Original</v>
      </c>
      <c r="E35" s="23" t="str">
        <f>IF(OR(UPPER(TRIM(Raw_Data!D26))="M",UPPER(TRIM(Raw_Data!D26))="MALE"),"Male","Female")</f>
        <v>Female</v>
      </c>
      <c r="F35" s="23" t="str">
        <f>PROPER(TRIM(Raw_Data!E26))</f>
        <v>Guna</v>
      </c>
      <c r="G35" s="23" t="str">
        <f>PROPER(TRIM(Raw_Data!F26))</f>
        <v>Delhi</v>
      </c>
      <c r="H35" s="23" t="str">
        <f>PROPER(TRIM(Raw_Data!G26))</f>
        <v>Robotics</v>
      </c>
      <c r="I35" s="23" t="str">
        <f>PROPER(TRIM(Raw_Data!H26))</f>
        <v>Bengaluru South</v>
      </c>
      <c r="J35" s="24">
        <f>IF(LEN(TRIM(Raw_Data!I26))=4,VALUE(TRIM(Raw_Data!I26)),IF(ISNUMBER(IFERROR(VALUE(MID(TRIM(Raw_Data!I26),1,4)),"NA")),VALUE(MID(TRIM(Raw_Data!I26),1,4)),VALUE(RIGHT(TRIM(Raw_Data!I26),4))))</f>
        <v>2024</v>
      </c>
      <c r="K35" s="23" t="str">
        <f>PROPER(TRIM(Raw_Data!J26))</f>
        <v>Homemaker</v>
      </c>
      <c r="L35" s="23" t="str">
        <f t="shared" si="0"/>
        <v>20+</v>
      </c>
      <c r="M35" s="23" t="str">
        <f t="shared" si="1"/>
        <v>Adult Learners</v>
      </c>
      <c r="N35" s="23" t="str">
        <f>IF(ISNUMBER(SEARCH("NON",UPPER(Raw_Data!M26))),"Non-Premium Learner","Premium Learner")</f>
        <v>Non-Premium Learner</v>
      </c>
      <c r="O35" s="23" t="str">
        <f>PROPER(TRIM(Raw_Data!N26))</f>
        <v>App Only</v>
      </c>
      <c r="P35" s="24">
        <f>IF(Raw_Data!O26="",$C$7,Raw_Data!O26)</f>
        <v>119931.14</v>
      </c>
      <c r="Q35" s="23" t="str">
        <f>IF(Raw_Data!O26="","Missing-Imputed","Original")</f>
        <v>Original</v>
      </c>
      <c r="R35" s="24">
        <f>Raw_Data!P26</f>
        <v>66.8</v>
      </c>
      <c r="S35" s="24">
        <f>Raw_Data!Q26</f>
        <v>55271.55</v>
      </c>
      <c r="T35" s="23" t="str">
        <f>IF(Raw_Data!R26="","Unknown",IF(ISNUMBER(SEARCH("ACT",UPPER(Raw_Data!R26))),"Active",IF(ISNUMBER(SEARCH("CLOS",UPPER(Raw_Data!R26))),"Closed","None")))</f>
        <v>Closed</v>
      </c>
      <c r="U35" s="24">
        <f>IF(Raw_Data!S26="",$C$8,VALUE(Raw_Data!S26))</f>
        <v>779</v>
      </c>
      <c r="V35" s="23" t="str">
        <f>IF(Raw_Data!S26="","Missing-Imputed","Original")</f>
        <v>Original</v>
      </c>
      <c r="W35" s="24">
        <f>Raw_Data!T26</f>
        <v>179</v>
      </c>
      <c r="X35" s="23" t="str">
        <f>IF(ISNUMBER(SEARCH("Y",UPPER(TRIM(Raw_Data!U26)))),"Yes","No")</f>
        <v>No</v>
      </c>
      <c r="Y35" s="23" t="str">
        <f>IF(ISNUMBER(SEARCH("Y",UPPER(TRIM(Raw_Data!V26)))),"Yes","No")</f>
        <v>No</v>
      </c>
      <c r="Z35" s="24">
        <f>Raw_Data!W26</f>
        <v>1</v>
      </c>
      <c r="AA35" s="24">
        <f>Raw_Data!X26</f>
        <v>5.6</v>
      </c>
      <c r="AB35" s="23" t="str">
        <f>IF(COUNTIFS(Raw_Data!$A$2:$A$616,Raw_Data!A26)&gt;1,"Duplicate","Unique")</f>
        <v>Unique</v>
      </c>
      <c r="AC35" s="23" t="str">
        <f t="shared" si="2"/>
        <v>Clean</v>
      </c>
    </row>
    <row r="36" spans="1:29" ht="15" customHeight="1">
      <c r="A36" s="25" t="str">
        <f>Raw_Data!A27</f>
        <v>BYJ1026</v>
      </c>
      <c r="B36" s="25" t="str">
        <f>Raw_Data!B27</f>
        <v>Michael Prakash</v>
      </c>
      <c r="C36" s="26">
        <f>IF(OR(Raw_Data!C27="",Raw_Data!C27&lt;$C$5,Raw_Data!C27&gt;$C$6),$C$4,Raw_Data!C27)</f>
        <v>44</v>
      </c>
      <c r="D36" s="25" t="str">
        <f>IF(Raw_Data!C27="","Missing-Imputed",IF(OR(Raw_Data!C27&lt;$C$5,Raw_Data!C27&gt;$C$6),"Outlier-Imputed","Original"))</f>
        <v>Original</v>
      </c>
      <c r="E36" s="25" t="str">
        <f>IF(OR(UPPER(TRIM(Raw_Data!D27))="M",UPPER(TRIM(Raw_Data!D27))="MALE"),"Male","Female")</f>
        <v>Female</v>
      </c>
      <c r="F36" s="25" t="str">
        <f>PROPER(TRIM(Raw_Data!E27))</f>
        <v>Panvel</v>
      </c>
      <c r="G36" s="25" t="str">
        <f>PROPER(TRIM(Raw_Data!F27))</f>
        <v>Kerala</v>
      </c>
      <c r="H36" s="25" t="str">
        <f>PROPER(TRIM(Raw_Data!G27))</f>
        <v>Coding</v>
      </c>
      <c r="I36" s="25" t="str">
        <f>PROPER(TRIM(Raw_Data!H27))</f>
        <v>Hyderabad Hub</v>
      </c>
      <c r="J36" s="26">
        <f>IF(LEN(TRIM(Raw_Data!I27))=4,VALUE(TRIM(Raw_Data!I27)),IF(ISNUMBER(IFERROR(VALUE(MID(TRIM(Raw_Data!I27),1,4)),"NA")),VALUE(MID(TRIM(Raw_Data!I27),1,4)),VALUE(RIGHT(TRIM(Raw_Data!I27),4))))</f>
        <v>2025</v>
      </c>
      <c r="K36" s="25" t="str">
        <f>PROPER(TRIM(Raw_Data!J27))</f>
        <v>Self-Employed</v>
      </c>
      <c r="L36" s="25" t="str">
        <f t="shared" si="0"/>
        <v>20+</v>
      </c>
      <c r="M36" s="25" t="str">
        <f t="shared" si="1"/>
        <v>Adult Learners</v>
      </c>
      <c r="N36" s="25" t="str">
        <f>IF(ISNUMBER(SEARCH("NON",UPPER(Raw_Data!M27))),"Non-Premium Learner","Premium Learner")</f>
        <v>Non-Premium Learner</v>
      </c>
      <c r="O36" s="25" t="str">
        <f>PROPER(TRIM(Raw_Data!N27))</f>
        <v>Web Only</v>
      </c>
      <c r="P36" s="26">
        <f>IF(Raw_Data!O27="",$C$7,Raw_Data!O27)</f>
        <v>31315.93</v>
      </c>
      <c r="Q36" s="25" t="str">
        <f>IF(Raw_Data!O27="","Missing-Imputed","Original")</f>
        <v>Original</v>
      </c>
      <c r="R36" s="26">
        <f>Raw_Data!P27</f>
        <v>52.6</v>
      </c>
      <c r="S36" s="26">
        <f>Raw_Data!Q27</f>
        <v>29503.55</v>
      </c>
      <c r="T36" s="25" t="str">
        <f>IF(Raw_Data!R27="","Unknown",IF(ISNUMBER(SEARCH("ACT",UPPER(Raw_Data!R27))),"Active",IF(ISNUMBER(SEARCH("CLOS",UPPER(Raw_Data!R27))),"Closed","None")))</f>
        <v>Active</v>
      </c>
      <c r="U36" s="26">
        <f>IF(Raw_Data!S27="",$C$8,VALUE(Raw_Data!S27))</f>
        <v>656</v>
      </c>
      <c r="V36" s="25" t="str">
        <f>IF(Raw_Data!S27="","Missing-Imputed","Original")</f>
        <v>Original</v>
      </c>
      <c r="W36" s="26">
        <f>Raw_Data!T27</f>
        <v>82</v>
      </c>
      <c r="X36" s="25" t="str">
        <f>IF(ISNUMBER(SEARCH("Y",UPPER(TRIM(Raw_Data!U27)))),"Yes","No")</f>
        <v>Yes</v>
      </c>
      <c r="Y36" s="25" t="str">
        <f>IF(ISNUMBER(SEARCH("Y",UPPER(TRIM(Raw_Data!V27)))),"Yes","No")</f>
        <v>No</v>
      </c>
      <c r="Z36" s="26">
        <f>Raw_Data!W27</f>
        <v>4</v>
      </c>
      <c r="AA36" s="26">
        <f>Raw_Data!X27</f>
        <v>2.9</v>
      </c>
      <c r="AB36" s="25" t="str">
        <f>IF(COUNTIFS(Raw_Data!$A$2:$A$616,Raw_Data!A27)&gt;1,"Duplicate","Unique")</f>
        <v>Unique</v>
      </c>
      <c r="AC36" s="25" t="str">
        <f t="shared" si="2"/>
        <v>Clean</v>
      </c>
    </row>
    <row r="37" spans="1:29" ht="15" customHeight="1">
      <c r="A37" s="23" t="str">
        <f>Raw_Data!A28</f>
        <v>BYJ1027</v>
      </c>
      <c r="B37" s="23" t="str">
        <f>Raw_Data!B28</f>
        <v>Ekiya Suresh</v>
      </c>
      <c r="C37" s="24">
        <f>IF(OR(Raw_Data!C28="",Raw_Data!C28&lt;$C$5,Raw_Data!C28&gt;$C$6),$C$4,Raw_Data!C28)</f>
        <v>41</v>
      </c>
      <c r="D37" s="23" t="str">
        <f>IF(Raw_Data!C28="","Missing-Imputed",IF(OR(Raw_Data!C28&lt;$C$5,Raw_Data!C28&gt;$C$6),"Outlier-Imputed","Original"))</f>
        <v>Original</v>
      </c>
      <c r="E37" s="23" t="str">
        <f>IF(OR(UPPER(TRIM(Raw_Data!D28))="M",UPPER(TRIM(Raw_Data!D28))="MALE"),"Male","Female")</f>
        <v>Male</v>
      </c>
      <c r="F37" s="23" t="str">
        <f>PROPER(TRIM(Raw_Data!E28))</f>
        <v>Gorakhpur</v>
      </c>
      <c r="G37" s="23" t="str">
        <f>PROPER(TRIM(Raw_Data!F28))</f>
        <v>Telangana</v>
      </c>
      <c r="H37" s="23" t="str">
        <f>PROPER(TRIM(Raw_Data!G28))</f>
        <v>Neet Prep</v>
      </c>
      <c r="I37" s="23" t="str">
        <f>PROPER(TRIM(Raw_Data!H28))</f>
        <v>Bengaluru South</v>
      </c>
      <c r="J37" s="24">
        <f>IF(LEN(TRIM(Raw_Data!I28))=4,VALUE(TRIM(Raw_Data!I28)),IF(ISNUMBER(IFERROR(VALUE(MID(TRIM(Raw_Data!I28),1,4)),"NA")),VALUE(MID(TRIM(Raw_Data!I28),1,4)),VALUE(RIGHT(TRIM(Raw_Data!I28),4))))</f>
        <v>2022</v>
      </c>
      <c r="K37" s="23" t="str">
        <f>PROPER(TRIM(Raw_Data!J28))</f>
        <v>Retired</v>
      </c>
      <c r="L37" s="23" t="str">
        <f t="shared" si="0"/>
        <v>20+</v>
      </c>
      <c r="M37" s="23" t="str">
        <f t="shared" si="1"/>
        <v>Adult Learners</v>
      </c>
      <c r="N37" s="23" t="str">
        <f>IF(ISNUMBER(SEARCH("NON",UPPER(Raw_Data!M28))),"Non-Premium Learner","Premium Learner")</f>
        <v>Non-Premium Learner</v>
      </c>
      <c r="O37" s="23" t="str">
        <f>PROPER(TRIM(Raw_Data!N28))</f>
        <v>App Only</v>
      </c>
      <c r="P37" s="24">
        <f>IF(Raw_Data!O28="",$C$7,Raw_Data!O28)</f>
        <v>32199.47</v>
      </c>
      <c r="Q37" s="23" t="str">
        <f>IF(Raw_Data!O28="","Missing-Imputed","Original")</f>
        <v>Original</v>
      </c>
      <c r="R37" s="24">
        <f>Raw_Data!P28</f>
        <v>61.7</v>
      </c>
      <c r="S37" s="24">
        <f>Raw_Data!Q28</f>
        <v>37524.519999999997</v>
      </c>
      <c r="T37" s="23" t="str">
        <f>IF(Raw_Data!R28="","Unknown",IF(ISNUMBER(SEARCH("ACT",UPPER(Raw_Data!R28))),"Active",IF(ISNUMBER(SEARCH("CLOS",UPPER(Raw_Data!R28))),"Closed","None")))</f>
        <v>Active</v>
      </c>
      <c r="U37" s="24">
        <f>IF(Raw_Data!S28="",$C$8,VALUE(Raw_Data!S28))</f>
        <v>573</v>
      </c>
      <c r="V37" s="23" t="str">
        <f>IF(Raw_Data!S28="","Missing-Imputed","Original")</f>
        <v>Original</v>
      </c>
      <c r="W37" s="24">
        <f>Raw_Data!T28</f>
        <v>73</v>
      </c>
      <c r="X37" s="23" t="str">
        <f>IF(ISNUMBER(SEARCH("Y",UPPER(TRIM(Raw_Data!U28)))),"Yes","No")</f>
        <v>No</v>
      </c>
      <c r="Y37" s="23" t="str">
        <f>IF(ISNUMBER(SEARCH("Y",UPPER(TRIM(Raw_Data!V28)))),"Yes","No")</f>
        <v>Yes</v>
      </c>
      <c r="Z37" s="24">
        <f>Raw_Data!W28</f>
        <v>5</v>
      </c>
      <c r="AA37" s="24">
        <f>Raw_Data!X28</f>
        <v>7.3</v>
      </c>
      <c r="AB37" s="23" t="str">
        <f>IF(COUNTIFS(Raw_Data!$A$2:$A$616,Raw_Data!A28)&gt;1,"Duplicate","Unique")</f>
        <v>Unique</v>
      </c>
      <c r="AC37" s="23" t="str">
        <f t="shared" si="2"/>
        <v>Clean</v>
      </c>
    </row>
    <row r="38" spans="1:29" ht="15" customHeight="1">
      <c r="A38" s="25" t="str">
        <f>Raw_Data!A29</f>
        <v>BYJ1028</v>
      </c>
      <c r="B38" s="25" t="str">
        <f>Raw_Data!B29</f>
        <v>Damyanti Khatri</v>
      </c>
      <c r="C38" s="26">
        <f>IF(OR(Raw_Data!C29="",Raw_Data!C29&lt;$C$5,Raw_Data!C29&gt;$C$6),$C$4,Raw_Data!C29)</f>
        <v>6</v>
      </c>
      <c r="D38" s="25" t="str">
        <f>IF(Raw_Data!C29="","Missing-Imputed",IF(OR(Raw_Data!C29&lt;$C$5,Raw_Data!C29&gt;$C$6),"Outlier-Imputed","Original"))</f>
        <v>Original</v>
      </c>
      <c r="E38" s="25" t="str">
        <f>IF(OR(UPPER(TRIM(Raw_Data!D29))="M",UPPER(TRIM(Raw_Data!D29))="MALE"),"Male","Female")</f>
        <v>Female</v>
      </c>
      <c r="F38" s="25" t="str">
        <f>PROPER(TRIM(Raw_Data!E29))</f>
        <v>New Delhi</v>
      </c>
      <c r="G38" s="25" t="str">
        <f>PROPER(TRIM(Raw_Data!F29))</f>
        <v>Karnataka</v>
      </c>
      <c r="H38" s="25" t="str">
        <f>PROPER(TRIM(Raw_Data!G29))</f>
        <v>Spoken English</v>
      </c>
      <c r="I38" s="25" t="str">
        <f>PROPER(TRIM(Raw_Data!H29))</f>
        <v>Bengaluru South</v>
      </c>
      <c r="J38" s="26">
        <f>IF(LEN(TRIM(Raw_Data!I29))=4,VALUE(TRIM(Raw_Data!I29)),IF(ISNUMBER(IFERROR(VALUE(MID(TRIM(Raw_Data!I29),1,4)),"NA")),VALUE(MID(TRIM(Raw_Data!I29),1,4)),VALUE(RIGHT(TRIM(Raw_Data!I29),4))))</f>
        <v>2018</v>
      </c>
      <c r="K38" s="25" t="str">
        <f>PROPER(TRIM(Raw_Data!J29))</f>
        <v>Government Employee</v>
      </c>
      <c r="L38" s="25" t="str">
        <f t="shared" si="0"/>
        <v>Under 10</v>
      </c>
      <c r="M38" s="25" t="str">
        <f t="shared" si="1"/>
        <v>Kids</v>
      </c>
      <c r="N38" s="25" t="str">
        <f>IF(ISNUMBER(SEARCH("NON",UPPER(Raw_Data!M29))),"Non-Premium Learner","Premium Learner")</f>
        <v>Non-Premium Learner</v>
      </c>
      <c r="O38" s="25" t="str">
        <f>PROPER(TRIM(Raw_Data!N29))</f>
        <v>Web Only</v>
      </c>
      <c r="P38" s="26">
        <f>IF(Raw_Data!O29="",$C$7,Raw_Data!O29)</f>
        <v>147135.47</v>
      </c>
      <c r="Q38" s="25" t="str">
        <f>IF(Raw_Data!O29="","Missing-Imputed","Original")</f>
        <v>Original</v>
      </c>
      <c r="R38" s="26">
        <f>Raw_Data!P29</f>
        <v>46.3</v>
      </c>
      <c r="S38" s="26">
        <f>Raw_Data!Q29</f>
        <v>23015.16</v>
      </c>
      <c r="T38" s="25" t="str">
        <f>IF(Raw_Data!R29="","Unknown",IF(ISNUMBER(SEARCH("ACT",UPPER(Raw_Data!R29))),"Active",IF(ISNUMBER(SEARCH("CLOS",UPPER(Raw_Data!R29))),"Closed","None")))</f>
        <v>Unknown</v>
      </c>
      <c r="U38" s="26">
        <f>IF(Raw_Data!S29="",$C$8,VALUE(Raw_Data!S29))</f>
        <v>439</v>
      </c>
      <c r="V38" s="25" t="str">
        <f>IF(Raw_Data!S29="","Missing-Imputed","Original")</f>
        <v>Original</v>
      </c>
      <c r="W38" s="26">
        <f>Raw_Data!T29</f>
        <v>70</v>
      </c>
      <c r="X38" s="25" t="str">
        <f>IF(ISNUMBER(SEARCH("Y",UPPER(TRIM(Raw_Data!U29)))),"Yes","No")</f>
        <v>No</v>
      </c>
      <c r="Y38" s="25" t="str">
        <f>IF(ISNUMBER(SEARCH("Y",UPPER(TRIM(Raw_Data!V29)))),"Yes","No")</f>
        <v>No</v>
      </c>
      <c r="Z38" s="26">
        <f>Raw_Data!W29</f>
        <v>3</v>
      </c>
      <c r="AA38" s="26">
        <f>Raw_Data!X29</f>
        <v>6.7</v>
      </c>
      <c r="AB38" s="25" t="str">
        <f>IF(COUNTIFS(Raw_Data!$A$2:$A$616,Raw_Data!A29)&gt;1,"Duplicate","Unique")</f>
        <v>Unique</v>
      </c>
      <c r="AC38" s="25" t="str">
        <f t="shared" si="2"/>
        <v>Clean</v>
      </c>
    </row>
    <row r="39" spans="1:29" ht="15" customHeight="1">
      <c r="A39" s="23" t="str">
        <f>Raw_Data!A30</f>
        <v>BYJ1029</v>
      </c>
      <c r="B39" s="23" t="str">
        <f>Raw_Data!B30</f>
        <v>Frederick Sunder</v>
      </c>
      <c r="C39" s="24">
        <f>IF(OR(Raw_Data!C30="",Raw_Data!C30&lt;$C$5,Raw_Data!C30&gt;$C$6),$C$4,Raw_Data!C30)</f>
        <v>37</v>
      </c>
      <c r="D39" s="23" t="str">
        <f>IF(Raw_Data!C30="","Missing-Imputed",IF(OR(Raw_Data!C30&lt;$C$5,Raw_Data!C30&gt;$C$6),"Outlier-Imputed","Original"))</f>
        <v>Original</v>
      </c>
      <c r="E39" s="23" t="str">
        <f>IF(OR(UPPER(TRIM(Raw_Data!D30))="M",UPPER(TRIM(Raw_Data!D30))="MALE"),"Male","Female")</f>
        <v>Male</v>
      </c>
      <c r="F39" s="23" t="str">
        <f>PROPER(TRIM(Raw_Data!E30))</f>
        <v>Katihar</v>
      </c>
      <c r="G39" s="23" t="str">
        <f>PROPER(TRIM(Raw_Data!F30))</f>
        <v>Gujarat</v>
      </c>
      <c r="H39" s="23" t="str">
        <f>PROPER(TRIM(Raw_Data!G30))</f>
        <v>Neet Prep</v>
      </c>
      <c r="I39" s="23" t="str">
        <f>PROPER(TRIM(Raw_Data!H30))</f>
        <v>Jaipur Center</v>
      </c>
      <c r="J39" s="24">
        <f>IF(LEN(TRIM(Raw_Data!I30))=4,VALUE(TRIM(Raw_Data!I30)),IF(ISNUMBER(IFERROR(VALUE(MID(TRIM(Raw_Data!I30),1,4)),"NA")),VALUE(MID(TRIM(Raw_Data!I30),1,4)),VALUE(RIGHT(TRIM(Raw_Data!I30),4))))</f>
        <v>2024</v>
      </c>
      <c r="K39" s="23" t="str">
        <f>PROPER(TRIM(Raw_Data!J30))</f>
        <v>Business</v>
      </c>
      <c r="L39" s="23" t="str">
        <f t="shared" si="0"/>
        <v>20+</v>
      </c>
      <c r="M39" s="23" t="str">
        <f t="shared" si="1"/>
        <v>Adult Learners</v>
      </c>
      <c r="N39" s="23" t="str">
        <f>IF(ISNUMBER(SEARCH("NON",UPPER(Raw_Data!M30))),"Non-Premium Learner","Premium Learner")</f>
        <v>Non-Premium Learner</v>
      </c>
      <c r="O39" s="23" t="str">
        <f>PROPER(TRIM(Raw_Data!N30))</f>
        <v>Web Only</v>
      </c>
      <c r="P39" s="24">
        <f>IF(Raw_Data!O30="",$C$7,Raw_Data!O30)</f>
        <v>38866.550000000003</v>
      </c>
      <c r="Q39" s="23" t="str">
        <f>IF(Raw_Data!O30="","Missing-Imputed","Original")</f>
        <v>Original</v>
      </c>
      <c r="R39" s="24">
        <f>Raw_Data!P30</f>
        <v>8.3000000000000007</v>
      </c>
      <c r="S39" s="24">
        <f>Raw_Data!Q30</f>
        <v>44682.31</v>
      </c>
      <c r="T39" s="23" t="str">
        <f>IF(Raw_Data!R30="","Unknown",IF(ISNUMBER(SEARCH("ACT",UPPER(Raw_Data!R30))),"Active",IF(ISNUMBER(SEARCH("CLOS",UPPER(Raw_Data!R30))),"Closed","None")))</f>
        <v>None</v>
      </c>
      <c r="U39" s="24">
        <f>IF(Raw_Data!S30="",$C$8,VALUE(Raw_Data!S30))</f>
        <v>695</v>
      </c>
      <c r="V39" s="23" t="str">
        <f>IF(Raw_Data!S30="","Missing-Imputed","Original")</f>
        <v>Original</v>
      </c>
      <c r="W39" s="24">
        <f>Raw_Data!T30</f>
        <v>166</v>
      </c>
      <c r="X39" s="23" t="str">
        <f>IF(ISNUMBER(SEARCH("Y",UPPER(TRIM(Raw_Data!U30)))),"Yes","No")</f>
        <v>Yes</v>
      </c>
      <c r="Y39" s="23" t="str">
        <f>IF(ISNUMBER(SEARCH("Y",UPPER(TRIM(Raw_Data!V30)))),"Yes","No")</f>
        <v>Yes</v>
      </c>
      <c r="Z39" s="24">
        <f>Raw_Data!W30</f>
        <v>5</v>
      </c>
      <c r="AA39" s="24">
        <f>Raw_Data!X30</f>
        <v>8.6999999999999993</v>
      </c>
      <c r="AB39" s="23" t="str">
        <f>IF(COUNTIFS(Raw_Data!$A$2:$A$616,Raw_Data!A30)&gt;1,"Duplicate","Unique")</f>
        <v>Duplicate</v>
      </c>
      <c r="AC39" s="23" t="str">
        <f t="shared" si="2"/>
        <v>Review-Duplicate</v>
      </c>
    </row>
    <row r="40" spans="1:29" ht="15" customHeight="1">
      <c r="A40" s="25" t="str">
        <f>Raw_Data!A31</f>
        <v>BYJ1030</v>
      </c>
      <c r="B40" s="25" t="str">
        <f>Raw_Data!B31</f>
        <v>Kabir Soman</v>
      </c>
      <c r="C40" s="26">
        <f>IF(OR(Raw_Data!C31="",Raw_Data!C31&lt;$C$5,Raw_Data!C31&gt;$C$6),$C$4,Raw_Data!C31)</f>
        <v>34</v>
      </c>
      <c r="D40" s="25" t="str">
        <f>IF(Raw_Data!C31="","Missing-Imputed",IF(OR(Raw_Data!C31&lt;$C$5,Raw_Data!C31&gt;$C$6),"Outlier-Imputed","Original"))</f>
        <v>Original</v>
      </c>
      <c r="E40" s="25" t="str">
        <f>IF(OR(UPPER(TRIM(Raw_Data!D31))="M",UPPER(TRIM(Raw_Data!D31))="MALE"),"Male","Female")</f>
        <v>Male</v>
      </c>
      <c r="F40" s="25" t="str">
        <f>PROPER(TRIM(Raw_Data!E31))</f>
        <v>Bilaspur</v>
      </c>
      <c r="G40" s="25" t="str">
        <f>PROPER(TRIM(Raw_Data!F31))</f>
        <v>Tamil Nadu</v>
      </c>
      <c r="H40" s="25" t="str">
        <f>PROPER(TRIM(Raw_Data!G31))</f>
        <v>Science</v>
      </c>
      <c r="I40" s="25" t="str">
        <f>PROPER(TRIM(Raw_Data!H31))</f>
        <v>Kolkata Main</v>
      </c>
      <c r="J40" s="26">
        <f>IF(LEN(TRIM(Raw_Data!I31))=4,VALUE(TRIM(Raw_Data!I31)),IF(ISNUMBER(IFERROR(VALUE(MID(TRIM(Raw_Data!I31),1,4)),"NA")),VALUE(MID(TRIM(Raw_Data!I31),1,4)),VALUE(RIGHT(TRIM(Raw_Data!I31),4))))</f>
        <v>2018</v>
      </c>
      <c r="K40" s="25" t="str">
        <f>PROPER(TRIM(Raw_Data!J31))</f>
        <v>Homemaker</v>
      </c>
      <c r="L40" s="25" t="str">
        <f t="shared" si="0"/>
        <v>20+</v>
      </c>
      <c r="M40" s="25" t="str">
        <f t="shared" si="1"/>
        <v>Adult Learners</v>
      </c>
      <c r="N40" s="25" t="str">
        <f>IF(ISNUMBER(SEARCH("NON",UPPER(Raw_Data!M31))),"Non-Premium Learner","Premium Learner")</f>
        <v>Non-Premium Learner</v>
      </c>
      <c r="O40" s="25" t="str">
        <f>PROPER(TRIM(Raw_Data!N31))</f>
        <v>App Only</v>
      </c>
      <c r="P40" s="26">
        <f>IF(Raw_Data!O31="",$C$7,Raw_Data!O31)</f>
        <v>128505.97</v>
      </c>
      <c r="Q40" s="25" t="str">
        <f>IF(Raw_Data!O31="","Missing-Imputed","Original")</f>
        <v>Original</v>
      </c>
      <c r="R40" s="26">
        <f>Raw_Data!P31</f>
        <v>69.5</v>
      </c>
      <c r="S40" s="26">
        <f>Raw_Data!Q31</f>
        <v>22800.560000000001</v>
      </c>
      <c r="T40" s="25" t="str">
        <f>IF(Raw_Data!R31="","Unknown",IF(ISNUMBER(SEARCH("ACT",UPPER(Raw_Data!R31))),"Active",IF(ISNUMBER(SEARCH("CLOS",UPPER(Raw_Data!R31))),"Closed","None")))</f>
        <v>Closed</v>
      </c>
      <c r="U40" s="26">
        <f>IF(Raw_Data!S31="",$C$8,VALUE(Raw_Data!S31))</f>
        <v>799</v>
      </c>
      <c r="V40" s="25" t="str">
        <f>IF(Raw_Data!S31="","Missing-Imputed","Original")</f>
        <v>Original</v>
      </c>
      <c r="W40" s="26">
        <f>Raw_Data!T31</f>
        <v>9</v>
      </c>
      <c r="X40" s="25" t="str">
        <f>IF(ISNUMBER(SEARCH("Y",UPPER(TRIM(Raw_Data!U31)))),"Yes","No")</f>
        <v>Yes</v>
      </c>
      <c r="Y40" s="25" t="str">
        <f>IF(ISNUMBER(SEARCH("Y",UPPER(TRIM(Raw_Data!V31)))),"Yes","No")</f>
        <v>No</v>
      </c>
      <c r="Z40" s="26">
        <f>Raw_Data!W31</f>
        <v>1</v>
      </c>
      <c r="AA40" s="26">
        <f>Raw_Data!X31</f>
        <v>4.2</v>
      </c>
      <c r="AB40" s="25" t="str">
        <f>IF(COUNTIFS(Raw_Data!$A$2:$A$616,Raw_Data!A31)&gt;1,"Duplicate","Unique")</f>
        <v>Unique</v>
      </c>
      <c r="AC40" s="25" t="str">
        <f t="shared" si="2"/>
        <v>Clean</v>
      </c>
    </row>
    <row r="41" spans="1:29" ht="15" customHeight="1">
      <c r="A41" s="23" t="str">
        <f>Raw_Data!A32</f>
        <v>BYJ1031</v>
      </c>
      <c r="B41" s="23" t="str">
        <f>Raw_Data!B32</f>
        <v>Siddharth Zacharia</v>
      </c>
      <c r="C41" s="24">
        <f>IF(OR(Raw_Data!C32="",Raw_Data!C32&lt;$C$5,Raw_Data!C32&gt;$C$6),$C$4,Raw_Data!C32)</f>
        <v>12</v>
      </c>
      <c r="D41" s="23" t="str">
        <f>IF(Raw_Data!C32="","Missing-Imputed",IF(OR(Raw_Data!C32&lt;$C$5,Raw_Data!C32&gt;$C$6),"Outlier-Imputed","Original"))</f>
        <v>Original</v>
      </c>
      <c r="E41" s="23" t="str">
        <f>IF(OR(UPPER(TRIM(Raw_Data!D32))="M",UPPER(TRIM(Raw_Data!D32))="MALE"),"Male","Female")</f>
        <v>Female</v>
      </c>
      <c r="F41" s="23" t="str">
        <f>PROPER(TRIM(Raw_Data!E32))</f>
        <v>Bijapur</v>
      </c>
      <c r="G41" s="23" t="str">
        <f>PROPER(TRIM(Raw_Data!F32))</f>
        <v>Tamil Nadu</v>
      </c>
      <c r="H41" s="23" t="str">
        <f>PROPER(TRIM(Raw_Data!G32))</f>
        <v>Coding</v>
      </c>
      <c r="I41" s="23" t="str">
        <f>PROPER(TRIM(Raw_Data!H32))</f>
        <v>Pune East</v>
      </c>
      <c r="J41" s="24">
        <f>IF(LEN(TRIM(Raw_Data!I32))=4,VALUE(TRIM(Raw_Data!I32)),IF(ISNUMBER(IFERROR(VALUE(MID(TRIM(Raw_Data!I32),1,4)),"NA")),VALUE(MID(TRIM(Raw_Data!I32),1,4)),VALUE(RIGHT(TRIM(Raw_Data!I32),4))))</f>
        <v>2016</v>
      </c>
      <c r="K41" s="23" t="str">
        <f>PROPER(TRIM(Raw_Data!J32))</f>
        <v>Self-Employed</v>
      </c>
      <c r="L41" s="23" t="str">
        <f t="shared" si="0"/>
        <v>10-13</v>
      </c>
      <c r="M41" s="23" t="str">
        <f t="shared" si="1"/>
        <v>Kids</v>
      </c>
      <c r="N41" s="23" t="str">
        <f>IF(ISNUMBER(SEARCH("NON",UPPER(Raw_Data!M32))),"Non-Premium Learner","Premium Learner")</f>
        <v>Premium Learner</v>
      </c>
      <c r="O41" s="23" t="str">
        <f>PROPER(TRIM(Raw_Data!N32))</f>
        <v>Both App &amp; Web</v>
      </c>
      <c r="P41" s="24">
        <f>IF(Raw_Data!O32="",$C$7,Raw_Data!O32)</f>
        <v>103861.05</v>
      </c>
      <c r="Q41" s="23" t="str">
        <f>IF(Raw_Data!O32="","Missing-Imputed","Original")</f>
        <v>Original</v>
      </c>
      <c r="R41" s="24">
        <f>Raw_Data!P32</f>
        <v>18.100000000000001</v>
      </c>
      <c r="S41" s="24">
        <f>Raw_Data!Q32</f>
        <v>36569.51</v>
      </c>
      <c r="T41" s="23" t="str">
        <f>IF(Raw_Data!R32="","Unknown",IF(ISNUMBER(SEARCH("ACT",UPPER(Raw_Data!R32))),"Active",IF(ISNUMBER(SEARCH("CLOS",UPPER(Raw_Data!R32))),"Closed","None")))</f>
        <v>Closed</v>
      </c>
      <c r="U41" s="24">
        <f>IF(Raw_Data!S32="",$C$8,VALUE(Raw_Data!S32))</f>
        <v>546</v>
      </c>
      <c r="V41" s="23" t="str">
        <f>IF(Raw_Data!S32="","Missing-Imputed","Original")</f>
        <v>Original</v>
      </c>
      <c r="W41" s="24">
        <f>Raw_Data!T32</f>
        <v>149</v>
      </c>
      <c r="X41" s="23" t="str">
        <f>IF(ISNUMBER(SEARCH("Y",UPPER(TRIM(Raw_Data!U32)))),"Yes","No")</f>
        <v>Yes</v>
      </c>
      <c r="Y41" s="23" t="str">
        <f>IF(ISNUMBER(SEARCH("Y",UPPER(TRIM(Raw_Data!V32)))),"Yes","No")</f>
        <v>No</v>
      </c>
      <c r="Z41" s="24">
        <f>Raw_Data!W32</f>
        <v>4</v>
      </c>
      <c r="AA41" s="24">
        <f>Raw_Data!X32</f>
        <v>2.7</v>
      </c>
      <c r="AB41" s="23" t="str">
        <f>IF(COUNTIFS(Raw_Data!$A$2:$A$616,Raw_Data!A32)&gt;1,"Duplicate","Unique")</f>
        <v>Unique</v>
      </c>
      <c r="AC41" s="23" t="str">
        <f t="shared" si="2"/>
        <v>Clean</v>
      </c>
    </row>
    <row r="42" spans="1:29" ht="15" customHeight="1">
      <c r="A42" s="25" t="str">
        <f>Raw_Data!A33</f>
        <v>BYJ1032</v>
      </c>
      <c r="B42" s="25" t="str">
        <f>Raw_Data!B33</f>
        <v xml:space="preserve">  Kashvi Sarma  </v>
      </c>
      <c r="C42" s="26">
        <f>IF(OR(Raw_Data!C33="",Raw_Data!C33&lt;$C$5,Raw_Data!C33&gt;$C$6),$C$4,Raw_Data!C33)</f>
        <v>24</v>
      </c>
      <c r="D42" s="25" t="str">
        <f>IF(Raw_Data!C33="","Missing-Imputed",IF(OR(Raw_Data!C33&lt;$C$5,Raw_Data!C33&gt;$C$6),"Outlier-Imputed","Original"))</f>
        <v>Original</v>
      </c>
      <c r="E42" s="25" t="str">
        <f>IF(OR(UPPER(TRIM(Raw_Data!D33))="M",UPPER(TRIM(Raw_Data!D33))="MALE"),"Male","Female")</f>
        <v>Male</v>
      </c>
      <c r="F42" s="25" t="str">
        <f>PROPER(TRIM(Raw_Data!E33))</f>
        <v>Jamshedpur</v>
      </c>
      <c r="G42" s="25" t="str">
        <f>PROPER(TRIM(Raw_Data!F33))</f>
        <v>Gujarat</v>
      </c>
      <c r="H42" s="25" t="str">
        <f>PROPER(TRIM(Raw_Data!G33))</f>
        <v>Jee Prep</v>
      </c>
      <c r="I42" s="25" t="str">
        <f>PROPER(TRIM(Raw_Data!H33))</f>
        <v>Kolkata Main</v>
      </c>
      <c r="J42" s="26">
        <f>IF(LEN(TRIM(Raw_Data!I33))=4,VALUE(TRIM(Raw_Data!I33)),IF(ISNUMBER(IFERROR(VALUE(MID(TRIM(Raw_Data!I33),1,4)),"NA")),VALUE(MID(TRIM(Raw_Data!I33),1,4)),VALUE(RIGHT(TRIM(Raw_Data!I33),4))))</f>
        <v>2020</v>
      </c>
      <c r="K42" s="25" t="str">
        <f>PROPER(TRIM(Raw_Data!J33))</f>
        <v>Business</v>
      </c>
      <c r="L42" s="25" t="str">
        <f t="shared" si="0"/>
        <v>20+</v>
      </c>
      <c r="M42" s="25" t="str">
        <f t="shared" si="1"/>
        <v>Adult Learners</v>
      </c>
      <c r="N42" s="25" t="str">
        <f>IF(ISNUMBER(SEARCH("NON",UPPER(Raw_Data!M33))),"Non-Premium Learner","Premium Learner")</f>
        <v>Non-Premium Learner</v>
      </c>
      <c r="O42" s="25" t="str">
        <f>PROPER(TRIM(Raw_Data!N33))</f>
        <v>App Only</v>
      </c>
      <c r="P42" s="26">
        <f>IF(Raw_Data!O33="",$C$7,Raw_Data!O33)</f>
        <v>39394.83</v>
      </c>
      <c r="Q42" s="25" t="str">
        <f>IF(Raw_Data!O33="","Missing-Imputed","Original")</f>
        <v>Original</v>
      </c>
      <c r="R42" s="26">
        <f>Raw_Data!P33</f>
        <v>48.1</v>
      </c>
      <c r="S42" s="26">
        <f>Raw_Data!Q33</f>
        <v>59561.52</v>
      </c>
      <c r="T42" s="25" t="str">
        <f>IF(Raw_Data!R33="","Unknown",IF(ISNUMBER(SEARCH("ACT",UPPER(Raw_Data!R33))),"Active",IF(ISNUMBER(SEARCH("CLOS",UPPER(Raw_Data!R33))),"Closed","None")))</f>
        <v>Closed</v>
      </c>
      <c r="U42" s="26">
        <f>IF(Raw_Data!S33="",$C$8,VALUE(Raw_Data!S33))</f>
        <v>705</v>
      </c>
      <c r="V42" s="25" t="str">
        <f>IF(Raw_Data!S33="","Missing-Imputed","Original")</f>
        <v>Original</v>
      </c>
      <c r="W42" s="26">
        <f>Raw_Data!T33</f>
        <v>144</v>
      </c>
      <c r="X42" s="25" t="str">
        <f>IF(ISNUMBER(SEARCH("Y",UPPER(TRIM(Raw_Data!U33)))),"Yes","No")</f>
        <v>Yes</v>
      </c>
      <c r="Y42" s="25" t="str">
        <f>IF(ISNUMBER(SEARCH("Y",UPPER(TRIM(Raw_Data!V33)))),"Yes","No")</f>
        <v>No</v>
      </c>
      <c r="Z42" s="26">
        <f>Raw_Data!W33</f>
        <v>5</v>
      </c>
      <c r="AA42" s="26">
        <f>Raw_Data!X33</f>
        <v>7.3</v>
      </c>
      <c r="AB42" s="25" t="str">
        <f>IF(COUNTIFS(Raw_Data!$A$2:$A$616,Raw_Data!A33)&gt;1,"Duplicate","Unique")</f>
        <v>Unique</v>
      </c>
      <c r="AC42" s="25" t="str">
        <f t="shared" si="2"/>
        <v>Clean</v>
      </c>
    </row>
    <row r="43" spans="1:29" ht="15" customHeight="1">
      <c r="A43" s="23" t="str">
        <f>Raw_Data!A34</f>
        <v>BYJ1033</v>
      </c>
      <c r="B43" s="23" t="str">
        <f>Raw_Data!B34</f>
        <v>Umang Bhatt</v>
      </c>
      <c r="C43" s="24">
        <f>IF(OR(Raw_Data!C34="",Raw_Data!C34&lt;$C$5,Raw_Data!C34&gt;$C$6),$C$4,Raw_Data!C34)</f>
        <v>22</v>
      </c>
      <c r="D43" s="23" t="str">
        <f>IF(Raw_Data!C34="","Missing-Imputed",IF(OR(Raw_Data!C34&lt;$C$5,Raw_Data!C34&gt;$C$6),"Outlier-Imputed","Original"))</f>
        <v>Original</v>
      </c>
      <c r="E43" s="23" t="str">
        <f>IF(OR(UPPER(TRIM(Raw_Data!D34))="M",UPPER(TRIM(Raw_Data!D34))="MALE"),"Male","Female")</f>
        <v>Male</v>
      </c>
      <c r="F43" s="23" t="str">
        <f>PROPER(TRIM(Raw_Data!E34))</f>
        <v>Jaipur</v>
      </c>
      <c r="G43" s="23" t="str">
        <f>PROPER(TRIM(Raw_Data!F34))</f>
        <v>Tamil Nadu</v>
      </c>
      <c r="H43" s="23" t="str">
        <f>PROPER(TRIM(Raw_Data!G34))</f>
        <v>Jee Prep</v>
      </c>
      <c r="I43" s="23" t="str">
        <f>PROPER(TRIM(Raw_Data!H34))</f>
        <v>Ahmedabad Center</v>
      </c>
      <c r="J43" s="24">
        <f>IF(LEN(TRIM(Raw_Data!I34))=4,VALUE(TRIM(Raw_Data!I34)),IF(ISNUMBER(IFERROR(VALUE(MID(TRIM(Raw_Data!I34),1,4)),"NA")),VALUE(MID(TRIM(Raw_Data!I34),1,4)),VALUE(RIGHT(TRIM(Raw_Data!I34),4))))</f>
        <v>2016</v>
      </c>
      <c r="K43" s="23" t="str">
        <f>PROPER(TRIM(Raw_Data!J34))</f>
        <v>Salaried</v>
      </c>
      <c r="L43" s="23" t="str">
        <f t="shared" si="0"/>
        <v>20+</v>
      </c>
      <c r="M43" s="23" t="str">
        <f t="shared" si="1"/>
        <v>Adult Learners</v>
      </c>
      <c r="N43" s="23" t="str">
        <f>IF(ISNUMBER(SEARCH("NON",UPPER(Raw_Data!M34))),"Non-Premium Learner","Premium Learner")</f>
        <v>Non-Premium Learner</v>
      </c>
      <c r="O43" s="23" t="str">
        <f>PROPER(TRIM(Raw_Data!N34))</f>
        <v>Web Only</v>
      </c>
      <c r="P43" s="24">
        <f>IF(Raw_Data!O34="",$C$7,Raw_Data!O34)</f>
        <v>30467.81</v>
      </c>
      <c r="Q43" s="23" t="str">
        <f>IF(Raw_Data!O34="","Missing-Imputed","Original")</f>
        <v>Original</v>
      </c>
      <c r="R43" s="24">
        <f>Raw_Data!P34</f>
        <v>45.5</v>
      </c>
      <c r="S43" s="24">
        <f>Raw_Data!Q34</f>
        <v>58289.37</v>
      </c>
      <c r="T43" s="23" t="str">
        <f>IF(Raw_Data!R34="","Unknown",IF(ISNUMBER(SEARCH("ACT",UPPER(Raw_Data!R34))),"Active",IF(ISNUMBER(SEARCH("CLOS",UPPER(Raw_Data!R34))),"Closed","None")))</f>
        <v>Unknown</v>
      </c>
      <c r="U43" s="24">
        <f>IF(Raw_Data!S34="",$C$8,VALUE(Raw_Data!S34))</f>
        <v>579</v>
      </c>
      <c r="V43" s="23" t="str">
        <f>IF(Raw_Data!S34="","Missing-Imputed","Original")</f>
        <v>Original</v>
      </c>
      <c r="W43" s="24">
        <f>Raw_Data!T34</f>
        <v>65</v>
      </c>
      <c r="X43" s="23" t="str">
        <f>IF(ISNUMBER(SEARCH("Y",UPPER(TRIM(Raw_Data!U34)))),"Yes","No")</f>
        <v>No</v>
      </c>
      <c r="Y43" s="23" t="str">
        <f>IF(ISNUMBER(SEARCH("Y",UPPER(TRIM(Raw_Data!V34)))),"Yes","No")</f>
        <v>No</v>
      </c>
      <c r="Z43" s="24">
        <f>Raw_Data!W34</f>
        <v>4</v>
      </c>
      <c r="AA43" s="24">
        <f>Raw_Data!X34</f>
        <v>8.6999999999999993</v>
      </c>
      <c r="AB43" s="23" t="str">
        <f>IF(COUNTIFS(Raw_Data!$A$2:$A$616,Raw_Data!A34)&gt;1,"Duplicate","Unique")</f>
        <v>Unique</v>
      </c>
      <c r="AC43" s="23" t="str">
        <f t="shared" si="2"/>
        <v>Clean</v>
      </c>
    </row>
    <row r="44" spans="1:29" ht="15" customHeight="1">
      <c r="A44" s="25" t="str">
        <f>Raw_Data!A35</f>
        <v>BYJ1034</v>
      </c>
      <c r="B44" s="25" t="str">
        <f>Raw_Data!B35</f>
        <v>Thomas Amble</v>
      </c>
      <c r="C44" s="26">
        <f>IF(OR(Raw_Data!C35="",Raw_Data!C35&lt;$C$5,Raw_Data!C35&gt;$C$6),$C$4,Raw_Data!C35)</f>
        <v>31</v>
      </c>
      <c r="D44" s="25" t="str">
        <f>IF(Raw_Data!C35="","Missing-Imputed",IF(OR(Raw_Data!C35&lt;$C$5,Raw_Data!C35&gt;$C$6),"Outlier-Imputed","Original"))</f>
        <v>Original</v>
      </c>
      <c r="E44" s="25" t="str">
        <f>IF(OR(UPPER(TRIM(Raw_Data!D35))="M",UPPER(TRIM(Raw_Data!D35))="MALE"),"Male","Female")</f>
        <v>Female</v>
      </c>
      <c r="F44" s="25" t="str">
        <f>PROPER(TRIM(Raw_Data!E35))</f>
        <v>Allahabad</v>
      </c>
      <c r="G44" s="25" t="str">
        <f>PROPER(TRIM(Raw_Data!F35))</f>
        <v>Tamil Nadu</v>
      </c>
      <c r="H44" s="25" t="str">
        <f>PROPER(TRIM(Raw_Data!G35))</f>
        <v>Jee Prep</v>
      </c>
      <c r="I44" s="25" t="str">
        <f>PROPER(TRIM(Raw_Data!H35))</f>
        <v>Jaipur Center</v>
      </c>
      <c r="J44" s="26">
        <f>IF(LEN(TRIM(Raw_Data!I35))=4,VALUE(TRIM(Raw_Data!I35)),IF(ISNUMBER(IFERROR(VALUE(MID(TRIM(Raw_Data!I35),1,4)),"NA")),VALUE(MID(TRIM(Raw_Data!I35),1,4)),VALUE(RIGHT(TRIM(Raw_Data!I35),4))))</f>
        <v>2017</v>
      </c>
      <c r="K44" s="25" t="str">
        <f>PROPER(TRIM(Raw_Data!J35))</f>
        <v>Government Employee</v>
      </c>
      <c r="L44" s="25" t="str">
        <f t="shared" si="0"/>
        <v>20+</v>
      </c>
      <c r="M44" s="25" t="str">
        <f t="shared" si="1"/>
        <v>Adult Learners</v>
      </c>
      <c r="N44" s="25" t="str">
        <f>IF(ISNUMBER(SEARCH("NON",UPPER(Raw_Data!M35))),"Non-Premium Learner","Premium Learner")</f>
        <v>Non-Premium Learner</v>
      </c>
      <c r="O44" s="25" t="str">
        <f>PROPER(TRIM(Raw_Data!N35))</f>
        <v>Web Only</v>
      </c>
      <c r="P44" s="26">
        <f>IF(Raw_Data!O35="",$C$7,Raw_Data!O35)</f>
        <v>20710.18</v>
      </c>
      <c r="Q44" s="25" t="str">
        <f>IF(Raw_Data!O35="","Missing-Imputed","Original")</f>
        <v>Original</v>
      </c>
      <c r="R44" s="26">
        <f>Raw_Data!P35</f>
        <v>6.9</v>
      </c>
      <c r="S44" s="26">
        <f>Raw_Data!Q35</f>
        <v>53054.09</v>
      </c>
      <c r="T44" s="25" t="str">
        <f>IF(Raw_Data!R35="","Unknown",IF(ISNUMBER(SEARCH("ACT",UPPER(Raw_Data!R35))),"Active",IF(ISNUMBER(SEARCH("CLOS",UPPER(Raw_Data!R35))),"Closed","None")))</f>
        <v>None</v>
      </c>
      <c r="U44" s="26">
        <f>IF(Raw_Data!S35="",$C$8,VALUE(Raw_Data!S35))</f>
        <v>526</v>
      </c>
      <c r="V44" s="25" t="str">
        <f>IF(Raw_Data!S35="","Missing-Imputed","Original")</f>
        <v>Original</v>
      </c>
      <c r="W44" s="26">
        <f>Raw_Data!T35</f>
        <v>162</v>
      </c>
      <c r="X44" s="25" t="str">
        <f>IF(ISNUMBER(SEARCH("Y",UPPER(TRIM(Raw_Data!U35)))),"Yes","No")</f>
        <v>No</v>
      </c>
      <c r="Y44" s="25" t="str">
        <f>IF(ISNUMBER(SEARCH("Y",UPPER(TRIM(Raw_Data!V35)))),"Yes","No")</f>
        <v>No</v>
      </c>
      <c r="Z44" s="26">
        <f>Raw_Data!W35</f>
        <v>2</v>
      </c>
      <c r="AA44" s="26">
        <f>Raw_Data!X35</f>
        <v>0.9</v>
      </c>
      <c r="AB44" s="25" t="str">
        <f>IF(COUNTIFS(Raw_Data!$A$2:$A$616,Raw_Data!A35)&gt;1,"Duplicate","Unique")</f>
        <v>Unique</v>
      </c>
      <c r="AC44" s="25" t="str">
        <f t="shared" si="2"/>
        <v>Clean</v>
      </c>
    </row>
    <row r="45" spans="1:29" ht="15" customHeight="1">
      <c r="A45" s="23" t="str">
        <f>Raw_Data!A36</f>
        <v>BYJ1035</v>
      </c>
      <c r="B45" s="23" t="str">
        <f>Raw_Data!B36</f>
        <v xml:space="preserve">  Ekansh Balay  </v>
      </c>
      <c r="C45" s="24">
        <f>IF(OR(Raw_Data!C36="",Raw_Data!C36&lt;$C$5,Raw_Data!C36&gt;$C$6),$C$4,Raw_Data!C36)</f>
        <v>13</v>
      </c>
      <c r="D45" s="23" t="str">
        <f>IF(Raw_Data!C36="","Missing-Imputed",IF(OR(Raw_Data!C36&lt;$C$5,Raw_Data!C36&gt;$C$6),"Outlier-Imputed","Original"))</f>
        <v>Original</v>
      </c>
      <c r="E45" s="23" t="str">
        <f>IF(OR(UPPER(TRIM(Raw_Data!D36))="M",UPPER(TRIM(Raw_Data!D36))="MALE"),"Male","Female")</f>
        <v>Male</v>
      </c>
      <c r="F45" s="23" t="str">
        <f>PROPER(TRIM(Raw_Data!E36))</f>
        <v>Madurai</v>
      </c>
      <c r="G45" s="23" t="str">
        <f>PROPER(TRIM(Raw_Data!F36))</f>
        <v>Maharashtra</v>
      </c>
      <c r="H45" s="23" t="str">
        <f>PROPER(TRIM(Raw_Data!G36))</f>
        <v>Robotics</v>
      </c>
      <c r="I45" s="23" t="str">
        <f>PROPER(TRIM(Raw_Data!H36))</f>
        <v>Ahmedabad Center</v>
      </c>
      <c r="J45" s="24">
        <f>IF(LEN(TRIM(Raw_Data!I36))=4,VALUE(TRIM(Raw_Data!I36)),IF(ISNUMBER(IFERROR(VALUE(MID(TRIM(Raw_Data!I36),1,4)),"NA")),VALUE(MID(TRIM(Raw_Data!I36),1,4)),VALUE(RIGHT(TRIM(Raw_Data!I36),4))))</f>
        <v>2021</v>
      </c>
      <c r="K45" s="23" t="str">
        <f>PROPER(TRIM(Raw_Data!J36))</f>
        <v>Government Employee</v>
      </c>
      <c r="L45" s="23" t="str">
        <f t="shared" si="0"/>
        <v>10-13</v>
      </c>
      <c r="M45" s="23" t="str">
        <f t="shared" si="1"/>
        <v>Kids</v>
      </c>
      <c r="N45" s="23" t="str">
        <f>IF(ISNUMBER(SEARCH("NON",UPPER(Raw_Data!M36))),"Non-Premium Learner","Premium Learner")</f>
        <v>Non-Premium Learner</v>
      </c>
      <c r="O45" s="23" t="str">
        <f>PROPER(TRIM(Raw_Data!N36))</f>
        <v>Web Only</v>
      </c>
      <c r="P45" s="24">
        <f>IF(Raw_Data!O36="",$C$7,Raw_Data!O36)</f>
        <v>99963.68</v>
      </c>
      <c r="Q45" s="23" t="str">
        <f>IF(Raw_Data!O36="","Missing-Imputed","Original")</f>
        <v>Original</v>
      </c>
      <c r="R45" s="24">
        <f>Raw_Data!P36</f>
        <v>51.2</v>
      </c>
      <c r="S45" s="24">
        <f>Raw_Data!Q36</f>
        <v>56343.18</v>
      </c>
      <c r="T45" s="23" t="str">
        <f>IF(Raw_Data!R36="","Unknown",IF(ISNUMBER(SEARCH("ACT",UPPER(Raw_Data!R36))),"Active",IF(ISNUMBER(SEARCH("CLOS",UPPER(Raw_Data!R36))),"Closed","None")))</f>
        <v>Closed</v>
      </c>
      <c r="U45" s="24">
        <f>IF(Raw_Data!S36="",$C$8,VALUE(Raw_Data!S36))</f>
        <v>679</v>
      </c>
      <c r="V45" s="23" t="str">
        <f>IF(Raw_Data!S36="","Missing-Imputed","Original")</f>
        <v>Original</v>
      </c>
      <c r="W45" s="24">
        <f>Raw_Data!T36</f>
        <v>113</v>
      </c>
      <c r="X45" s="23" t="str">
        <f>IF(ISNUMBER(SEARCH("Y",UPPER(TRIM(Raw_Data!U36)))),"Yes","No")</f>
        <v>Yes</v>
      </c>
      <c r="Y45" s="23" t="str">
        <f>IF(ISNUMBER(SEARCH("Y",UPPER(TRIM(Raw_Data!V36)))),"Yes","No")</f>
        <v>Yes</v>
      </c>
      <c r="Z45" s="24">
        <f>Raw_Data!W36</f>
        <v>5</v>
      </c>
      <c r="AA45" s="24">
        <f>Raw_Data!X36</f>
        <v>8.1999999999999993</v>
      </c>
      <c r="AB45" s="23" t="str">
        <f>IF(COUNTIFS(Raw_Data!$A$2:$A$616,Raw_Data!A36)&gt;1,"Duplicate","Unique")</f>
        <v>Duplicate</v>
      </c>
      <c r="AC45" s="23" t="str">
        <f t="shared" si="2"/>
        <v>Review-Duplicate</v>
      </c>
    </row>
    <row r="46" spans="1:29" ht="15" customHeight="1">
      <c r="A46" s="25" t="str">
        <f>Raw_Data!A37</f>
        <v>BYJ1036</v>
      </c>
      <c r="B46" s="25" t="str">
        <f>Raw_Data!B37</f>
        <v>Arya Sunder</v>
      </c>
      <c r="C46" s="26">
        <f>IF(OR(Raw_Data!C37="",Raw_Data!C37&lt;$C$5,Raw_Data!C37&gt;$C$6),$C$4,Raw_Data!C37)</f>
        <v>23</v>
      </c>
      <c r="D46" s="25" t="str">
        <f>IF(Raw_Data!C37="","Missing-Imputed",IF(OR(Raw_Data!C37&lt;$C$5,Raw_Data!C37&gt;$C$6),"Outlier-Imputed","Original"))</f>
        <v>Original</v>
      </c>
      <c r="E46" s="25" t="str">
        <f>IF(OR(UPPER(TRIM(Raw_Data!D37))="M",UPPER(TRIM(Raw_Data!D37))="MALE"),"Male","Female")</f>
        <v>Male</v>
      </c>
      <c r="F46" s="25" t="str">
        <f>PROPER(TRIM(Raw_Data!E37))</f>
        <v>Panvel</v>
      </c>
      <c r="G46" s="25" t="str">
        <f>PROPER(TRIM(Raw_Data!F37))</f>
        <v>Rajasthan</v>
      </c>
      <c r="H46" s="25" t="str">
        <f>PROPER(TRIM(Raw_Data!G37))</f>
        <v>Mathematics</v>
      </c>
      <c r="I46" s="25" t="str">
        <f>PROPER(TRIM(Raw_Data!H37))</f>
        <v>Delhi North</v>
      </c>
      <c r="J46" s="26">
        <f>IF(LEN(TRIM(Raw_Data!I37))=4,VALUE(TRIM(Raw_Data!I37)),IF(ISNUMBER(IFERROR(VALUE(MID(TRIM(Raw_Data!I37),1,4)),"NA")),VALUE(MID(TRIM(Raw_Data!I37),1,4)),VALUE(RIGHT(TRIM(Raw_Data!I37),4))))</f>
        <v>2025</v>
      </c>
      <c r="K46" s="25" t="str">
        <f>PROPER(TRIM(Raw_Data!J37))</f>
        <v>Business</v>
      </c>
      <c r="L46" s="25" t="str">
        <f t="shared" si="0"/>
        <v>20+</v>
      </c>
      <c r="M46" s="25" t="str">
        <f t="shared" si="1"/>
        <v>Adult Learners</v>
      </c>
      <c r="N46" s="25" t="str">
        <f>IF(ISNUMBER(SEARCH("NON",UPPER(Raw_Data!M37))),"Non-Premium Learner","Premium Learner")</f>
        <v>Non-Premium Learner</v>
      </c>
      <c r="O46" s="25" t="str">
        <f>PROPER(TRIM(Raw_Data!N37))</f>
        <v>App Only</v>
      </c>
      <c r="P46" s="26">
        <f>IF(Raw_Data!O37="",$C$7,Raw_Data!O37)</f>
        <v>14948.47</v>
      </c>
      <c r="Q46" s="25" t="str">
        <f>IF(Raw_Data!O37="","Missing-Imputed","Original")</f>
        <v>Original</v>
      </c>
      <c r="R46" s="26">
        <f>Raw_Data!P37</f>
        <v>20.5</v>
      </c>
      <c r="S46" s="26">
        <f>Raw_Data!Q37</f>
        <v>12957.08</v>
      </c>
      <c r="T46" s="25" t="str">
        <f>IF(Raw_Data!R37="","Unknown",IF(ISNUMBER(SEARCH("ACT",UPPER(Raw_Data!R37))),"Active",IF(ISNUMBER(SEARCH("CLOS",UPPER(Raw_Data!R37))),"Closed","None")))</f>
        <v>Active</v>
      </c>
      <c r="U46" s="26">
        <f>IF(Raw_Data!S37="",$C$8,VALUE(Raw_Data!S37))</f>
        <v>451</v>
      </c>
      <c r="V46" s="25" t="str">
        <f>IF(Raw_Data!S37="","Missing-Imputed","Original")</f>
        <v>Original</v>
      </c>
      <c r="W46" s="26">
        <f>Raw_Data!T37</f>
        <v>152</v>
      </c>
      <c r="X46" s="25" t="str">
        <f>IF(ISNUMBER(SEARCH("Y",UPPER(TRIM(Raw_Data!U37)))),"Yes","No")</f>
        <v>Yes</v>
      </c>
      <c r="Y46" s="25" t="str">
        <f>IF(ISNUMBER(SEARCH("Y",UPPER(TRIM(Raw_Data!V37)))),"Yes","No")</f>
        <v>Yes</v>
      </c>
      <c r="Z46" s="26">
        <f>Raw_Data!W37</f>
        <v>5</v>
      </c>
      <c r="AA46" s="26">
        <f>Raw_Data!X37</f>
        <v>2.6</v>
      </c>
      <c r="AB46" s="25" t="str">
        <f>IF(COUNTIFS(Raw_Data!$A$2:$A$616,Raw_Data!A37)&gt;1,"Duplicate","Unique")</f>
        <v>Unique</v>
      </c>
      <c r="AC46" s="25" t="str">
        <f t="shared" si="2"/>
        <v>Clean</v>
      </c>
    </row>
    <row r="47" spans="1:29" ht="15" customHeight="1">
      <c r="A47" s="23" t="str">
        <f>Raw_Data!A38</f>
        <v>BYJ1037</v>
      </c>
      <c r="B47" s="23" t="str">
        <f>Raw_Data!B38</f>
        <v>Urvashi Kibe</v>
      </c>
      <c r="C47" s="24">
        <f>IF(OR(Raw_Data!C38="",Raw_Data!C38&lt;$C$5,Raw_Data!C38&gt;$C$6),$C$4,Raw_Data!C38)</f>
        <v>7</v>
      </c>
      <c r="D47" s="23" t="str">
        <f>IF(Raw_Data!C38="","Missing-Imputed",IF(OR(Raw_Data!C38&lt;$C$5,Raw_Data!C38&gt;$C$6),"Outlier-Imputed","Original"))</f>
        <v>Original</v>
      </c>
      <c r="E47" s="23" t="str">
        <f>IF(OR(UPPER(TRIM(Raw_Data!D38))="M",UPPER(TRIM(Raw_Data!D38))="MALE"),"Male","Female")</f>
        <v>Male</v>
      </c>
      <c r="F47" s="23" t="str">
        <f>PROPER(TRIM(Raw_Data!E38))</f>
        <v>Vellore</v>
      </c>
      <c r="G47" s="23" t="str">
        <f>PROPER(TRIM(Raw_Data!F38))</f>
        <v>Delhi</v>
      </c>
      <c r="H47" s="23" t="str">
        <f>PROPER(TRIM(Raw_Data!G38))</f>
        <v>Neet Prep</v>
      </c>
      <c r="I47" s="23" t="str">
        <f>PROPER(TRIM(Raw_Data!H38))</f>
        <v>Chennai Central</v>
      </c>
      <c r="J47" s="24">
        <f>IF(LEN(TRIM(Raw_Data!I38))=4,VALUE(TRIM(Raw_Data!I38)),IF(ISNUMBER(IFERROR(VALUE(MID(TRIM(Raw_Data!I38),1,4)),"NA")),VALUE(MID(TRIM(Raw_Data!I38),1,4)),VALUE(RIGHT(TRIM(Raw_Data!I38),4))))</f>
        <v>2018</v>
      </c>
      <c r="K47" s="23" t="str">
        <f>PROPER(TRIM(Raw_Data!J38))</f>
        <v>Retired</v>
      </c>
      <c r="L47" s="23" t="str">
        <f t="shared" si="0"/>
        <v>Under 10</v>
      </c>
      <c r="M47" s="23" t="str">
        <f t="shared" si="1"/>
        <v>Kids</v>
      </c>
      <c r="N47" s="23" t="str">
        <f>IF(ISNUMBER(SEARCH("NON",UPPER(Raw_Data!M38))),"Non-Premium Learner","Premium Learner")</f>
        <v>Non-Premium Learner</v>
      </c>
      <c r="O47" s="23" t="str">
        <f>PROPER(TRIM(Raw_Data!N38))</f>
        <v>App Only</v>
      </c>
      <c r="P47" s="24">
        <f>IF(Raw_Data!O38="",$C$7,Raw_Data!O38)</f>
        <v>74055.66</v>
      </c>
      <c r="Q47" s="23" t="str">
        <f>IF(Raw_Data!O38="","Missing-Imputed","Original")</f>
        <v>Original</v>
      </c>
      <c r="R47" s="24">
        <f>Raw_Data!P38</f>
        <v>43.5</v>
      </c>
      <c r="S47" s="24">
        <f>Raw_Data!Q38</f>
        <v>6543.24</v>
      </c>
      <c r="T47" s="23" t="str">
        <f>IF(Raw_Data!R38="","Unknown",IF(ISNUMBER(SEARCH("ACT",UPPER(Raw_Data!R38))),"Active",IF(ISNUMBER(SEARCH("CLOS",UPPER(Raw_Data!R38))),"Closed","None")))</f>
        <v>None</v>
      </c>
      <c r="U47" s="24">
        <f>IF(Raw_Data!S38="",$C$8,VALUE(Raw_Data!S38))</f>
        <v>344</v>
      </c>
      <c r="V47" s="23" t="str">
        <f>IF(Raw_Data!S38="","Missing-Imputed","Original")</f>
        <v>Original</v>
      </c>
      <c r="W47" s="24">
        <f>Raw_Data!T38</f>
        <v>168</v>
      </c>
      <c r="X47" s="23" t="str">
        <f>IF(ISNUMBER(SEARCH("Y",UPPER(TRIM(Raw_Data!U38)))),"Yes","No")</f>
        <v>No</v>
      </c>
      <c r="Y47" s="23" t="str">
        <f>IF(ISNUMBER(SEARCH("Y",UPPER(TRIM(Raw_Data!V38)))),"Yes","No")</f>
        <v>Yes</v>
      </c>
      <c r="Z47" s="24">
        <f>Raw_Data!W38</f>
        <v>4</v>
      </c>
      <c r="AA47" s="24">
        <f>Raw_Data!X38</f>
        <v>7.7</v>
      </c>
      <c r="AB47" s="23" t="str">
        <f>IF(COUNTIFS(Raw_Data!$A$2:$A$616,Raw_Data!A38)&gt;1,"Duplicate","Unique")</f>
        <v>Unique</v>
      </c>
      <c r="AC47" s="23" t="str">
        <f t="shared" si="2"/>
        <v>Clean</v>
      </c>
    </row>
    <row r="48" spans="1:29" ht="15" customHeight="1">
      <c r="A48" s="25" t="str">
        <f>Raw_Data!A39</f>
        <v>BYJ1038</v>
      </c>
      <c r="B48" s="25" t="str">
        <f>Raw_Data!B39</f>
        <v>Girindra Chatterjee</v>
      </c>
      <c r="C48" s="26">
        <f>IF(OR(Raw_Data!C39="",Raw_Data!C39&lt;$C$5,Raw_Data!C39&gt;$C$6),$C$4,Raw_Data!C39)</f>
        <v>34</v>
      </c>
      <c r="D48" s="25" t="str">
        <f>IF(Raw_Data!C39="","Missing-Imputed",IF(OR(Raw_Data!C39&lt;$C$5,Raw_Data!C39&gt;$C$6),"Outlier-Imputed","Original"))</f>
        <v>Original</v>
      </c>
      <c r="E48" s="25" t="str">
        <f>IF(OR(UPPER(TRIM(Raw_Data!D39))="M",UPPER(TRIM(Raw_Data!D39))="MALE"),"Male","Female")</f>
        <v>Male</v>
      </c>
      <c r="F48" s="25" t="str">
        <f>PROPER(TRIM(Raw_Data!E39))</f>
        <v>Raichur</v>
      </c>
      <c r="G48" s="25" t="str">
        <f>PROPER(TRIM(Raw_Data!F39))</f>
        <v>Maharashtra</v>
      </c>
      <c r="H48" s="25" t="str">
        <f>PROPER(TRIM(Raw_Data!G39))</f>
        <v>Mathematics</v>
      </c>
      <c r="I48" s="25" t="str">
        <f>PROPER(TRIM(Raw_Data!H39))</f>
        <v>Mumbai West</v>
      </c>
      <c r="J48" s="26">
        <f>IF(LEN(TRIM(Raw_Data!I39))=4,VALUE(TRIM(Raw_Data!I39)),IF(ISNUMBER(IFERROR(VALUE(MID(TRIM(Raw_Data!I39),1,4)),"NA")),VALUE(MID(TRIM(Raw_Data!I39),1,4)),VALUE(RIGHT(TRIM(Raw_Data!I39),4))))</f>
        <v>46043</v>
      </c>
      <c r="K48" s="25" t="str">
        <f>PROPER(TRIM(Raw_Data!J39))</f>
        <v>Self-Employed</v>
      </c>
      <c r="L48" s="25" t="str">
        <f t="shared" si="0"/>
        <v>20+</v>
      </c>
      <c r="M48" s="25" t="str">
        <f t="shared" si="1"/>
        <v>Adult Learners</v>
      </c>
      <c r="N48" s="25" t="str">
        <f>IF(ISNUMBER(SEARCH("NON",UPPER(Raw_Data!M39))),"Non-Premium Learner","Premium Learner")</f>
        <v>Non-Premium Learner</v>
      </c>
      <c r="O48" s="25" t="str">
        <f>PROPER(TRIM(Raw_Data!N39))</f>
        <v>Web Only</v>
      </c>
      <c r="P48" s="26">
        <f>IF(Raw_Data!O39="",$C$7,Raw_Data!O39)</f>
        <v>78304.91</v>
      </c>
      <c r="Q48" s="25" t="str">
        <f>IF(Raw_Data!O39="","Missing-Imputed","Original")</f>
        <v>Original</v>
      </c>
      <c r="R48" s="26">
        <f>Raw_Data!P39</f>
        <v>64.5</v>
      </c>
      <c r="S48" s="26">
        <f>Raw_Data!Q39</f>
        <v>6864.84</v>
      </c>
      <c r="T48" s="25" t="str">
        <f>IF(Raw_Data!R39="","Unknown",IF(ISNUMBER(SEARCH("ACT",UPPER(Raw_Data!R39))),"Active",IF(ISNUMBER(SEARCH("CLOS",UPPER(Raw_Data!R39))),"Closed","None")))</f>
        <v>Unknown</v>
      </c>
      <c r="U48" s="26">
        <f>IF(Raw_Data!S39="",$C$8,VALUE(Raw_Data!S39))</f>
        <v>520</v>
      </c>
      <c r="V48" s="25" t="str">
        <f>IF(Raw_Data!S39="","Missing-Imputed","Original")</f>
        <v>Original</v>
      </c>
      <c r="W48" s="26">
        <f>Raw_Data!T39</f>
        <v>58</v>
      </c>
      <c r="X48" s="25" t="str">
        <f>IF(ISNUMBER(SEARCH("Y",UPPER(TRIM(Raw_Data!U39)))),"Yes","No")</f>
        <v>No</v>
      </c>
      <c r="Y48" s="25" t="str">
        <f>IF(ISNUMBER(SEARCH("Y",UPPER(TRIM(Raw_Data!V39)))),"Yes","No")</f>
        <v>No</v>
      </c>
      <c r="Z48" s="26">
        <f>Raw_Data!W39</f>
        <v>4</v>
      </c>
      <c r="AA48" s="26">
        <f>Raw_Data!X39</f>
        <v>6.7</v>
      </c>
      <c r="AB48" s="25" t="str">
        <f>IF(COUNTIFS(Raw_Data!$A$2:$A$616,Raw_Data!A39)&gt;1,"Duplicate","Unique")</f>
        <v>Unique</v>
      </c>
      <c r="AC48" s="25" t="str">
        <f t="shared" si="2"/>
        <v>Clean</v>
      </c>
    </row>
    <row r="49" spans="1:29" ht="15" customHeight="1">
      <c r="A49" s="23" t="str">
        <f>Raw_Data!A40</f>
        <v>BYJ1039</v>
      </c>
      <c r="B49" s="23" t="str">
        <f>Raw_Data!B40</f>
        <v>Nirja Sibal</v>
      </c>
      <c r="C49" s="24">
        <f>IF(OR(Raw_Data!C40="",Raw_Data!C40&lt;$C$5,Raw_Data!C40&gt;$C$6),$C$4,Raw_Data!C40)</f>
        <v>22</v>
      </c>
      <c r="D49" s="23" t="str">
        <f>IF(Raw_Data!C40="","Missing-Imputed",IF(OR(Raw_Data!C40&lt;$C$5,Raw_Data!C40&gt;$C$6),"Outlier-Imputed","Original"))</f>
        <v>Original</v>
      </c>
      <c r="E49" s="23" t="str">
        <f>IF(OR(UPPER(TRIM(Raw_Data!D40))="M",UPPER(TRIM(Raw_Data!D40))="MALE"),"Male","Female")</f>
        <v>Female</v>
      </c>
      <c r="F49" s="23" t="str">
        <f>PROPER(TRIM(Raw_Data!E40))</f>
        <v>Navi Mumbai</v>
      </c>
      <c r="G49" s="23" t="str">
        <f>PROPER(TRIM(Raw_Data!F40))</f>
        <v>Rajasthan</v>
      </c>
      <c r="H49" s="23" t="str">
        <f>PROPER(TRIM(Raw_Data!G40))</f>
        <v>Mathematics</v>
      </c>
      <c r="I49" s="23" t="str">
        <f>PROPER(TRIM(Raw_Data!H40))</f>
        <v>Bengaluru South</v>
      </c>
      <c r="J49" s="24">
        <f>IF(LEN(TRIM(Raw_Data!I40))=4,VALUE(TRIM(Raw_Data!I40)),IF(ISNUMBER(IFERROR(VALUE(MID(TRIM(Raw_Data!I40),1,4)),"NA")),VALUE(MID(TRIM(Raw_Data!I40),1,4)),VALUE(RIGHT(TRIM(Raw_Data!I40),4))))</f>
        <v>2017</v>
      </c>
      <c r="K49" s="23" t="str">
        <f>PROPER(TRIM(Raw_Data!J40))</f>
        <v>Retired</v>
      </c>
      <c r="L49" s="23" t="str">
        <f t="shared" si="0"/>
        <v>20+</v>
      </c>
      <c r="M49" s="23" t="str">
        <f t="shared" si="1"/>
        <v>Adult Learners</v>
      </c>
      <c r="N49" s="23" t="str">
        <f>IF(ISNUMBER(SEARCH("NON",UPPER(Raw_Data!M40))),"Non-Premium Learner","Premium Learner")</f>
        <v>Non-Premium Learner</v>
      </c>
      <c r="O49" s="23" t="str">
        <f>PROPER(TRIM(Raw_Data!N40))</f>
        <v>Both App &amp; Web</v>
      </c>
      <c r="P49" s="24">
        <f>IF(Raw_Data!O40="",$C$7,Raw_Data!O40)</f>
        <v>13697.24</v>
      </c>
      <c r="Q49" s="23" t="str">
        <f>IF(Raw_Data!O40="","Missing-Imputed","Original")</f>
        <v>Original</v>
      </c>
      <c r="R49" s="24">
        <f>Raw_Data!P40</f>
        <v>47.1</v>
      </c>
      <c r="S49" s="24">
        <f>Raw_Data!Q40</f>
        <v>40200.800000000003</v>
      </c>
      <c r="T49" s="23" t="str">
        <f>IF(Raw_Data!R40="","Unknown",IF(ISNUMBER(SEARCH("ACT",UPPER(Raw_Data!R40))),"Active",IF(ISNUMBER(SEARCH("CLOS",UPPER(Raw_Data!R40))),"Closed","None")))</f>
        <v>Closed</v>
      </c>
      <c r="U49" s="24">
        <f>IF(Raw_Data!S40="",$C$8,VALUE(Raw_Data!S40))</f>
        <v>733</v>
      </c>
      <c r="V49" s="23" t="str">
        <f>IF(Raw_Data!S40="","Missing-Imputed","Original")</f>
        <v>Original</v>
      </c>
      <c r="W49" s="24">
        <f>Raw_Data!T40</f>
        <v>184</v>
      </c>
      <c r="X49" s="23" t="str">
        <f>IF(ISNUMBER(SEARCH("Y",UPPER(TRIM(Raw_Data!U40)))),"Yes","No")</f>
        <v>Yes</v>
      </c>
      <c r="Y49" s="23" t="str">
        <f>IF(ISNUMBER(SEARCH("Y",UPPER(TRIM(Raw_Data!V40)))),"Yes","No")</f>
        <v>No</v>
      </c>
      <c r="Z49" s="24">
        <f>Raw_Data!W40</f>
        <v>1</v>
      </c>
      <c r="AA49" s="24">
        <f>Raw_Data!X40</f>
        <v>5.4</v>
      </c>
      <c r="AB49" s="23" t="str">
        <f>IF(COUNTIFS(Raw_Data!$A$2:$A$616,Raw_Data!A40)&gt;1,"Duplicate","Unique")</f>
        <v>Unique</v>
      </c>
      <c r="AC49" s="23" t="str">
        <f t="shared" si="2"/>
        <v>Clean</v>
      </c>
    </row>
    <row r="50" spans="1:29" ht="15" customHeight="1">
      <c r="A50" s="25" t="str">
        <f>Raw_Data!A41</f>
        <v>BYJ1040</v>
      </c>
      <c r="B50" s="25" t="str">
        <f>Raw_Data!B41</f>
        <v>Neha Nori</v>
      </c>
      <c r="C50" s="26">
        <f>IF(OR(Raw_Data!C41="",Raw_Data!C41&lt;$C$5,Raw_Data!C41&gt;$C$6),$C$4,Raw_Data!C41)</f>
        <v>20</v>
      </c>
      <c r="D50" s="25" t="str">
        <f>IF(Raw_Data!C41="","Missing-Imputed",IF(OR(Raw_Data!C41&lt;$C$5,Raw_Data!C41&gt;$C$6),"Outlier-Imputed","Original"))</f>
        <v>Original</v>
      </c>
      <c r="E50" s="25" t="str">
        <f>IF(OR(UPPER(TRIM(Raw_Data!D41))="M",UPPER(TRIM(Raw_Data!D41))="MALE"),"Male","Female")</f>
        <v>Male</v>
      </c>
      <c r="F50" s="25" t="str">
        <f>PROPER(TRIM(Raw_Data!E41))</f>
        <v>Kulti</v>
      </c>
      <c r="G50" s="25" t="str">
        <f>PROPER(TRIM(Raw_Data!F41))</f>
        <v>Gujarat</v>
      </c>
      <c r="H50" s="25" t="str">
        <f>PROPER(TRIM(Raw_Data!G41))</f>
        <v>Mathematics</v>
      </c>
      <c r="I50" s="25" t="str">
        <f>PROPER(TRIM(Raw_Data!H41))</f>
        <v>Hyderabad Hub</v>
      </c>
      <c r="J50" s="26">
        <f>IF(LEN(TRIM(Raw_Data!I41))=4,VALUE(TRIM(Raw_Data!I41)),IF(ISNUMBER(IFERROR(VALUE(MID(TRIM(Raw_Data!I41),1,4)),"NA")),VALUE(MID(TRIM(Raw_Data!I41),1,4)),VALUE(RIGHT(TRIM(Raw_Data!I41),4))))</f>
        <v>2025</v>
      </c>
      <c r="K50" s="25" t="str">
        <f>PROPER(TRIM(Raw_Data!J41))</f>
        <v>Government Employee</v>
      </c>
      <c r="L50" s="25" t="str">
        <f t="shared" si="0"/>
        <v>20+</v>
      </c>
      <c r="M50" s="25" t="str">
        <f t="shared" si="1"/>
        <v>Adult Learners</v>
      </c>
      <c r="N50" s="25" t="str">
        <f>IF(ISNUMBER(SEARCH("NON",UPPER(Raw_Data!M41))),"Non-Premium Learner","Premium Learner")</f>
        <v>Non-Premium Learner</v>
      </c>
      <c r="O50" s="25" t="str">
        <f>PROPER(TRIM(Raw_Data!N41))</f>
        <v>Both App &amp; Web</v>
      </c>
      <c r="P50" s="26">
        <f>IF(Raw_Data!O41="",$C$7,Raw_Data!O41)</f>
        <v>102871.62</v>
      </c>
      <c r="Q50" s="25" t="str">
        <f>IF(Raw_Data!O41="","Missing-Imputed","Original")</f>
        <v>Original</v>
      </c>
      <c r="R50" s="26">
        <f>Raw_Data!P41</f>
        <v>50.7</v>
      </c>
      <c r="S50" s="26">
        <f>Raw_Data!Q41</f>
        <v>39469.870000000003</v>
      </c>
      <c r="T50" s="25" t="str">
        <f>IF(Raw_Data!R41="","Unknown",IF(ISNUMBER(SEARCH("ACT",UPPER(Raw_Data!R41))),"Active",IF(ISNUMBER(SEARCH("CLOS",UPPER(Raw_Data!R41))),"Closed","None")))</f>
        <v>None</v>
      </c>
      <c r="U50" s="26">
        <f>IF(Raw_Data!S41="",$C$8,VALUE(Raw_Data!S41))</f>
        <v>329</v>
      </c>
      <c r="V50" s="25" t="str">
        <f>IF(Raw_Data!S41="","Missing-Imputed","Original")</f>
        <v>Original</v>
      </c>
      <c r="W50" s="26">
        <f>Raw_Data!T41</f>
        <v>179</v>
      </c>
      <c r="X50" s="25" t="str">
        <f>IF(ISNUMBER(SEARCH("Y",UPPER(TRIM(Raw_Data!U41)))),"Yes","No")</f>
        <v>No</v>
      </c>
      <c r="Y50" s="25" t="str">
        <f>IF(ISNUMBER(SEARCH("Y",UPPER(TRIM(Raw_Data!V41)))),"Yes","No")</f>
        <v>No</v>
      </c>
      <c r="Z50" s="26">
        <f>Raw_Data!W41</f>
        <v>2</v>
      </c>
      <c r="AA50" s="26">
        <f>Raw_Data!X41</f>
        <v>7.9</v>
      </c>
      <c r="AB50" s="25" t="str">
        <f>IF(COUNTIFS(Raw_Data!$A$2:$A$616,Raw_Data!A41)&gt;1,"Duplicate","Unique")</f>
        <v>Unique</v>
      </c>
      <c r="AC50" s="25" t="str">
        <f t="shared" si="2"/>
        <v>Clean</v>
      </c>
    </row>
    <row r="51" spans="1:29" ht="15" customHeight="1">
      <c r="A51" s="23" t="str">
        <f>Raw_Data!A42</f>
        <v>BYJ1041</v>
      </c>
      <c r="B51" s="23" t="str">
        <f>Raw_Data!B42</f>
        <v>Ranveer Yadav</v>
      </c>
      <c r="C51" s="24">
        <f>IF(OR(Raw_Data!C42="",Raw_Data!C42&lt;$C$5,Raw_Data!C42&gt;$C$6),$C$4,Raw_Data!C42)</f>
        <v>15</v>
      </c>
      <c r="D51" s="23" t="str">
        <f>IF(Raw_Data!C42="","Missing-Imputed",IF(OR(Raw_Data!C42&lt;$C$5,Raw_Data!C42&gt;$C$6),"Outlier-Imputed","Original"))</f>
        <v>Original</v>
      </c>
      <c r="E51" s="23" t="str">
        <f>IF(OR(UPPER(TRIM(Raw_Data!D42))="M",UPPER(TRIM(Raw_Data!D42))="MALE"),"Male","Female")</f>
        <v>Male</v>
      </c>
      <c r="F51" s="23" t="str">
        <f>PROPER(TRIM(Raw_Data!E42))</f>
        <v>Kolhapur</v>
      </c>
      <c r="G51" s="23" t="str">
        <f>PROPER(TRIM(Raw_Data!F42))</f>
        <v>Delhi</v>
      </c>
      <c r="H51" s="23" t="str">
        <f>PROPER(TRIM(Raw_Data!G42))</f>
        <v>Robotics</v>
      </c>
      <c r="I51" s="23" t="str">
        <f>PROPER(TRIM(Raw_Data!H42))</f>
        <v>Kolkata Main</v>
      </c>
      <c r="J51" s="24">
        <f>IF(LEN(TRIM(Raw_Data!I42))=4,VALUE(TRIM(Raw_Data!I42)),IF(ISNUMBER(IFERROR(VALUE(MID(TRIM(Raw_Data!I42),1,4)),"NA")),VALUE(MID(TRIM(Raw_Data!I42),1,4)),VALUE(RIGHT(TRIM(Raw_Data!I42),4))))</f>
        <v>2023</v>
      </c>
      <c r="K51" s="23" t="str">
        <f>PROPER(TRIM(Raw_Data!J42))</f>
        <v>Homemaker</v>
      </c>
      <c r="L51" s="23" t="str">
        <f t="shared" si="0"/>
        <v>14-16</v>
      </c>
      <c r="M51" s="23" t="str">
        <f t="shared" si="1"/>
        <v>Teens</v>
      </c>
      <c r="N51" s="23" t="str">
        <f>IF(ISNUMBER(SEARCH("NON",UPPER(Raw_Data!M42))),"Non-Premium Learner","Premium Learner")</f>
        <v>Non-Premium Learner</v>
      </c>
      <c r="O51" s="23" t="str">
        <f>PROPER(TRIM(Raw_Data!N42))</f>
        <v>Both App &amp; Web</v>
      </c>
      <c r="P51" s="24">
        <f>IF(Raw_Data!O42="",$C$7,Raw_Data!O42)</f>
        <v>91452.45</v>
      </c>
      <c r="Q51" s="23" t="str">
        <f>IF(Raw_Data!O42="","Missing-Imputed","Original")</f>
        <v>Original</v>
      </c>
      <c r="R51" s="24">
        <f>Raw_Data!P42</f>
        <v>16.7</v>
      </c>
      <c r="S51" s="24">
        <f>Raw_Data!Q42</f>
        <v>45266.15</v>
      </c>
      <c r="T51" s="23" t="str">
        <f>IF(Raw_Data!R42="","Unknown",IF(ISNUMBER(SEARCH("ACT",UPPER(Raw_Data!R42))),"Active",IF(ISNUMBER(SEARCH("CLOS",UPPER(Raw_Data!R42))),"Closed","None")))</f>
        <v>Active</v>
      </c>
      <c r="U51" s="24">
        <f>IF(Raw_Data!S42="",$C$8,VALUE(Raw_Data!S42))</f>
        <v>578</v>
      </c>
      <c r="V51" s="23" t="str">
        <f>IF(Raw_Data!S42="","Missing-Imputed","Original")</f>
        <v>Original</v>
      </c>
      <c r="W51" s="24">
        <f>Raw_Data!T42</f>
        <v>108</v>
      </c>
      <c r="X51" s="23" t="str">
        <f>IF(ISNUMBER(SEARCH("Y",UPPER(TRIM(Raw_Data!U42)))),"Yes","No")</f>
        <v>No</v>
      </c>
      <c r="Y51" s="23" t="str">
        <f>IF(ISNUMBER(SEARCH("Y",UPPER(TRIM(Raw_Data!V42)))),"Yes","No")</f>
        <v>No</v>
      </c>
      <c r="Z51" s="24">
        <f>Raw_Data!W42</f>
        <v>2</v>
      </c>
      <c r="AA51" s="24">
        <f>Raw_Data!X42</f>
        <v>6.9</v>
      </c>
      <c r="AB51" s="23" t="str">
        <f>IF(COUNTIFS(Raw_Data!$A$2:$A$616,Raw_Data!A42)&gt;1,"Duplicate","Unique")</f>
        <v>Unique</v>
      </c>
      <c r="AC51" s="23" t="str">
        <f t="shared" si="2"/>
        <v>Clean</v>
      </c>
    </row>
    <row r="52" spans="1:29" ht="15" customHeight="1">
      <c r="A52" s="25" t="str">
        <f>Raw_Data!A43</f>
        <v>BYJ1042</v>
      </c>
      <c r="B52" s="25" t="str">
        <f>Raw_Data!B43</f>
        <v>Qadim Mallick</v>
      </c>
      <c r="C52" s="26">
        <f>IF(OR(Raw_Data!C43="",Raw_Data!C43&lt;$C$5,Raw_Data!C43&gt;$C$6),$C$4,Raw_Data!C43)</f>
        <v>24</v>
      </c>
      <c r="D52" s="25" t="str">
        <f>IF(Raw_Data!C43="","Missing-Imputed",IF(OR(Raw_Data!C43&lt;$C$5,Raw_Data!C43&gt;$C$6),"Outlier-Imputed","Original"))</f>
        <v>Original</v>
      </c>
      <c r="E52" s="25" t="str">
        <f>IF(OR(UPPER(TRIM(Raw_Data!D43))="M",UPPER(TRIM(Raw_Data!D43))="MALE"),"Male","Female")</f>
        <v>Female</v>
      </c>
      <c r="F52" s="25" t="str">
        <f>PROPER(TRIM(Raw_Data!E43))</f>
        <v>Kulti</v>
      </c>
      <c r="G52" s="25" t="str">
        <f>PROPER(TRIM(Raw_Data!F43))</f>
        <v>Tamil Nadu</v>
      </c>
      <c r="H52" s="25" t="str">
        <f>PROPER(TRIM(Raw_Data!G43))</f>
        <v>English</v>
      </c>
      <c r="I52" s="25" t="str">
        <f>PROPER(TRIM(Raw_Data!H43))</f>
        <v>Kolkata Main</v>
      </c>
      <c r="J52" s="26">
        <f>IF(LEN(TRIM(Raw_Data!I43))=4,VALUE(TRIM(Raw_Data!I43)),IF(ISNUMBER(IFERROR(VALUE(MID(TRIM(Raw_Data!I43),1,4)),"NA")),VALUE(MID(TRIM(Raw_Data!I43),1,4)),VALUE(RIGHT(TRIM(Raw_Data!I43),4))))</f>
        <v>2025</v>
      </c>
      <c r="K52" s="25" t="str">
        <f>PROPER(TRIM(Raw_Data!J43))</f>
        <v>Homemaker</v>
      </c>
      <c r="L52" s="25" t="str">
        <f t="shared" si="0"/>
        <v>20+</v>
      </c>
      <c r="M52" s="25" t="str">
        <f t="shared" si="1"/>
        <v>Adult Learners</v>
      </c>
      <c r="N52" s="25" t="str">
        <f>IF(ISNUMBER(SEARCH("NON",UPPER(Raw_Data!M43))),"Non-Premium Learner","Premium Learner")</f>
        <v>Non-Premium Learner</v>
      </c>
      <c r="O52" s="25" t="str">
        <f>PROPER(TRIM(Raw_Data!N43))</f>
        <v>Web Only</v>
      </c>
      <c r="P52" s="26">
        <f>IF(Raw_Data!O43="",$C$7,Raw_Data!O43)</f>
        <v>46969.83</v>
      </c>
      <c r="Q52" s="25" t="str">
        <f>IF(Raw_Data!O43="","Missing-Imputed","Original")</f>
        <v>Original</v>
      </c>
      <c r="R52" s="26">
        <f>Raw_Data!P43</f>
        <v>42.3</v>
      </c>
      <c r="S52" s="26">
        <f>Raw_Data!Q43</f>
        <v>25839.3</v>
      </c>
      <c r="T52" s="25" t="str">
        <f>IF(Raw_Data!R43="","Unknown",IF(ISNUMBER(SEARCH("ACT",UPPER(Raw_Data!R43))),"Active",IF(ISNUMBER(SEARCH("CLOS",UPPER(Raw_Data!R43))),"Closed","None")))</f>
        <v>Active</v>
      </c>
      <c r="U52" s="26">
        <f>IF(Raw_Data!S43="",$C$8,VALUE(Raw_Data!S43))</f>
        <v>845</v>
      </c>
      <c r="V52" s="25" t="str">
        <f>IF(Raw_Data!S43="","Missing-Imputed","Original")</f>
        <v>Original</v>
      </c>
      <c r="W52" s="26">
        <f>Raw_Data!T43</f>
        <v>128</v>
      </c>
      <c r="X52" s="25" t="str">
        <f>IF(ISNUMBER(SEARCH("Y",UPPER(TRIM(Raw_Data!U43)))),"Yes","No")</f>
        <v>No</v>
      </c>
      <c r="Y52" s="25" t="str">
        <f>IF(ISNUMBER(SEARCH("Y",UPPER(TRIM(Raw_Data!V43)))),"Yes","No")</f>
        <v>No</v>
      </c>
      <c r="Z52" s="26">
        <f>Raw_Data!W43</f>
        <v>4</v>
      </c>
      <c r="AA52" s="26">
        <f>Raw_Data!X43</f>
        <v>0.7</v>
      </c>
      <c r="AB52" s="25" t="str">
        <f>IF(COUNTIFS(Raw_Data!$A$2:$A$616,Raw_Data!A43)&gt;1,"Duplicate","Unique")</f>
        <v>Unique</v>
      </c>
      <c r="AC52" s="25" t="str">
        <f t="shared" si="2"/>
        <v>Clean</v>
      </c>
    </row>
    <row r="53" spans="1:29" ht="15" customHeight="1">
      <c r="A53" s="23" t="str">
        <f>Raw_Data!A44</f>
        <v>BYJ1043</v>
      </c>
      <c r="B53" s="23" t="str">
        <f>Raw_Data!B44</f>
        <v>Saanvi Chaudhari</v>
      </c>
      <c r="C53" s="24">
        <f>IF(OR(Raw_Data!C44="",Raw_Data!C44&lt;$C$5,Raw_Data!C44&gt;$C$6),$C$4,Raw_Data!C44)</f>
        <v>42</v>
      </c>
      <c r="D53" s="23" t="str">
        <f>IF(Raw_Data!C44="","Missing-Imputed",IF(OR(Raw_Data!C44&lt;$C$5,Raw_Data!C44&gt;$C$6),"Outlier-Imputed","Original"))</f>
        <v>Original</v>
      </c>
      <c r="E53" s="23" t="str">
        <f>IF(OR(UPPER(TRIM(Raw_Data!D44))="M",UPPER(TRIM(Raw_Data!D44))="MALE"),"Male","Female")</f>
        <v>Female</v>
      </c>
      <c r="F53" s="23" t="str">
        <f>PROPER(TRIM(Raw_Data!E44))</f>
        <v>Panvel</v>
      </c>
      <c r="G53" s="23" t="str">
        <f>PROPER(TRIM(Raw_Data!F44))</f>
        <v>West Bengal</v>
      </c>
      <c r="H53" s="23" t="str">
        <f>PROPER(TRIM(Raw_Data!G44))</f>
        <v>Jee Prep</v>
      </c>
      <c r="I53" s="23" t="str">
        <f>PROPER(TRIM(Raw_Data!H44))</f>
        <v>Bengaluru South</v>
      </c>
      <c r="J53" s="24">
        <f>IF(LEN(TRIM(Raw_Data!I44))=4,VALUE(TRIM(Raw_Data!I44)),IF(ISNUMBER(IFERROR(VALUE(MID(TRIM(Raw_Data!I44),1,4)),"NA")),VALUE(MID(TRIM(Raw_Data!I44),1,4)),VALUE(RIGHT(TRIM(Raw_Data!I44),4))))</f>
        <v>2022</v>
      </c>
      <c r="K53" s="23" t="str">
        <f>PROPER(TRIM(Raw_Data!J44))</f>
        <v>Government Employee</v>
      </c>
      <c r="L53" s="23" t="str">
        <f t="shared" si="0"/>
        <v>20+</v>
      </c>
      <c r="M53" s="23" t="str">
        <f t="shared" si="1"/>
        <v>Adult Learners</v>
      </c>
      <c r="N53" s="23" t="str">
        <f>IF(ISNUMBER(SEARCH("NON",UPPER(Raw_Data!M44))),"Non-Premium Learner","Premium Learner")</f>
        <v>Non-Premium Learner</v>
      </c>
      <c r="O53" s="23" t="str">
        <f>PROPER(TRIM(Raw_Data!N44))</f>
        <v>Web Only</v>
      </c>
      <c r="P53" s="24">
        <f>IF(Raw_Data!O44="",$C$7,Raw_Data!O44)</f>
        <v>17778.830000000002</v>
      </c>
      <c r="Q53" s="23" t="str">
        <f>IF(Raw_Data!O44="","Missing-Imputed","Original")</f>
        <v>Original</v>
      </c>
      <c r="R53" s="24">
        <f>Raw_Data!P44</f>
        <v>23.2</v>
      </c>
      <c r="S53" s="24">
        <f>Raw_Data!Q44</f>
        <v>35332.28</v>
      </c>
      <c r="T53" s="23" t="str">
        <f>IF(Raw_Data!R44="","Unknown",IF(ISNUMBER(SEARCH("ACT",UPPER(Raw_Data!R44))),"Active",IF(ISNUMBER(SEARCH("CLOS",UPPER(Raw_Data!R44))),"Closed","None")))</f>
        <v>None</v>
      </c>
      <c r="U53" s="24">
        <f>IF(Raw_Data!S44="",$C$8,VALUE(Raw_Data!S44))</f>
        <v>705</v>
      </c>
      <c r="V53" s="23" t="str">
        <f>IF(Raw_Data!S44="","Missing-Imputed","Original")</f>
        <v>Original</v>
      </c>
      <c r="W53" s="24">
        <f>Raw_Data!T44</f>
        <v>190</v>
      </c>
      <c r="X53" s="23" t="str">
        <f>IF(ISNUMBER(SEARCH("Y",UPPER(TRIM(Raw_Data!U44)))),"Yes","No")</f>
        <v>No</v>
      </c>
      <c r="Y53" s="23" t="str">
        <f>IF(ISNUMBER(SEARCH("Y",UPPER(TRIM(Raw_Data!V44)))),"Yes","No")</f>
        <v>No</v>
      </c>
      <c r="Z53" s="24">
        <f>Raw_Data!W44</f>
        <v>1</v>
      </c>
      <c r="AA53" s="24">
        <f>Raw_Data!X44</f>
        <v>4.8</v>
      </c>
      <c r="AB53" s="23" t="str">
        <f>IF(COUNTIFS(Raw_Data!$A$2:$A$616,Raw_Data!A44)&gt;1,"Duplicate","Unique")</f>
        <v>Unique</v>
      </c>
      <c r="AC53" s="23" t="str">
        <f t="shared" si="2"/>
        <v>Clean</v>
      </c>
    </row>
    <row r="54" spans="1:29" ht="15" customHeight="1">
      <c r="A54" s="25" t="str">
        <f>Raw_Data!A45</f>
        <v>BYJ1044</v>
      </c>
      <c r="B54" s="25" t="str">
        <f>Raw_Data!B45</f>
        <v>Girik Khalsa</v>
      </c>
      <c r="C54" s="26">
        <f>IF(OR(Raw_Data!C45="",Raw_Data!C45&lt;$C$5,Raw_Data!C45&gt;$C$6),$C$4,Raw_Data!C45)</f>
        <v>28</v>
      </c>
      <c r="D54" s="25" t="str">
        <f>IF(Raw_Data!C45="","Missing-Imputed",IF(OR(Raw_Data!C45&lt;$C$5,Raw_Data!C45&gt;$C$6),"Outlier-Imputed","Original"))</f>
        <v>Original</v>
      </c>
      <c r="E54" s="25" t="str">
        <f>IF(OR(UPPER(TRIM(Raw_Data!D45))="M",UPPER(TRIM(Raw_Data!D45))="MALE"),"Male","Female")</f>
        <v>Female</v>
      </c>
      <c r="F54" s="25" t="str">
        <f>PROPER(TRIM(Raw_Data!E45))</f>
        <v>Vellore</v>
      </c>
      <c r="G54" s="25" t="str">
        <f>PROPER(TRIM(Raw_Data!F45))</f>
        <v>Maharashtra</v>
      </c>
      <c r="H54" s="25" t="str">
        <f>PROPER(TRIM(Raw_Data!G45))</f>
        <v>Jee Prep</v>
      </c>
      <c r="I54" s="25" t="str">
        <f>PROPER(TRIM(Raw_Data!H45))</f>
        <v>Delhi North</v>
      </c>
      <c r="J54" s="26">
        <f>IF(LEN(TRIM(Raw_Data!I45))=4,VALUE(TRIM(Raw_Data!I45)),IF(ISNUMBER(IFERROR(VALUE(MID(TRIM(Raw_Data!I45),1,4)),"NA")),VALUE(MID(TRIM(Raw_Data!I45),1,4)),VALUE(RIGHT(TRIM(Raw_Data!I45),4))))</f>
        <v>2018</v>
      </c>
      <c r="K54" s="25" t="str">
        <f>PROPER(TRIM(Raw_Data!J45))</f>
        <v>Business</v>
      </c>
      <c r="L54" s="25" t="str">
        <f t="shared" si="0"/>
        <v>20+</v>
      </c>
      <c r="M54" s="25" t="str">
        <f t="shared" si="1"/>
        <v>Adult Learners</v>
      </c>
      <c r="N54" s="25" t="str">
        <f>IF(ISNUMBER(SEARCH("NON",UPPER(Raw_Data!M45))),"Non-Premium Learner","Premium Learner")</f>
        <v>Non-Premium Learner</v>
      </c>
      <c r="O54" s="25" t="str">
        <f>PROPER(TRIM(Raw_Data!N45))</f>
        <v>Web Only</v>
      </c>
      <c r="P54" s="26">
        <f>IF(Raw_Data!O45="",$C$7,Raw_Data!O45)</f>
        <v>114394.64</v>
      </c>
      <c r="Q54" s="25" t="str">
        <f>IF(Raw_Data!O45="","Missing-Imputed","Original")</f>
        <v>Original</v>
      </c>
      <c r="R54" s="26">
        <f>Raw_Data!P45</f>
        <v>38.700000000000003</v>
      </c>
      <c r="S54" s="26">
        <f>Raw_Data!Q45</f>
        <v>55449.26</v>
      </c>
      <c r="T54" s="25" t="str">
        <f>IF(Raw_Data!R45="","Unknown",IF(ISNUMBER(SEARCH("ACT",UPPER(Raw_Data!R45))),"Active",IF(ISNUMBER(SEARCH("CLOS",UPPER(Raw_Data!R45))),"Closed","None")))</f>
        <v>Unknown</v>
      </c>
      <c r="U54" s="26">
        <f>IF(Raw_Data!S45="",$C$8,VALUE(Raw_Data!S45))</f>
        <v>630</v>
      </c>
      <c r="V54" s="25" t="str">
        <f>IF(Raw_Data!S45="","Missing-Imputed","Original")</f>
        <v>Original</v>
      </c>
      <c r="W54" s="26">
        <f>Raw_Data!T45</f>
        <v>160</v>
      </c>
      <c r="X54" s="25" t="str">
        <f>IF(ISNUMBER(SEARCH("Y",UPPER(TRIM(Raw_Data!U45)))),"Yes","No")</f>
        <v>No</v>
      </c>
      <c r="Y54" s="25" t="str">
        <f>IF(ISNUMBER(SEARCH("Y",UPPER(TRIM(Raw_Data!V45)))),"Yes","No")</f>
        <v>No</v>
      </c>
      <c r="Z54" s="26">
        <f>Raw_Data!W45</f>
        <v>4</v>
      </c>
      <c r="AA54" s="26">
        <f>Raw_Data!X45</f>
        <v>4.3</v>
      </c>
      <c r="AB54" s="25" t="str">
        <f>IF(COUNTIFS(Raw_Data!$A$2:$A$616,Raw_Data!A45)&gt;1,"Duplicate","Unique")</f>
        <v>Duplicate</v>
      </c>
      <c r="AC54" s="25" t="str">
        <f t="shared" si="2"/>
        <v>Review-Duplicate</v>
      </c>
    </row>
    <row r="55" spans="1:29" ht="15" customHeight="1">
      <c r="A55" s="23" t="str">
        <f>Raw_Data!A46</f>
        <v>BYJ1045</v>
      </c>
      <c r="B55" s="23" t="str">
        <f>Raw_Data!B46</f>
        <v>Vasana Kala</v>
      </c>
      <c r="C55" s="24">
        <f>IF(OR(Raw_Data!C46="",Raw_Data!C46&lt;$C$5,Raw_Data!C46&gt;$C$6),$C$4,Raw_Data!C46)</f>
        <v>9</v>
      </c>
      <c r="D55" s="23" t="str">
        <f>IF(Raw_Data!C46="","Missing-Imputed",IF(OR(Raw_Data!C46&lt;$C$5,Raw_Data!C46&gt;$C$6),"Outlier-Imputed","Original"))</f>
        <v>Original</v>
      </c>
      <c r="E55" s="23" t="str">
        <f>IF(OR(UPPER(TRIM(Raw_Data!D46))="M",UPPER(TRIM(Raw_Data!D46))="MALE"),"Male","Female")</f>
        <v>Female</v>
      </c>
      <c r="F55" s="23" t="str">
        <f>PROPER(TRIM(Raw_Data!E46))</f>
        <v>Allahabad</v>
      </c>
      <c r="G55" s="23" t="str">
        <f>PROPER(TRIM(Raw_Data!F46))</f>
        <v>Rajasthan</v>
      </c>
      <c r="H55" s="23" t="str">
        <f>PROPER(TRIM(Raw_Data!G46))</f>
        <v>Spoken English</v>
      </c>
      <c r="I55" s="23" t="str">
        <f>PROPER(TRIM(Raw_Data!H46))</f>
        <v>Chennai Central</v>
      </c>
      <c r="J55" s="24">
        <f>IF(LEN(TRIM(Raw_Data!I46))=4,VALUE(TRIM(Raw_Data!I46)),IF(ISNUMBER(IFERROR(VALUE(MID(TRIM(Raw_Data!I46),1,4)),"NA")),VALUE(MID(TRIM(Raw_Data!I46),1,4)),VALUE(RIGHT(TRIM(Raw_Data!I46),4))))</f>
        <v>2016</v>
      </c>
      <c r="K55" s="23" t="str">
        <f>PROPER(TRIM(Raw_Data!J46))</f>
        <v>Salaried</v>
      </c>
      <c r="L55" s="23" t="str">
        <f t="shared" si="0"/>
        <v>Under 10</v>
      </c>
      <c r="M55" s="23" t="str">
        <f t="shared" si="1"/>
        <v>Kids</v>
      </c>
      <c r="N55" s="23" t="str">
        <f>IF(ISNUMBER(SEARCH("NON",UPPER(Raw_Data!M46))),"Non-Premium Learner","Premium Learner")</f>
        <v>Non-Premium Learner</v>
      </c>
      <c r="O55" s="23" t="str">
        <f>PROPER(TRIM(Raw_Data!N46))</f>
        <v>App Only</v>
      </c>
      <c r="P55" s="24">
        <f>IF(Raw_Data!O46="",$C$7,Raw_Data!O46)</f>
        <v>94176.22</v>
      </c>
      <c r="Q55" s="23" t="str">
        <f>IF(Raw_Data!O46="","Missing-Imputed","Original")</f>
        <v>Original</v>
      </c>
      <c r="R55" s="24">
        <f>Raw_Data!P46</f>
        <v>39.700000000000003</v>
      </c>
      <c r="S55" s="24">
        <f>Raw_Data!Q46</f>
        <v>33258.980000000003</v>
      </c>
      <c r="T55" s="23" t="str">
        <f>IF(Raw_Data!R46="","Unknown",IF(ISNUMBER(SEARCH("ACT",UPPER(Raw_Data!R46))),"Active",IF(ISNUMBER(SEARCH("CLOS",UPPER(Raw_Data!R46))),"Closed","None")))</f>
        <v>None</v>
      </c>
      <c r="U55" s="24">
        <f>IF(Raw_Data!S46="",$C$8,VALUE(Raw_Data!S46))</f>
        <v>760</v>
      </c>
      <c r="V55" s="23" t="str">
        <f>IF(Raw_Data!S46="","Missing-Imputed","Original")</f>
        <v>Original</v>
      </c>
      <c r="W55" s="24">
        <f>Raw_Data!T46</f>
        <v>146</v>
      </c>
      <c r="X55" s="23" t="str">
        <f>IF(ISNUMBER(SEARCH("Y",UPPER(TRIM(Raw_Data!U46)))),"Yes","No")</f>
        <v>Yes</v>
      </c>
      <c r="Y55" s="23" t="str">
        <f>IF(ISNUMBER(SEARCH("Y",UPPER(TRIM(Raw_Data!V46)))),"Yes","No")</f>
        <v>No</v>
      </c>
      <c r="Z55" s="24">
        <f>Raw_Data!W46</f>
        <v>1</v>
      </c>
      <c r="AA55" s="24">
        <f>Raw_Data!X46</f>
        <v>4.3</v>
      </c>
      <c r="AB55" s="23" t="str">
        <f>IF(COUNTIFS(Raw_Data!$A$2:$A$616,Raw_Data!A46)&gt;1,"Duplicate","Unique")</f>
        <v>Unique</v>
      </c>
      <c r="AC55" s="23" t="str">
        <f t="shared" si="2"/>
        <v>Clean</v>
      </c>
    </row>
    <row r="56" spans="1:29" ht="15" customHeight="1">
      <c r="A56" s="25" t="str">
        <f>Raw_Data!A47</f>
        <v>BYJ1046</v>
      </c>
      <c r="B56" s="25" t="str">
        <f>Raw_Data!B47</f>
        <v>Ladli Agate</v>
      </c>
      <c r="C56" s="26">
        <f>IF(OR(Raw_Data!C47="",Raw_Data!C47&lt;$C$5,Raw_Data!C47&gt;$C$6),$C$4,Raw_Data!C47)</f>
        <v>11</v>
      </c>
      <c r="D56" s="25" t="str">
        <f>IF(Raw_Data!C47="","Missing-Imputed",IF(OR(Raw_Data!C47&lt;$C$5,Raw_Data!C47&gt;$C$6),"Outlier-Imputed","Original"))</f>
        <v>Original</v>
      </c>
      <c r="E56" s="25" t="str">
        <f>IF(OR(UPPER(TRIM(Raw_Data!D47))="M",UPPER(TRIM(Raw_Data!D47))="MALE"),"Male","Female")</f>
        <v>Male</v>
      </c>
      <c r="F56" s="25" t="str">
        <f>PROPER(TRIM(Raw_Data!E47))</f>
        <v>Bilaspur</v>
      </c>
      <c r="G56" s="25" t="str">
        <f>PROPER(TRIM(Raw_Data!F47))</f>
        <v>Rajasthan</v>
      </c>
      <c r="H56" s="25" t="str">
        <f>PROPER(TRIM(Raw_Data!G47))</f>
        <v>Spoken English</v>
      </c>
      <c r="I56" s="25" t="str">
        <f>PROPER(TRIM(Raw_Data!H47))</f>
        <v>Jaipur Center</v>
      </c>
      <c r="J56" s="26">
        <f>IF(LEN(TRIM(Raw_Data!I47))=4,VALUE(TRIM(Raw_Data!I47)),IF(ISNUMBER(IFERROR(VALUE(MID(TRIM(Raw_Data!I47),1,4)),"NA")),VALUE(MID(TRIM(Raw_Data!I47),1,4)),VALUE(RIGHT(TRIM(Raw_Data!I47),4))))</f>
        <v>46028</v>
      </c>
      <c r="K56" s="25" t="str">
        <f>PROPER(TRIM(Raw_Data!J47))</f>
        <v>Homemaker</v>
      </c>
      <c r="L56" s="25" t="str">
        <f t="shared" si="0"/>
        <v>10-13</v>
      </c>
      <c r="M56" s="25" t="str">
        <f t="shared" si="1"/>
        <v>Kids</v>
      </c>
      <c r="N56" s="25" t="str">
        <f>IF(ISNUMBER(SEARCH("NON",UPPER(Raw_Data!M47))),"Non-Premium Learner","Premium Learner")</f>
        <v>Non-Premium Learner</v>
      </c>
      <c r="O56" s="25" t="str">
        <f>PROPER(TRIM(Raw_Data!N47))</f>
        <v>Web Only</v>
      </c>
      <c r="P56" s="26">
        <f>IF(Raw_Data!O47="",$C$7,Raw_Data!O47)</f>
        <v>103440.17</v>
      </c>
      <c r="Q56" s="25" t="str">
        <f>IF(Raw_Data!O47="","Missing-Imputed","Original")</f>
        <v>Original</v>
      </c>
      <c r="R56" s="26">
        <f>Raw_Data!P47</f>
        <v>52.3</v>
      </c>
      <c r="S56" s="26">
        <f>Raw_Data!Q47</f>
        <v>20078.96</v>
      </c>
      <c r="T56" s="25" t="str">
        <f>IF(Raw_Data!R47="","Unknown",IF(ISNUMBER(SEARCH("ACT",UPPER(Raw_Data!R47))),"Active",IF(ISNUMBER(SEARCH("CLOS",UPPER(Raw_Data!R47))),"Closed","None")))</f>
        <v>Closed</v>
      </c>
      <c r="U56" s="26">
        <f>IF(Raw_Data!S47="",$C$8,VALUE(Raw_Data!S47))</f>
        <v>871</v>
      </c>
      <c r="V56" s="25" t="str">
        <f>IF(Raw_Data!S47="","Missing-Imputed","Original")</f>
        <v>Original</v>
      </c>
      <c r="W56" s="26">
        <f>Raw_Data!T47</f>
        <v>72</v>
      </c>
      <c r="X56" s="25" t="str">
        <f>IF(ISNUMBER(SEARCH("Y",UPPER(TRIM(Raw_Data!U47)))),"Yes","No")</f>
        <v>No</v>
      </c>
      <c r="Y56" s="25" t="str">
        <f>IF(ISNUMBER(SEARCH("Y",UPPER(TRIM(Raw_Data!V47)))),"Yes","No")</f>
        <v>No</v>
      </c>
      <c r="Z56" s="26">
        <f>Raw_Data!W47</f>
        <v>5</v>
      </c>
      <c r="AA56" s="26">
        <f>Raw_Data!X47</f>
        <v>6.1</v>
      </c>
      <c r="AB56" s="25" t="str">
        <f>IF(COUNTIFS(Raw_Data!$A$2:$A$616,Raw_Data!A47)&gt;1,"Duplicate","Unique")</f>
        <v>Unique</v>
      </c>
      <c r="AC56" s="25" t="str">
        <f t="shared" si="2"/>
        <v>Clean</v>
      </c>
    </row>
    <row r="57" spans="1:29" ht="15" customHeight="1">
      <c r="A57" s="23" t="str">
        <f>Raw_Data!A48</f>
        <v>BYJ1047</v>
      </c>
      <c r="B57" s="23" t="str">
        <f>Raw_Data!B48</f>
        <v>Bhavika Sampath</v>
      </c>
      <c r="C57" s="24">
        <f>IF(OR(Raw_Data!C48="",Raw_Data!C48&lt;$C$5,Raw_Data!C48&gt;$C$6),$C$4,Raw_Data!C48)</f>
        <v>31</v>
      </c>
      <c r="D57" s="23" t="str">
        <f>IF(Raw_Data!C48="","Missing-Imputed",IF(OR(Raw_Data!C48&lt;$C$5,Raw_Data!C48&gt;$C$6),"Outlier-Imputed","Original"))</f>
        <v>Original</v>
      </c>
      <c r="E57" s="23" t="str">
        <f>IF(OR(UPPER(TRIM(Raw_Data!D48))="M",UPPER(TRIM(Raw_Data!D48))="MALE"),"Male","Female")</f>
        <v>Male</v>
      </c>
      <c r="F57" s="23" t="str">
        <f>PROPER(TRIM(Raw_Data!E48))</f>
        <v>Bhatpara</v>
      </c>
      <c r="G57" s="23" t="str">
        <f>PROPER(TRIM(Raw_Data!F48))</f>
        <v>Karnataka</v>
      </c>
      <c r="H57" s="23" t="str">
        <f>PROPER(TRIM(Raw_Data!G48))</f>
        <v>Jee Prep</v>
      </c>
      <c r="I57" s="23" t="str">
        <f>PROPER(TRIM(Raw_Data!H48))</f>
        <v>Jaipur Center</v>
      </c>
      <c r="J57" s="24">
        <f>IF(LEN(TRIM(Raw_Data!I48))=4,VALUE(TRIM(Raw_Data!I48)),IF(ISNUMBER(IFERROR(VALUE(MID(TRIM(Raw_Data!I48),1,4)),"NA")),VALUE(MID(TRIM(Raw_Data!I48),1,4)),VALUE(RIGHT(TRIM(Raw_Data!I48),4))))</f>
        <v>46048</v>
      </c>
      <c r="K57" s="23" t="str">
        <f>PROPER(TRIM(Raw_Data!J48))</f>
        <v>Business</v>
      </c>
      <c r="L57" s="23" t="str">
        <f t="shared" si="0"/>
        <v>20+</v>
      </c>
      <c r="M57" s="23" t="str">
        <f t="shared" si="1"/>
        <v>Adult Learners</v>
      </c>
      <c r="N57" s="23" t="str">
        <f>IF(ISNUMBER(SEARCH("NON",UPPER(Raw_Data!M48))),"Non-Premium Learner","Premium Learner")</f>
        <v>Non-Premium Learner</v>
      </c>
      <c r="O57" s="23" t="str">
        <f>PROPER(TRIM(Raw_Data!N48))</f>
        <v>Both App &amp; Web</v>
      </c>
      <c r="P57" s="24">
        <f>IF(Raw_Data!O48="",$C$7,Raw_Data!O48)</f>
        <v>149588.79999999999</v>
      </c>
      <c r="Q57" s="23" t="str">
        <f>IF(Raw_Data!O48="","Missing-Imputed","Original")</f>
        <v>Original</v>
      </c>
      <c r="R57" s="24">
        <f>Raw_Data!P48</f>
        <v>12</v>
      </c>
      <c r="S57" s="24">
        <f>Raw_Data!Q48</f>
        <v>40227.360000000001</v>
      </c>
      <c r="T57" s="23" t="str">
        <f>IF(Raw_Data!R48="","Unknown",IF(ISNUMBER(SEARCH("ACT",UPPER(Raw_Data!R48))),"Active",IF(ISNUMBER(SEARCH("CLOS",UPPER(Raw_Data!R48))),"Closed","None")))</f>
        <v>None</v>
      </c>
      <c r="U57" s="24">
        <f>IF(Raw_Data!S48="",$C$8,VALUE(Raw_Data!S48))</f>
        <v>318</v>
      </c>
      <c r="V57" s="23" t="str">
        <f>IF(Raw_Data!S48="","Missing-Imputed","Original")</f>
        <v>Original</v>
      </c>
      <c r="W57" s="24">
        <f>Raw_Data!T48</f>
        <v>46</v>
      </c>
      <c r="X57" s="23" t="str">
        <f>IF(ISNUMBER(SEARCH("Y",UPPER(TRIM(Raw_Data!U48)))),"Yes","No")</f>
        <v>Yes</v>
      </c>
      <c r="Y57" s="23" t="str">
        <f>IF(ISNUMBER(SEARCH("Y",UPPER(TRIM(Raw_Data!V48)))),"Yes","No")</f>
        <v>No</v>
      </c>
      <c r="Z57" s="24">
        <f>Raw_Data!W48</f>
        <v>2</v>
      </c>
      <c r="AA57" s="24">
        <f>Raw_Data!X48</f>
        <v>9</v>
      </c>
      <c r="AB57" s="23" t="str">
        <f>IF(COUNTIFS(Raw_Data!$A$2:$A$616,Raw_Data!A48)&gt;1,"Duplicate","Unique")</f>
        <v>Unique</v>
      </c>
      <c r="AC57" s="23" t="str">
        <f t="shared" si="2"/>
        <v>Clean</v>
      </c>
    </row>
    <row r="58" spans="1:29" ht="15" customHeight="1">
      <c r="A58" s="25" t="str">
        <f>Raw_Data!A49</f>
        <v>BYJ1048</v>
      </c>
      <c r="B58" s="25" t="str">
        <f>Raw_Data!B49</f>
        <v>Chaman Kalla</v>
      </c>
      <c r="C58" s="26">
        <f>IF(OR(Raw_Data!C49="",Raw_Data!C49&lt;$C$5,Raw_Data!C49&gt;$C$6),$C$4,Raw_Data!C49)</f>
        <v>12</v>
      </c>
      <c r="D58" s="25" t="str">
        <f>IF(Raw_Data!C49="","Missing-Imputed",IF(OR(Raw_Data!C49&lt;$C$5,Raw_Data!C49&gt;$C$6),"Outlier-Imputed","Original"))</f>
        <v>Original</v>
      </c>
      <c r="E58" s="25" t="str">
        <f>IF(OR(UPPER(TRIM(Raw_Data!D49))="M",UPPER(TRIM(Raw_Data!D49))="MALE"),"Male","Female")</f>
        <v>Male</v>
      </c>
      <c r="F58" s="25" t="str">
        <f>PROPER(TRIM(Raw_Data!E49))</f>
        <v>Adoni</v>
      </c>
      <c r="G58" s="25" t="str">
        <f>PROPER(TRIM(Raw_Data!F49))</f>
        <v>Kerala</v>
      </c>
      <c r="H58" s="25" t="str">
        <f>PROPER(TRIM(Raw_Data!G49))</f>
        <v>Science</v>
      </c>
      <c r="I58" s="25" t="str">
        <f>PROPER(TRIM(Raw_Data!H49))</f>
        <v>Lucknow Hub</v>
      </c>
      <c r="J58" s="26">
        <f>IF(LEN(TRIM(Raw_Data!I49))=4,VALUE(TRIM(Raw_Data!I49)),IF(ISNUMBER(IFERROR(VALUE(MID(TRIM(Raw_Data!I49),1,4)),"NA")),VALUE(MID(TRIM(Raw_Data!I49),1,4)),VALUE(RIGHT(TRIM(Raw_Data!I49),4))))</f>
        <v>2022</v>
      </c>
      <c r="K58" s="25" t="str">
        <f>PROPER(TRIM(Raw_Data!J49))</f>
        <v>Retired</v>
      </c>
      <c r="L58" s="25" t="str">
        <f t="shared" si="0"/>
        <v>10-13</v>
      </c>
      <c r="M58" s="25" t="str">
        <f t="shared" si="1"/>
        <v>Kids</v>
      </c>
      <c r="N58" s="25" t="str">
        <f>IF(ISNUMBER(SEARCH("NON",UPPER(Raw_Data!M49))),"Non-Premium Learner","Premium Learner")</f>
        <v>Non-Premium Learner</v>
      </c>
      <c r="O58" s="25" t="str">
        <f>PROPER(TRIM(Raw_Data!N49))</f>
        <v>App Only</v>
      </c>
      <c r="P58" s="26">
        <f>IF(Raw_Data!O49="",$C$7,Raw_Data!O49)</f>
        <v>109571.53</v>
      </c>
      <c r="Q58" s="25" t="str">
        <f>IF(Raw_Data!O49="","Missing-Imputed","Original")</f>
        <v>Original</v>
      </c>
      <c r="R58" s="26">
        <f>Raw_Data!P49</f>
        <v>32.299999999999997</v>
      </c>
      <c r="S58" s="26">
        <f>Raw_Data!Q49</f>
        <v>43175.14</v>
      </c>
      <c r="T58" s="25" t="str">
        <f>IF(Raw_Data!R49="","Unknown",IF(ISNUMBER(SEARCH("ACT",UPPER(Raw_Data!R49))),"Active",IF(ISNUMBER(SEARCH("CLOS",UPPER(Raw_Data!R49))),"Closed","None")))</f>
        <v>Closed</v>
      </c>
      <c r="U58" s="26">
        <f>IF(Raw_Data!S49="",$C$8,VALUE(Raw_Data!S49))</f>
        <v>591</v>
      </c>
      <c r="V58" s="25" t="str">
        <f>IF(Raw_Data!S49="","Missing-Imputed","Original")</f>
        <v>Original</v>
      </c>
      <c r="W58" s="26">
        <f>Raw_Data!T49</f>
        <v>200</v>
      </c>
      <c r="X58" s="25" t="str">
        <f>IF(ISNUMBER(SEARCH("Y",UPPER(TRIM(Raw_Data!U49)))),"Yes","No")</f>
        <v>No</v>
      </c>
      <c r="Y58" s="25" t="str">
        <f>IF(ISNUMBER(SEARCH("Y",UPPER(TRIM(Raw_Data!V49)))),"Yes","No")</f>
        <v>Yes</v>
      </c>
      <c r="Z58" s="26">
        <f>Raw_Data!W49</f>
        <v>4</v>
      </c>
      <c r="AA58" s="26">
        <f>Raw_Data!X49</f>
        <v>8.1999999999999993</v>
      </c>
      <c r="AB58" s="25" t="str">
        <f>IF(COUNTIFS(Raw_Data!$A$2:$A$616,Raw_Data!A49)&gt;1,"Duplicate","Unique")</f>
        <v>Unique</v>
      </c>
      <c r="AC58" s="25" t="str">
        <f t="shared" si="2"/>
        <v>Clean</v>
      </c>
    </row>
    <row r="59" spans="1:29" ht="15" customHeight="1">
      <c r="A59" s="23" t="str">
        <f>Raw_Data!A50</f>
        <v>BYJ1049</v>
      </c>
      <c r="B59" s="23" t="str">
        <f>Raw_Data!B50</f>
        <v>Dipta Bhandari</v>
      </c>
      <c r="C59" s="24">
        <f>IF(OR(Raw_Data!C50="",Raw_Data!C50&lt;$C$5,Raw_Data!C50&gt;$C$6),$C$4,Raw_Data!C50)</f>
        <v>42</v>
      </c>
      <c r="D59" s="23" t="str">
        <f>IF(Raw_Data!C50="","Missing-Imputed",IF(OR(Raw_Data!C50&lt;$C$5,Raw_Data!C50&gt;$C$6),"Outlier-Imputed","Original"))</f>
        <v>Original</v>
      </c>
      <c r="E59" s="23" t="str">
        <f>IF(OR(UPPER(TRIM(Raw_Data!D50))="M",UPPER(TRIM(Raw_Data!D50))="MALE"),"Male","Female")</f>
        <v>Female</v>
      </c>
      <c r="F59" s="23" t="str">
        <f>PROPER(TRIM(Raw_Data!E50))</f>
        <v>Bhimavaram</v>
      </c>
      <c r="G59" s="23" t="str">
        <f>PROPER(TRIM(Raw_Data!F50))</f>
        <v>West Bengal</v>
      </c>
      <c r="H59" s="23" t="str">
        <f>PROPER(TRIM(Raw_Data!G50))</f>
        <v>Robotics</v>
      </c>
      <c r="I59" s="23" t="str">
        <f>PROPER(TRIM(Raw_Data!H50))</f>
        <v>Mumbai West</v>
      </c>
      <c r="J59" s="24">
        <f>IF(LEN(TRIM(Raw_Data!I50))=4,VALUE(TRIM(Raw_Data!I50)),IF(ISNUMBER(IFERROR(VALUE(MID(TRIM(Raw_Data!I50),1,4)),"NA")),VALUE(MID(TRIM(Raw_Data!I50),1,4)),VALUE(RIGHT(TRIM(Raw_Data!I50),4))))</f>
        <v>46027</v>
      </c>
      <c r="K59" s="23" t="str">
        <f>PROPER(TRIM(Raw_Data!J50))</f>
        <v>Salaried</v>
      </c>
      <c r="L59" s="23" t="str">
        <f t="shared" si="0"/>
        <v>20+</v>
      </c>
      <c r="M59" s="23" t="str">
        <f t="shared" si="1"/>
        <v>Adult Learners</v>
      </c>
      <c r="N59" s="23" t="str">
        <f>IF(ISNUMBER(SEARCH("NON",UPPER(Raw_Data!M50))),"Non-Premium Learner","Premium Learner")</f>
        <v>Non-Premium Learner</v>
      </c>
      <c r="O59" s="23" t="str">
        <f>PROPER(TRIM(Raw_Data!N50))</f>
        <v>Both App &amp; Web</v>
      </c>
      <c r="P59" s="24">
        <f>IF(Raw_Data!O50="",$C$7,Raw_Data!O50)</f>
        <v>140472.57</v>
      </c>
      <c r="Q59" s="23" t="str">
        <f>IF(Raw_Data!O50="","Missing-Imputed","Original")</f>
        <v>Original</v>
      </c>
      <c r="R59" s="24">
        <f>Raw_Data!P50</f>
        <v>43.7</v>
      </c>
      <c r="S59" s="24">
        <f>Raw_Data!Q50</f>
        <v>7480.67</v>
      </c>
      <c r="T59" s="23" t="str">
        <f>IF(Raw_Data!R50="","Unknown",IF(ISNUMBER(SEARCH("ACT",UPPER(Raw_Data!R50))),"Active",IF(ISNUMBER(SEARCH("CLOS",UPPER(Raw_Data!R50))),"Closed","None")))</f>
        <v>Active</v>
      </c>
      <c r="U59" s="24">
        <f>IF(Raw_Data!S50="",$C$8,VALUE(Raw_Data!S50))</f>
        <v>579</v>
      </c>
      <c r="V59" s="23" t="str">
        <f>IF(Raw_Data!S50="","Missing-Imputed","Original")</f>
        <v>Original</v>
      </c>
      <c r="W59" s="24">
        <f>Raw_Data!T50</f>
        <v>131</v>
      </c>
      <c r="X59" s="23" t="str">
        <f>IF(ISNUMBER(SEARCH("Y",UPPER(TRIM(Raw_Data!U50)))),"Yes","No")</f>
        <v>Yes</v>
      </c>
      <c r="Y59" s="23" t="str">
        <f>IF(ISNUMBER(SEARCH("Y",UPPER(TRIM(Raw_Data!V50)))),"Yes","No")</f>
        <v>Yes</v>
      </c>
      <c r="Z59" s="24">
        <f>Raw_Data!W50</f>
        <v>4</v>
      </c>
      <c r="AA59" s="24">
        <f>Raw_Data!X50</f>
        <v>8</v>
      </c>
      <c r="AB59" s="23" t="str">
        <f>IF(COUNTIFS(Raw_Data!$A$2:$A$616,Raw_Data!A50)&gt;1,"Duplicate","Unique")</f>
        <v>Unique</v>
      </c>
      <c r="AC59" s="23" t="str">
        <f t="shared" si="2"/>
        <v>Clean</v>
      </c>
    </row>
    <row r="60" spans="1:29" ht="15" customHeight="1">
      <c r="A60" s="25" t="str">
        <f>Raw_Data!A51</f>
        <v>BYJ1050</v>
      </c>
      <c r="B60" s="25" t="str">
        <f>Raw_Data!B51</f>
        <v>Yadavi Wali</v>
      </c>
      <c r="C60" s="26">
        <f>IF(OR(Raw_Data!C51="",Raw_Data!C51&lt;$C$5,Raw_Data!C51&gt;$C$6),$C$4,Raw_Data!C51)</f>
        <v>31</v>
      </c>
      <c r="D60" s="25" t="str">
        <f>IF(Raw_Data!C51="","Missing-Imputed",IF(OR(Raw_Data!C51&lt;$C$5,Raw_Data!C51&gt;$C$6),"Outlier-Imputed","Original"))</f>
        <v>Original</v>
      </c>
      <c r="E60" s="25" t="str">
        <f>IF(OR(UPPER(TRIM(Raw_Data!D51))="M",UPPER(TRIM(Raw_Data!D51))="MALE"),"Male","Female")</f>
        <v>Female</v>
      </c>
      <c r="F60" s="25" t="str">
        <f>PROPER(TRIM(Raw_Data!E51))</f>
        <v>Howrah</v>
      </c>
      <c r="G60" s="25" t="str">
        <f>PROPER(TRIM(Raw_Data!F51))</f>
        <v>Karnataka</v>
      </c>
      <c r="H60" s="25" t="str">
        <f>PROPER(TRIM(Raw_Data!G51))</f>
        <v>Neet Prep</v>
      </c>
      <c r="I60" s="25" t="str">
        <f>PROPER(TRIM(Raw_Data!H51))</f>
        <v>Delhi North</v>
      </c>
      <c r="J60" s="26">
        <f>IF(LEN(TRIM(Raw_Data!I51))=4,VALUE(TRIM(Raw_Data!I51)),IF(ISNUMBER(IFERROR(VALUE(MID(TRIM(Raw_Data!I51),1,4)),"NA")),VALUE(MID(TRIM(Raw_Data!I51),1,4)),VALUE(RIGHT(TRIM(Raw_Data!I51),4))))</f>
        <v>2016</v>
      </c>
      <c r="K60" s="25" t="str">
        <f>PROPER(TRIM(Raw_Data!J51))</f>
        <v>Business</v>
      </c>
      <c r="L60" s="25" t="str">
        <f t="shared" si="0"/>
        <v>20+</v>
      </c>
      <c r="M60" s="25" t="str">
        <f t="shared" si="1"/>
        <v>Adult Learners</v>
      </c>
      <c r="N60" s="25" t="str">
        <f>IF(ISNUMBER(SEARCH("NON",UPPER(Raw_Data!M51))),"Non-Premium Learner","Premium Learner")</f>
        <v>Premium Learner</v>
      </c>
      <c r="O60" s="25" t="str">
        <f>PROPER(TRIM(Raw_Data!N51))</f>
        <v>Web Only</v>
      </c>
      <c r="P60" s="26">
        <f>IF(Raw_Data!O51="",$C$7,Raw_Data!O51)</f>
        <v>105930.44</v>
      </c>
      <c r="Q60" s="25" t="str">
        <f>IF(Raw_Data!O51="","Missing-Imputed","Original")</f>
        <v>Original</v>
      </c>
      <c r="R60" s="26">
        <f>Raw_Data!P51</f>
        <v>57.9</v>
      </c>
      <c r="S60" s="26">
        <f>Raw_Data!Q51</f>
        <v>26916.09</v>
      </c>
      <c r="T60" s="25" t="str">
        <f>IF(Raw_Data!R51="","Unknown",IF(ISNUMBER(SEARCH("ACT",UPPER(Raw_Data!R51))),"Active",IF(ISNUMBER(SEARCH("CLOS",UPPER(Raw_Data!R51))),"Closed","None")))</f>
        <v>Active</v>
      </c>
      <c r="U60" s="26">
        <f>IF(Raw_Data!S51="",$C$8,VALUE(Raw_Data!S51))</f>
        <v>319</v>
      </c>
      <c r="V60" s="25" t="str">
        <f>IF(Raw_Data!S51="","Missing-Imputed","Original")</f>
        <v>Original</v>
      </c>
      <c r="W60" s="26">
        <f>Raw_Data!T51</f>
        <v>38</v>
      </c>
      <c r="X60" s="25" t="str">
        <f>IF(ISNUMBER(SEARCH("Y",UPPER(TRIM(Raw_Data!U51)))),"Yes","No")</f>
        <v>No</v>
      </c>
      <c r="Y60" s="25" t="str">
        <f>IF(ISNUMBER(SEARCH("Y",UPPER(TRIM(Raw_Data!V51)))),"Yes","No")</f>
        <v>No</v>
      </c>
      <c r="Z60" s="26">
        <f>Raw_Data!W51</f>
        <v>3</v>
      </c>
      <c r="AA60" s="26">
        <f>Raw_Data!X51</f>
        <v>1.5</v>
      </c>
      <c r="AB60" s="25" t="str">
        <f>IF(COUNTIFS(Raw_Data!$A$2:$A$616,Raw_Data!A51)&gt;1,"Duplicate","Unique")</f>
        <v>Unique</v>
      </c>
      <c r="AC60" s="25" t="str">
        <f t="shared" si="2"/>
        <v>Clean</v>
      </c>
    </row>
    <row r="61" spans="1:29" ht="15" customHeight="1">
      <c r="A61" s="23" t="str">
        <f>Raw_Data!A52</f>
        <v>BYJ1051</v>
      </c>
      <c r="B61" s="23" t="str">
        <f>Raw_Data!B52</f>
        <v>Quincy Biswas</v>
      </c>
      <c r="C61" s="24">
        <f>IF(OR(Raw_Data!C52="",Raw_Data!C52&lt;$C$5,Raw_Data!C52&gt;$C$6),$C$4,Raw_Data!C52)</f>
        <v>45</v>
      </c>
      <c r="D61" s="23" t="str">
        <f>IF(Raw_Data!C52="","Missing-Imputed",IF(OR(Raw_Data!C52&lt;$C$5,Raw_Data!C52&gt;$C$6),"Outlier-Imputed","Original"))</f>
        <v>Original</v>
      </c>
      <c r="E61" s="23" t="str">
        <f>IF(OR(UPPER(TRIM(Raw_Data!D52))="M",UPPER(TRIM(Raw_Data!D52))="MALE"),"Male","Female")</f>
        <v>Female</v>
      </c>
      <c r="F61" s="23" t="str">
        <f>PROPER(TRIM(Raw_Data!E52))</f>
        <v>Noida</v>
      </c>
      <c r="G61" s="23" t="str">
        <f>PROPER(TRIM(Raw_Data!F52))</f>
        <v>Rajasthan</v>
      </c>
      <c r="H61" s="23" t="str">
        <f>PROPER(TRIM(Raw_Data!G52))</f>
        <v>Coding</v>
      </c>
      <c r="I61" s="23" t="str">
        <f>PROPER(TRIM(Raw_Data!H52))</f>
        <v>Jaipur Center</v>
      </c>
      <c r="J61" s="24">
        <f>IF(LEN(TRIM(Raw_Data!I52))=4,VALUE(TRIM(Raw_Data!I52)),IF(ISNUMBER(IFERROR(VALUE(MID(TRIM(Raw_Data!I52),1,4)),"NA")),VALUE(MID(TRIM(Raw_Data!I52),1,4)),VALUE(RIGHT(TRIM(Raw_Data!I52),4))))</f>
        <v>2025</v>
      </c>
      <c r="K61" s="23" t="str">
        <f>PROPER(TRIM(Raw_Data!J52))</f>
        <v>Homemaker</v>
      </c>
      <c r="L61" s="23" t="str">
        <f t="shared" si="0"/>
        <v>20+</v>
      </c>
      <c r="M61" s="23" t="str">
        <f t="shared" si="1"/>
        <v>Adult Learners</v>
      </c>
      <c r="N61" s="23" t="str">
        <f>IF(ISNUMBER(SEARCH("NON",UPPER(Raw_Data!M52))),"Non-Premium Learner","Premium Learner")</f>
        <v>Non-Premium Learner</v>
      </c>
      <c r="O61" s="23" t="str">
        <f>PROPER(TRIM(Raw_Data!N52))</f>
        <v>App Only</v>
      </c>
      <c r="P61" s="24">
        <f>IF(Raw_Data!O52="",$C$7,Raw_Data!O52)</f>
        <v>87746.240000000005</v>
      </c>
      <c r="Q61" s="23" t="str">
        <f>IF(Raw_Data!O52="","Missing-Imputed","Original")</f>
        <v>Original</v>
      </c>
      <c r="R61" s="24">
        <f>Raw_Data!P52</f>
        <v>55.1</v>
      </c>
      <c r="S61" s="24">
        <f>Raw_Data!Q52</f>
        <v>31409.07</v>
      </c>
      <c r="T61" s="23" t="str">
        <f>IF(Raw_Data!R52="","Unknown",IF(ISNUMBER(SEARCH("ACT",UPPER(Raw_Data!R52))),"Active",IF(ISNUMBER(SEARCH("CLOS",UPPER(Raw_Data!R52))),"Closed","None")))</f>
        <v>Closed</v>
      </c>
      <c r="U61" s="24">
        <f>IF(Raw_Data!S52="",$C$8,VALUE(Raw_Data!S52))</f>
        <v>838</v>
      </c>
      <c r="V61" s="23" t="str">
        <f>IF(Raw_Data!S52="","Missing-Imputed","Original")</f>
        <v>Original</v>
      </c>
      <c r="W61" s="24">
        <f>Raw_Data!T52</f>
        <v>129</v>
      </c>
      <c r="X61" s="23" t="str">
        <f>IF(ISNUMBER(SEARCH("Y",UPPER(TRIM(Raw_Data!U52)))),"Yes","No")</f>
        <v>Yes</v>
      </c>
      <c r="Y61" s="23" t="str">
        <f>IF(ISNUMBER(SEARCH("Y",UPPER(TRIM(Raw_Data!V52)))),"Yes","No")</f>
        <v>No</v>
      </c>
      <c r="Z61" s="24">
        <f>Raw_Data!W52</f>
        <v>4</v>
      </c>
      <c r="AA61" s="24">
        <f>Raw_Data!X52</f>
        <v>8.8000000000000007</v>
      </c>
      <c r="AB61" s="23" t="str">
        <f>IF(COUNTIFS(Raw_Data!$A$2:$A$616,Raw_Data!A52)&gt;1,"Duplicate","Unique")</f>
        <v>Unique</v>
      </c>
      <c r="AC61" s="23" t="str">
        <f t="shared" si="2"/>
        <v>Clean</v>
      </c>
    </row>
    <row r="62" spans="1:29" ht="15" customHeight="1">
      <c r="A62" s="25" t="str">
        <f>Raw_Data!A53</f>
        <v>BYJ1052</v>
      </c>
      <c r="B62" s="25" t="str">
        <f>Raw_Data!B53</f>
        <v>Jagdish Koshy</v>
      </c>
      <c r="C62" s="26">
        <f>IF(OR(Raw_Data!C53="",Raw_Data!C53&lt;$C$5,Raw_Data!C53&gt;$C$6),$C$4,Raw_Data!C53)</f>
        <v>24</v>
      </c>
      <c r="D62" s="25" t="str">
        <f>IF(Raw_Data!C53="","Missing-Imputed",IF(OR(Raw_Data!C53&lt;$C$5,Raw_Data!C53&gt;$C$6),"Outlier-Imputed","Original"))</f>
        <v>Missing-Imputed</v>
      </c>
      <c r="E62" s="25" t="str">
        <f>IF(OR(UPPER(TRIM(Raw_Data!D53))="M",UPPER(TRIM(Raw_Data!D53))="MALE"),"Male","Female")</f>
        <v>Male</v>
      </c>
      <c r="F62" s="25" t="str">
        <f>PROPER(TRIM(Raw_Data!E53))</f>
        <v>Udupi</v>
      </c>
      <c r="G62" s="25" t="str">
        <f>PROPER(TRIM(Raw_Data!F53))</f>
        <v>Karnataka</v>
      </c>
      <c r="H62" s="25" t="str">
        <f>PROPER(TRIM(Raw_Data!G53))</f>
        <v>Neet Prep</v>
      </c>
      <c r="I62" s="25" t="str">
        <f>PROPER(TRIM(Raw_Data!H53))</f>
        <v>Mumbai West</v>
      </c>
      <c r="J62" s="26">
        <f>IF(LEN(TRIM(Raw_Data!I53))=4,VALUE(TRIM(Raw_Data!I53)),IF(ISNUMBER(IFERROR(VALUE(MID(TRIM(Raw_Data!I53),1,4)),"NA")),VALUE(MID(TRIM(Raw_Data!I53),1,4)),VALUE(RIGHT(TRIM(Raw_Data!I53),4))))</f>
        <v>2016</v>
      </c>
      <c r="K62" s="25" t="str">
        <f>PROPER(TRIM(Raw_Data!J53))</f>
        <v>Retired</v>
      </c>
      <c r="L62" s="25" t="str">
        <f t="shared" si="0"/>
        <v>20+</v>
      </c>
      <c r="M62" s="25" t="str">
        <f t="shared" si="1"/>
        <v>Adult Learners</v>
      </c>
      <c r="N62" s="25" t="str">
        <f>IF(ISNUMBER(SEARCH("NON",UPPER(Raw_Data!M53))),"Non-Premium Learner","Premium Learner")</f>
        <v>Premium Learner</v>
      </c>
      <c r="O62" s="25" t="str">
        <f>PROPER(TRIM(Raw_Data!N53))</f>
        <v>Web Only</v>
      </c>
      <c r="P62" s="26">
        <f>IF(Raw_Data!O53="",$C$7,Raw_Data!O53)</f>
        <v>147218.78</v>
      </c>
      <c r="Q62" s="25" t="str">
        <f>IF(Raw_Data!O53="","Missing-Imputed","Original")</f>
        <v>Original</v>
      </c>
      <c r="R62" s="26">
        <f>Raw_Data!P53</f>
        <v>18.7</v>
      </c>
      <c r="S62" s="26">
        <f>Raw_Data!Q53</f>
        <v>8091.15</v>
      </c>
      <c r="T62" s="25" t="str">
        <f>IF(Raw_Data!R53="","Unknown",IF(ISNUMBER(SEARCH("ACT",UPPER(Raw_Data!R53))),"Active",IF(ISNUMBER(SEARCH("CLOS",UPPER(Raw_Data!R53))),"Closed","None")))</f>
        <v>None</v>
      </c>
      <c r="U62" s="26">
        <f>IF(Raw_Data!S53="",$C$8,VALUE(Raw_Data!S53))</f>
        <v>337</v>
      </c>
      <c r="V62" s="25" t="str">
        <f>IF(Raw_Data!S53="","Missing-Imputed","Original")</f>
        <v>Original</v>
      </c>
      <c r="W62" s="26">
        <f>Raw_Data!T53</f>
        <v>11</v>
      </c>
      <c r="X62" s="25" t="str">
        <f>IF(ISNUMBER(SEARCH("Y",UPPER(TRIM(Raw_Data!U53)))),"Yes","No")</f>
        <v>Yes</v>
      </c>
      <c r="Y62" s="25" t="str">
        <f>IF(ISNUMBER(SEARCH("Y",UPPER(TRIM(Raw_Data!V53)))),"Yes","No")</f>
        <v>No</v>
      </c>
      <c r="Z62" s="26">
        <f>Raw_Data!W53</f>
        <v>5</v>
      </c>
      <c r="AA62" s="26">
        <f>Raw_Data!X53</f>
        <v>3.9</v>
      </c>
      <c r="AB62" s="25" t="str">
        <f>IF(COUNTIFS(Raw_Data!$A$2:$A$616,Raw_Data!A53)&gt;1,"Duplicate","Unique")</f>
        <v>Unique</v>
      </c>
      <c r="AC62" s="25" t="str">
        <f t="shared" si="2"/>
        <v>Imputed</v>
      </c>
    </row>
    <row r="63" spans="1:29" ht="15" customHeight="1">
      <c r="A63" s="23" t="str">
        <f>Raw_Data!A54</f>
        <v>BYJ1053</v>
      </c>
      <c r="B63" s="23" t="str">
        <f>Raw_Data!B54</f>
        <v>Oni Virk</v>
      </c>
      <c r="C63" s="24">
        <f>IF(OR(Raw_Data!C54="",Raw_Data!C54&lt;$C$5,Raw_Data!C54&gt;$C$6),$C$4,Raw_Data!C54)</f>
        <v>8</v>
      </c>
      <c r="D63" s="23" t="str">
        <f>IF(Raw_Data!C54="","Missing-Imputed",IF(OR(Raw_Data!C54&lt;$C$5,Raw_Data!C54&gt;$C$6),"Outlier-Imputed","Original"))</f>
        <v>Original</v>
      </c>
      <c r="E63" s="23" t="str">
        <f>IF(OR(UPPER(TRIM(Raw_Data!D54))="M",UPPER(TRIM(Raw_Data!D54))="MALE"),"Male","Female")</f>
        <v>Male</v>
      </c>
      <c r="F63" s="23" t="str">
        <f>PROPER(TRIM(Raw_Data!E54))</f>
        <v>Bhilwara</v>
      </c>
      <c r="G63" s="23" t="str">
        <f>PROPER(TRIM(Raw_Data!F54))</f>
        <v>Tamil Nadu</v>
      </c>
      <c r="H63" s="23" t="str">
        <f>PROPER(TRIM(Raw_Data!G54))</f>
        <v>Neet Prep</v>
      </c>
      <c r="I63" s="23" t="str">
        <f>PROPER(TRIM(Raw_Data!H54))</f>
        <v>Hyderabad Hub</v>
      </c>
      <c r="J63" s="24">
        <f>IF(LEN(TRIM(Raw_Data!I54))=4,VALUE(TRIM(Raw_Data!I54)),IF(ISNUMBER(IFERROR(VALUE(MID(TRIM(Raw_Data!I54),1,4)),"NA")),VALUE(MID(TRIM(Raw_Data!I54),1,4)),VALUE(RIGHT(TRIM(Raw_Data!I54),4))))</f>
        <v>2017</v>
      </c>
      <c r="K63" s="23" t="str">
        <f>PROPER(TRIM(Raw_Data!J54))</f>
        <v>Retired</v>
      </c>
      <c r="L63" s="23" t="str">
        <f t="shared" si="0"/>
        <v>Under 10</v>
      </c>
      <c r="M63" s="23" t="str">
        <f t="shared" si="1"/>
        <v>Kids</v>
      </c>
      <c r="N63" s="23" t="str">
        <f>IF(ISNUMBER(SEARCH("NON",UPPER(Raw_Data!M54))),"Non-Premium Learner","Premium Learner")</f>
        <v>Non-Premium Learner</v>
      </c>
      <c r="O63" s="23" t="str">
        <f>PROPER(TRIM(Raw_Data!N54))</f>
        <v>Web Only</v>
      </c>
      <c r="P63" s="24">
        <f>IF(Raw_Data!O54="",$C$7,Raw_Data!O54)</f>
        <v>146189.92000000001</v>
      </c>
      <c r="Q63" s="23" t="str">
        <f>IF(Raw_Data!O54="","Missing-Imputed","Original")</f>
        <v>Original</v>
      </c>
      <c r="R63" s="24">
        <f>Raw_Data!P54</f>
        <v>42.3</v>
      </c>
      <c r="S63" s="24">
        <f>Raw_Data!Q54</f>
        <v>55458.63</v>
      </c>
      <c r="T63" s="23" t="str">
        <f>IF(Raw_Data!R54="","Unknown",IF(ISNUMBER(SEARCH("ACT",UPPER(Raw_Data!R54))),"Active",IF(ISNUMBER(SEARCH("CLOS",UPPER(Raw_Data!R54))),"Closed","None")))</f>
        <v>None</v>
      </c>
      <c r="U63" s="24">
        <f>IF(Raw_Data!S54="",$C$8,VALUE(Raw_Data!S54))</f>
        <v>384</v>
      </c>
      <c r="V63" s="23" t="str">
        <f>IF(Raw_Data!S54="","Missing-Imputed","Original")</f>
        <v>Original</v>
      </c>
      <c r="W63" s="24">
        <f>Raw_Data!T54</f>
        <v>20</v>
      </c>
      <c r="X63" s="23" t="str">
        <f>IF(ISNUMBER(SEARCH("Y",UPPER(TRIM(Raw_Data!U54)))),"Yes","No")</f>
        <v>No</v>
      </c>
      <c r="Y63" s="23" t="str">
        <f>IF(ISNUMBER(SEARCH("Y",UPPER(TRIM(Raw_Data!V54)))),"Yes","No")</f>
        <v>No</v>
      </c>
      <c r="Z63" s="24">
        <f>Raw_Data!W54</f>
        <v>1</v>
      </c>
      <c r="AA63" s="24">
        <f>Raw_Data!X54</f>
        <v>1.2</v>
      </c>
      <c r="AB63" s="23" t="str">
        <f>IF(COUNTIFS(Raw_Data!$A$2:$A$616,Raw_Data!A54)&gt;1,"Duplicate","Unique")</f>
        <v>Unique</v>
      </c>
      <c r="AC63" s="23" t="str">
        <f t="shared" si="2"/>
        <v>Clean</v>
      </c>
    </row>
    <row r="64" spans="1:29" ht="15" customHeight="1">
      <c r="A64" s="25" t="str">
        <f>Raw_Data!A55</f>
        <v>BYJ1054</v>
      </c>
      <c r="B64" s="25" t="str">
        <f>Raw_Data!B55</f>
        <v>Dipta Khare</v>
      </c>
      <c r="C64" s="26">
        <f>IF(OR(Raw_Data!C55="",Raw_Data!C55&lt;$C$5,Raw_Data!C55&gt;$C$6),$C$4,Raw_Data!C55)</f>
        <v>44</v>
      </c>
      <c r="D64" s="25" t="str">
        <f>IF(Raw_Data!C55="","Missing-Imputed",IF(OR(Raw_Data!C55&lt;$C$5,Raw_Data!C55&gt;$C$6),"Outlier-Imputed","Original"))</f>
        <v>Original</v>
      </c>
      <c r="E64" s="25" t="str">
        <f>IF(OR(UPPER(TRIM(Raw_Data!D55))="M",UPPER(TRIM(Raw_Data!D55))="MALE"),"Male","Female")</f>
        <v>Female</v>
      </c>
      <c r="F64" s="25" t="str">
        <f>PROPER(TRIM(Raw_Data!E55))</f>
        <v>Tenali</v>
      </c>
      <c r="G64" s="25" t="str">
        <f>PROPER(TRIM(Raw_Data!F55))</f>
        <v>Gujarat</v>
      </c>
      <c r="H64" s="25" t="str">
        <f>PROPER(TRIM(Raw_Data!G55))</f>
        <v>Spoken English</v>
      </c>
      <c r="I64" s="25" t="str">
        <f>PROPER(TRIM(Raw_Data!H55))</f>
        <v>Chennai Central</v>
      </c>
      <c r="J64" s="26">
        <f>IF(LEN(TRIM(Raw_Data!I55))=4,VALUE(TRIM(Raw_Data!I55)),IF(ISNUMBER(IFERROR(VALUE(MID(TRIM(Raw_Data!I55),1,4)),"NA")),VALUE(MID(TRIM(Raw_Data!I55),1,4)),VALUE(RIGHT(TRIM(Raw_Data!I55),4))))</f>
        <v>46036</v>
      </c>
      <c r="K64" s="25" t="str">
        <f>PROPER(TRIM(Raw_Data!J55))</f>
        <v>Retired</v>
      </c>
      <c r="L64" s="25" t="str">
        <f t="shared" si="0"/>
        <v>20+</v>
      </c>
      <c r="M64" s="25" t="str">
        <f t="shared" si="1"/>
        <v>Adult Learners</v>
      </c>
      <c r="N64" s="25" t="str">
        <f>IF(ISNUMBER(SEARCH("NON",UPPER(Raw_Data!M55))),"Non-Premium Learner","Premium Learner")</f>
        <v>Non-Premium Learner</v>
      </c>
      <c r="O64" s="25" t="str">
        <f>PROPER(TRIM(Raw_Data!N55))</f>
        <v>App Only</v>
      </c>
      <c r="P64" s="26">
        <f>IF(Raw_Data!O55="",$C$7,Raw_Data!O55)</f>
        <v>102321.66</v>
      </c>
      <c r="Q64" s="25" t="str">
        <f>IF(Raw_Data!O55="","Missing-Imputed","Original")</f>
        <v>Original</v>
      </c>
      <c r="R64" s="26">
        <f>Raw_Data!P55</f>
        <v>43.5</v>
      </c>
      <c r="S64" s="26">
        <f>Raw_Data!Q55</f>
        <v>44993.88</v>
      </c>
      <c r="T64" s="25" t="str">
        <f>IF(Raw_Data!R55="","Unknown",IF(ISNUMBER(SEARCH("ACT",UPPER(Raw_Data!R55))),"Active",IF(ISNUMBER(SEARCH("CLOS",UPPER(Raw_Data!R55))),"Closed","None")))</f>
        <v>Active</v>
      </c>
      <c r="U64" s="26">
        <f>IF(Raw_Data!S55="",$C$8,VALUE(Raw_Data!S55))</f>
        <v>446</v>
      </c>
      <c r="V64" s="25" t="str">
        <f>IF(Raw_Data!S55="","Missing-Imputed","Original")</f>
        <v>Original</v>
      </c>
      <c r="W64" s="26">
        <f>Raw_Data!T55</f>
        <v>173</v>
      </c>
      <c r="X64" s="25" t="str">
        <f>IF(ISNUMBER(SEARCH("Y",UPPER(TRIM(Raw_Data!U55)))),"Yes","No")</f>
        <v>No</v>
      </c>
      <c r="Y64" s="25" t="str">
        <f>IF(ISNUMBER(SEARCH("Y",UPPER(TRIM(Raw_Data!V55)))),"Yes","No")</f>
        <v>Yes</v>
      </c>
      <c r="Z64" s="26">
        <f>Raw_Data!W55</f>
        <v>2</v>
      </c>
      <c r="AA64" s="26">
        <f>Raw_Data!X55</f>
        <v>7.1</v>
      </c>
      <c r="AB64" s="25" t="str">
        <f>IF(COUNTIFS(Raw_Data!$A$2:$A$616,Raw_Data!A55)&gt;1,"Duplicate","Unique")</f>
        <v>Unique</v>
      </c>
      <c r="AC64" s="25" t="str">
        <f t="shared" si="2"/>
        <v>Clean</v>
      </c>
    </row>
    <row r="65" spans="1:29" ht="15" customHeight="1">
      <c r="A65" s="23" t="str">
        <f>Raw_Data!A56</f>
        <v>BYJ1055</v>
      </c>
      <c r="B65" s="23" t="str">
        <f>Raw_Data!B56</f>
        <v>Charita Shankar</v>
      </c>
      <c r="C65" s="24">
        <f>IF(OR(Raw_Data!C56="",Raw_Data!C56&lt;$C$5,Raw_Data!C56&gt;$C$6),$C$4,Raw_Data!C56)</f>
        <v>42</v>
      </c>
      <c r="D65" s="23" t="str">
        <f>IF(Raw_Data!C56="","Missing-Imputed",IF(OR(Raw_Data!C56&lt;$C$5,Raw_Data!C56&gt;$C$6),"Outlier-Imputed","Original"))</f>
        <v>Original</v>
      </c>
      <c r="E65" s="23" t="str">
        <f>IF(OR(UPPER(TRIM(Raw_Data!D56))="M",UPPER(TRIM(Raw_Data!D56))="MALE"),"Male","Female")</f>
        <v>Male</v>
      </c>
      <c r="F65" s="23" t="str">
        <f>PROPER(TRIM(Raw_Data!E56))</f>
        <v>Srinagar</v>
      </c>
      <c r="G65" s="23" t="str">
        <f>PROPER(TRIM(Raw_Data!F56))</f>
        <v>Rajasthan</v>
      </c>
      <c r="H65" s="23" t="str">
        <f>PROPER(TRIM(Raw_Data!G56))</f>
        <v>Neet Prep</v>
      </c>
      <c r="I65" s="23" t="str">
        <f>PROPER(TRIM(Raw_Data!H56))</f>
        <v>Pune East</v>
      </c>
      <c r="J65" s="24">
        <f>IF(LEN(TRIM(Raw_Data!I56))=4,VALUE(TRIM(Raw_Data!I56)),IF(ISNUMBER(IFERROR(VALUE(MID(TRIM(Raw_Data!I56),1,4)),"NA")),VALUE(MID(TRIM(Raw_Data!I56),1,4)),VALUE(RIGHT(TRIM(Raw_Data!I56),4))))</f>
        <v>2023</v>
      </c>
      <c r="K65" s="23" t="str">
        <f>PROPER(TRIM(Raw_Data!J56))</f>
        <v>Government Employee</v>
      </c>
      <c r="L65" s="23" t="str">
        <f t="shared" si="0"/>
        <v>20+</v>
      </c>
      <c r="M65" s="23" t="str">
        <f t="shared" si="1"/>
        <v>Adult Learners</v>
      </c>
      <c r="N65" s="23" t="str">
        <f>IF(ISNUMBER(SEARCH("NON",UPPER(Raw_Data!M56))),"Non-Premium Learner","Premium Learner")</f>
        <v>Non-Premium Learner</v>
      </c>
      <c r="O65" s="23" t="str">
        <f>PROPER(TRIM(Raw_Data!N56))</f>
        <v>Web Only</v>
      </c>
      <c r="P65" s="24">
        <f>IF(Raw_Data!O56="",$C$7,Raw_Data!O56)</f>
        <v>41193.69</v>
      </c>
      <c r="Q65" s="23" t="str">
        <f>IF(Raw_Data!O56="","Missing-Imputed","Original")</f>
        <v>Original</v>
      </c>
      <c r="R65" s="24">
        <f>Raw_Data!P56</f>
        <v>60.2</v>
      </c>
      <c r="S65" s="24">
        <f>Raw_Data!Q56</f>
        <v>29942.639999999999</v>
      </c>
      <c r="T65" s="23" t="str">
        <f>IF(Raw_Data!R56="","Unknown",IF(ISNUMBER(SEARCH("ACT",UPPER(Raw_Data!R56))),"Active",IF(ISNUMBER(SEARCH("CLOS",UPPER(Raw_Data!R56))),"Closed","None")))</f>
        <v>Closed</v>
      </c>
      <c r="U65" s="24">
        <f>IF(Raw_Data!S56="",$C$8,VALUE(Raw_Data!S56))</f>
        <v>420</v>
      </c>
      <c r="V65" s="23" t="str">
        <f>IF(Raw_Data!S56="","Missing-Imputed","Original")</f>
        <v>Original</v>
      </c>
      <c r="W65" s="24">
        <f>Raw_Data!T56</f>
        <v>66</v>
      </c>
      <c r="X65" s="23" t="str">
        <f>IF(ISNUMBER(SEARCH("Y",UPPER(TRIM(Raw_Data!U56)))),"Yes","No")</f>
        <v>No</v>
      </c>
      <c r="Y65" s="23" t="str">
        <f>IF(ISNUMBER(SEARCH("Y",UPPER(TRIM(Raw_Data!V56)))),"Yes","No")</f>
        <v>No</v>
      </c>
      <c r="Z65" s="24">
        <f>Raw_Data!W56</f>
        <v>2</v>
      </c>
      <c r="AA65" s="24">
        <f>Raw_Data!X56</f>
        <v>1.5</v>
      </c>
      <c r="AB65" s="23" t="str">
        <f>IF(COUNTIFS(Raw_Data!$A$2:$A$616,Raw_Data!A56)&gt;1,"Duplicate","Unique")</f>
        <v>Unique</v>
      </c>
      <c r="AC65" s="23" t="str">
        <f t="shared" si="2"/>
        <v>Clean</v>
      </c>
    </row>
    <row r="66" spans="1:29" ht="15" customHeight="1">
      <c r="A66" s="25" t="str">
        <f>Raw_Data!A57</f>
        <v>BYJ1056</v>
      </c>
      <c r="B66" s="25" t="str">
        <f>Raw_Data!B57</f>
        <v>Tara Chaudhry</v>
      </c>
      <c r="C66" s="26">
        <f>IF(OR(Raw_Data!C57="",Raw_Data!C57&lt;$C$5,Raw_Data!C57&gt;$C$6),$C$4,Raw_Data!C57)</f>
        <v>34</v>
      </c>
      <c r="D66" s="25" t="str">
        <f>IF(Raw_Data!C57="","Missing-Imputed",IF(OR(Raw_Data!C57&lt;$C$5,Raw_Data!C57&gt;$C$6),"Outlier-Imputed","Original"))</f>
        <v>Original</v>
      </c>
      <c r="E66" s="25" t="str">
        <f>IF(OR(UPPER(TRIM(Raw_Data!D57))="M",UPPER(TRIM(Raw_Data!D57))="MALE"),"Male","Female")</f>
        <v>Male</v>
      </c>
      <c r="F66" s="25" t="str">
        <f>PROPER(TRIM(Raw_Data!E57))</f>
        <v>Siwan</v>
      </c>
      <c r="G66" s="25" t="str">
        <f>PROPER(TRIM(Raw_Data!F57))</f>
        <v>Karnataka</v>
      </c>
      <c r="H66" s="25" t="str">
        <f>PROPER(TRIM(Raw_Data!G57))</f>
        <v>Jee Prep</v>
      </c>
      <c r="I66" s="25" t="str">
        <f>PROPER(TRIM(Raw_Data!H57))</f>
        <v>Hyderabad Hub</v>
      </c>
      <c r="J66" s="26">
        <f>IF(LEN(TRIM(Raw_Data!I57))=4,VALUE(TRIM(Raw_Data!I57)),IF(ISNUMBER(IFERROR(VALUE(MID(TRIM(Raw_Data!I57),1,4)),"NA")),VALUE(MID(TRIM(Raw_Data!I57),1,4)),VALUE(RIGHT(TRIM(Raw_Data!I57),4))))</f>
        <v>2018</v>
      </c>
      <c r="K66" s="25" t="str">
        <f>PROPER(TRIM(Raw_Data!J57))</f>
        <v>Homemaker</v>
      </c>
      <c r="L66" s="25" t="str">
        <f t="shared" si="0"/>
        <v>20+</v>
      </c>
      <c r="M66" s="25" t="str">
        <f t="shared" si="1"/>
        <v>Adult Learners</v>
      </c>
      <c r="N66" s="25" t="str">
        <f>IF(ISNUMBER(SEARCH("NON",UPPER(Raw_Data!M57))),"Non-Premium Learner","Premium Learner")</f>
        <v>Non-Premium Learner</v>
      </c>
      <c r="O66" s="25" t="str">
        <f>PROPER(TRIM(Raw_Data!N57))</f>
        <v>App Only</v>
      </c>
      <c r="P66" s="26">
        <f>IF(Raw_Data!O57="",$C$7,Raw_Data!O57)</f>
        <v>119849.52</v>
      </c>
      <c r="Q66" s="25" t="str">
        <f>IF(Raw_Data!O57="","Missing-Imputed","Original")</f>
        <v>Original</v>
      </c>
      <c r="R66" s="26">
        <f>Raw_Data!P57</f>
        <v>42.1</v>
      </c>
      <c r="S66" s="26">
        <f>Raw_Data!Q57</f>
        <v>21653.79</v>
      </c>
      <c r="T66" s="25" t="str">
        <f>IF(Raw_Data!R57="","Unknown",IF(ISNUMBER(SEARCH("ACT",UPPER(Raw_Data!R57))),"Active",IF(ISNUMBER(SEARCH("CLOS",UPPER(Raw_Data!R57))),"Closed","None")))</f>
        <v>None</v>
      </c>
      <c r="U66" s="26">
        <f>IF(Raw_Data!S57="",$C$8,VALUE(Raw_Data!S57))</f>
        <v>778</v>
      </c>
      <c r="V66" s="25" t="str">
        <f>IF(Raw_Data!S57="","Missing-Imputed","Original")</f>
        <v>Original</v>
      </c>
      <c r="W66" s="26">
        <f>Raw_Data!T57</f>
        <v>141</v>
      </c>
      <c r="X66" s="25" t="str">
        <f>IF(ISNUMBER(SEARCH("Y",UPPER(TRIM(Raw_Data!U57)))),"Yes","No")</f>
        <v>Yes</v>
      </c>
      <c r="Y66" s="25" t="str">
        <f>IF(ISNUMBER(SEARCH("Y",UPPER(TRIM(Raw_Data!V57)))),"Yes","No")</f>
        <v>Yes</v>
      </c>
      <c r="Z66" s="26">
        <f>Raw_Data!W57</f>
        <v>4</v>
      </c>
      <c r="AA66" s="26">
        <f>Raw_Data!X57</f>
        <v>9</v>
      </c>
      <c r="AB66" s="25" t="str">
        <f>IF(COUNTIFS(Raw_Data!$A$2:$A$616,Raw_Data!A57)&gt;1,"Duplicate","Unique")</f>
        <v>Unique</v>
      </c>
      <c r="AC66" s="25" t="str">
        <f t="shared" si="2"/>
        <v>Clean</v>
      </c>
    </row>
    <row r="67" spans="1:29" ht="15" customHeight="1">
      <c r="A67" s="23" t="str">
        <f>Raw_Data!A58</f>
        <v>BYJ1057</v>
      </c>
      <c r="B67" s="23" t="str">
        <f>Raw_Data!B58</f>
        <v>Yashawini Lanka</v>
      </c>
      <c r="C67" s="24">
        <f>IF(OR(Raw_Data!C58="",Raw_Data!C58&lt;$C$5,Raw_Data!C58&gt;$C$6),$C$4,Raw_Data!C58)</f>
        <v>32</v>
      </c>
      <c r="D67" s="23" t="str">
        <f>IF(Raw_Data!C58="","Missing-Imputed",IF(OR(Raw_Data!C58&lt;$C$5,Raw_Data!C58&gt;$C$6),"Outlier-Imputed","Original"))</f>
        <v>Original</v>
      </c>
      <c r="E67" s="23" t="str">
        <f>IF(OR(UPPER(TRIM(Raw_Data!D58))="M",UPPER(TRIM(Raw_Data!D58))="MALE"),"Male","Female")</f>
        <v>Male</v>
      </c>
      <c r="F67" s="23" t="str">
        <f>PROPER(TRIM(Raw_Data!E58))</f>
        <v>Karnal</v>
      </c>
      <c r="G67" s="23" t="str">
        <f>PROPER(TRIM(Raw_Data!F58))</f>
        <v>Karnataka</v>
      </c>
      <c r="H67" s="23" t="str">
        <f>PROPER(TRIM(Raw_Data!G58))</f>
        <v>Spoken English</v>
      </c>
      <c r="I67" s="23" t="str">
        <f>PROPER(TRIM(Raw_Data!H58))</f>
        <v>Ahmedabad Center</v>
      </c>
      <c r="J67" s="24">
        <f>IF(LEN(TRIM(Raw_Data!I58))=4,VALUE(TRIM(Raw_Data!I58)),IF(ISNUMBER(IFERROR(VALUE(MID(TRIM(Raw_Data!I58),1,4)),"NA")),VALUE(MID(TRIM(Raw_Data!I58),1,4)),VALUE(RIGHT(TRIM(Raw_Data!I58),4))))</f>
        <v>2024</v>
      </c>
      <c r="K67" s="23" t="str">
        <f>PROPER(TRIM(Raw_Data!J58))</f>
        <v>Business</v>
      </c>
      <c r="L67" s="23" t="str">
        <f t="shared" si="0"/>
        <v>20+</v>
      </c>
      <c r="M67" s="23" t="str">
        <f t="shared" si="1"/>
        <v>Adult Learners</v>
      </c>
      <c r="N67" s="23" t="str">
        <f>IF(ISNUMBER(SEARCH("NON",UPPER(Raw_Data!M58))),"Non-Premium Learner","Premium Learner")</f>
        <v>Non-Premium Learner</v>
      </c>
      <c r="O67" s="23" t="str">
        <f>PROPER(TRIM(Raw_Data!N58))</f>
        <v>App Only</v>
      </c>
      <c r="P67" s="24">
        <f>IF(Raw_Data!O58="",$C$7,Raw_Data!O58)</f>
        <v>125551.67</v>
      </c>
      <c r="Q67" s="23" t="str">
        <f>IF(Raw_Data!O58="","Missing-Imputed","Original")</f>
        <v>Original</v>
      </c>
      <c r="R67" s="24">
        <f>Raw_Data!P58</f>
        <v>27.8</v>
      </c>
      <c r="S67" s="24">
        <f>Raw_Data!Q58</f>
        <v>9718.02</v>
      </c>
      <c r="T67" s="23" t="str">
        <f>IF(Raw_Data!R58="","Unknown",IF(ISNUMBER(SEARCH("ACT",UPPER(Raw_Data!R58))),"Active",IF(ISNUMBER(SEARCH("CLOS",UPPER(Raw_Data!R58))),"Closed","None")))</f>
        <v>None</v>
      </c>
      <c r="U67" s="24">
        <f>IF(Raw_Data!S58="",$C$8,VALUE(Raw_Data!S58))</f>
        <v>654</v>
      </c>
      <c r="V67" s="23" t="str">
        <f>IF(Raw_Data!S58="","Missing-Imputed","Original")</f>
        <v>Original</v>
      </c>
      <c r="W67" s="24">
        <f>Raw_Data!T58</f>
        <v>132</v>
      </c>
      <c r="X67" s="23" t="str">
        <f>IF(ISNUMBER(SEARCH("Y",UPPER(TRIM(Raw_Data!U58)))),"Yes","No")</f>
        <v>No</v>
      </c>
      <c r="Y67" s="23" t="str">
        <f>IF(ISNUMBER(SEARCH("Y",UPPER(TRIM(Raw_Data!V58)))),"Yes","No")</f>
        <v>No</v>
      </c>
      <c r="Z67" s="24">
        <f>Raw_Data!W58</f>
        <v>5</v>
      </c>
      <c r="AA67" s="24">
        <f>Raw_Data!X58</f>
        <v>2.8</v>
      </c>
      <c r="AB67" s="23" t="str">
        <f>IF(COUNTIFS(Raw_Data!$A$2:$A$616,Raw_Data!A58)&gt;1,"Duplicate","Unique")</f>
        <v>Unique</v>
      </c>
      <c r="AC67" s="23" t="str">
        <f t="shared" si="2"/>
        <v>Clean</v>
      </c>
    </row>
    <row r="68" spans="1:29" ht="15" customHeight="1">
      <c r="A68" s="25" t="str">
        <f>Raw_Data!A59</f>
        <v>BYJ1058</v>
      </c>
      <c r="B68" s="25" t="str">
        <f>Raw_Data!B59</f>
        <v>Yash Pingle</v>
      </c>
      <c r="C68" s="26">
        <f>IF(OR(Raw_Data!C59="",Raw_Data!C59&lt;$C$5,Raw_Data!C59&gt;$C$6),$C$4,Raw_Data!C59)</f>
        <v>11</v>
      </c>
      <c r="D68" s="25" t="str">
        <f>IF(Raw_Data!C59="","Missing-Imputed",IF(OR(Raw_Data!C59&lt;$C$5,Raw_Data!C59&gt;$C$6),"Outlier-Imputed","Original"))</f>
        <v>Original</v>
      </c>
      <c r="E68" s="25" t="str">
        <f>IF(OR(UPPER(TRIM(Raw_Data!D59))="M",UPPER(TRIM(Raw_Data!D59))="MALE"),"Male","Female")</f>
        <v>Male</v>
      </c>
      <c r="F68" s="25" t="str">
        <f>PROPER(TRIM(Raw_Data!E59))</f>
        <v>Sangli-Miraj &amp; Kupwad</v>
      </c>
      <c r="G68" s="25" t="str">
        <f>PROPER(TRIM(Raw_Data!F59))</f>
        <v>Maharashtra</v>
      </c>
      <c r="H68" s="25" t="str">
        <f>PROPER(TRIM(Raw_Data!G59))</f>
        <v>Science</v>
      </c>
      <c r="I68" s="25" t="str">
        <f>PROPER(TRIM(Raw_Data!H59))</f>
        <v>Lucknow Hub</v>
      </c>
      <c r="J68" s="26">
        <f>IF(LEN(TRIM(Raw_Data!I59))=4,VALUE(TRIM(Raw_Data!I59)),IF(ISNUMBER(IFERROR(VALUE(MID(TRIM(Raw_Data!I59),1,4)),"NA")),VALUE(MID(TRIM(Raw_Data!I59),1,4)),VALUE(RIGHT(TRIM(Raw_Data!I59),4))))</f>
        <v>2025</v>
      </c>
      <c r="K68" s="25" t="str">
        <f>PROPER(TRIM(Raw_Data!J59))</f>
        <v>Salaried</v>
      </c>
      <c r="L68" s="25" t="str">
        <f t="shared" si="0"/>
        <v>10-13</v>
      </c>
      <c r="M68" s="25" t="str">
        <f t="shared" si="1"/>
        <v>Kids</v>
      </c>
      <c r="N68" s="25" t="str">
        <f>IF(ISNUMBER(SEARCH("NON",UPPER(Raw_Data!M59))),"Non-Premium Learner","Premium Learner")</f>
        <v>Premium Learner</v>
      </c>
      <c r="O68" s="25" t="str">
        <f>PROPER(TRIM(Raw_Data!N59))</f>
        <v>Both App &amp; Web</v>
      </c>
      <c r="P68" s="26">
        <f>IF(Raw_Data!O59="",$C$7,Raw_Data!O59)</f>
        <v>43375.11</v>
      </c>
      <c r="Q68" s="25" t="str">
        <f>IF(Raw_Data!O59="","Missing-Imputed","Original")</f>
        <v>Original</v>
      </c>
      <c r="R68" s="26">
        <f>Raw_Data!P59</f>
        <v>47.9</v>
      </c>
      <c r="S68" s="26">
        <f>Raw_Data!Q59</f>
        <v>37086.51</v>
      </c>
      <c r="T68" s="25" t="str">
        <f>IF(Raw_Data!R59="","Unknown",IF(ISNUMBER(SEARCH("ACT",UPPER(Raw_Data!R59))),"Active",IF(ISNUMBER(SEARCH("CLOS",UPPER(Raw_Data!R59))),"Closed","None")))</f>
        <v>Active</v>
      </c>
      <c r="U68" s="26">
        <f>IF(Raw_Data!S59="",$C$8,VALUE(Raw_Data!S59))</f>
        <v>858</v>
      </c>
      <c r="V68" s="25" t="str">
        <f>IF(Raw_Data!S59="","Missing-Imputed","Original")</f>
        <v>Original</v>
      </c>
      <c r="W68" s="26">
        <f>Raw_Data!T59</f>
        <v>77</v>
      </c>
      <c r="X68" s="25" t="str">
        <f>IF(ISNUMBER(SEARCH("Y",UPPER(TRIM(Raw_Data!U59)))),"Yes","No")</f>
        <v>No</v>
      </c>
      <c r="Y68" s="25" t="str">
        <f>IF(ISNUMBER(SEARCH("Y",UPPER(TRIM(Raw_Data!V59)))),"Yes","No")</f>
        <v>No</v>
      </c>
      <c r="Z68" s="26">
        <f>Raw_Data!W59</f>
        <v>4</v>
      </c>
      <c r="AA68" s="26">
        <f>Raw_Data!X59</f>
        <v>1.1000000000000001</v>
      </c>
      <c r="AB68" s="25" t="str">
        <f>IF(COUNTIFS(Raw_Data!$A$2:$A$616,Raw_Data!A59)&gt;1,"Duplicate","Unique")</f>
        <v>Unique</v>
      </c>
      <c r="AC68" s="25" t="str">
        <f t="shared" si="2"/>
        <v>Clean</v>
      </c>
    </row>
    <row r="69" spans="1:29" ht="15" customHeight="1">
      <c r="A69" s="23" t="str">
        <f>Raw_Data!A60</f>
        <v>BYJ1059</v>
      </c>
      <c r="B69" s="23" t="str">
        <f>Raw_Data!B60</f>
        <v xml:space="preserve">  Chasmum Wadhwa  </v>
      </c>
      <c r="C69" s="24">
        <f>IF(OR(Raw_Data!C60="",Raw_Data!C60&lt;$C$5,Raw_Data!C60&gt;$C$6),$C$4,Raw_Data!C60)</f>
        <v>36</v>
      </c>
      <c r="D69" s="23" t="str">
        <f>IF(Raw_Data!C60="","Missing-Imputed",IF(OR(Raw_Data!C60&lt;$C$5,Raw_Data!C60&gt;$C$6),"Outlier-Imputed","Original"))</f>
        <v>Original</v>
      </c>
      <c r="E69" s="23" t="str">
        <f>IF(OR(UPPER(TRIM(Raw_Data!D60))="M",UPPER(TRIM(Raw_Data!D60))="MALE"),"Male","Female")</f>
        <v>Female</v>
      </c>
      <c r="F69" s="23" t="str">
        <f>PROPER(TRIM(Raw_Data!E60))</f>
        <v>Begusarai</v>
      </c>
      <c r="G69" s="23" t="str">
        <f>PROPER(TRIM(Raw_Data!F60))</f>
        <v>Maharashtra</v>
      </c>
      <c r="H69" s="23" t="str">
        <f>PROPER(TRIM(Raw_Data!G60))</f>
        <v>Neet Prep</v>
      </c>
      <c r="I69" s="23" t="str">
        <f>PROPER(TRIM(Raw_Data!H60))</f>
        <v>Pune East</v>
      </c>
      <c r="J69" s="24">
        <f>IF(LEN(TRIM(Raw_Data!I60))=4,VALUE(TRIM(Raw_Data!I60)),IF(ISNUMBER(IFERROR(VALUE(MID(TRIM(Raw_Data!I60),1,4)),"NA")),VALUE(MID(TRIM(Raw_Data!I60),1,4)),VALUE(RIGHT(TRIM(Raw_Data!I60),4))))</f>
        <v>2021</v>
      </c>
      <c r="K69" s="23" t="str">
        <f>PROPER(TRIM(Raw_Data!J60))</f>
        <v>Government Employee</v>
      </c>
      <c r="L69" s="23" t="str">
        <f t="shared" si="0"/>
        <v>20+</v>
      </c>
      <c r="M69" s="23" t="str">
        <f t="shared" si="1"/>
        <v>Adult Learners</v>
      </c>
      <c r="N69" s="23" t="str">
        <f>IF(ISNUMBER(SEARCH("NON",UPPER(Raw_Data!M60))),"Non-Premium Learner","Premium Learner")</f>
        <v>Non-Premium Learner</v>
      </c>
      <c r="O69" s="23" t="str">
        <f>PROPER(TRIM(Raw_Data!N60))</f>
        <v>Web Only</v>
      </c>
      <c r="P69" s="24">
        <f>IF(Raw_Data!O60="",$C$7,Raw_Data!O60)</f>
        <v>22765.68</v>
      </c>
      <c r="Q69" s="23" t="str">
        <f>IF(Raw_Data!O60="","Missing-Imputed","Original")</f>
        <v>Original</v>
      </c>
      <c r="R69" s="24">
        <f>Raw_Data!P60</f>
        <v>15.6</v>
      </c>
      <c r="S69" s="24">
        <f>Raw_Data!Q60</f>
        <v>3036.32</v>
      </c>
      <c r="T69" s="23" t="str">
        <f>IF(Raw_Data!R60="","Unknown",IF(ISNUMBER(SEARCH("ACT",UPPER(Raw_Data!R60))),"Active",IF(ISNUMBER(SEARCH("CLOS",UPPER(Raw_Data!R60))),"Closed","None")))</f>
        <v>Closed</v>
      </c>
      <c r="U69" s="24">
        <f>IF(Raw_Data!S60="",$C$8,VALUE(Raw_Data!S60))</f>
        <v>728</v>
      </c>
      <c r="V69" s="23" t="str">
        <f>IF(Raw_Data!S60="","Missing-Imputed","Original")</f>
        <v>Original</v>
      </c>
      <c r="W69" s="24">
        <f>Raw_Data!T60</f>
        <v>40</v>
      </c>
      <c r="X69" s="23" t="str">
        <f>IF(ISNUMBER(SEARCH("Y",UPPER(TRIM(Raw_Data!U60)))),"Yes","No")</f>
        <v>No</v>
      </c>
      <c r="Y69" s="23" t="str">
        <f>IF(ISNUMBER(SEARCH("Y",UPPER(TRIM(Raw_Data!V60)))),"Yes","No")</f>
        <v>Yes</v>
      </c>
      <c r="Z69" s="24">
        <f>Raw_Data!W60</f>
        <v>4</v>
      </c>
      <c r="AA69" s="24">
        <f>Raw_Data!X60</f>
        <v>9</v>
      </c>
      <c r="AB69" s="23" t="str">
        <f>IF(COUNTIFS(Raw_Data!$A$2:$A$616,Raw_Data!A60)&gt;1,"Duplicate","Unique")</f>
        <v>Unique</v>
      </c>
      <c r="AC69" s="23" t="str">
        <f t="shared" si="2"/>
        <v>Clean</v>
      </c>
    </row>
    <row r="70" spans="1:29" ht="15" customHeight="1">
      <c r="A70" s="25" t="str">
        <f>Raw_Data!A61</f>
        <v>BYJ1060</v>
      </c>
      <c r="B70" s="25" t="str">
        <f>Raw_Data!B61</f>
        <v>Hemang Desai</v>
      </c>
      <c r="C70" s="26">
        <f>IF(OR(Raw_Data!C61="",Raw_Data!C61&lt;$C$5,Raw_Data!C61&gt;$C$6),$C$4,Raw_Data!C61)</f>
        <v>37</v>
      </c>
      <c r="D70" s="25" t="str">
        <f>IF(Raw_Data!C61="","Missing-Imputed",IF(OR(Raw_Data!C61&lt;$C$5,Raw_Data!C61&gt;$C$6),"Outlier-Imputed","Original"))</f>
        <v>Original</v>
      </c>
      <c r="E70" s="25" t="str">
        <f>IF(OR(UPPER(TRIM(Raw_Data!D61))="M",UPPER(TRIM(Raw_Data!D61))="MALE"),"Male","Female")</f>
        <v>Male</v>
      </c>
      <c r="F70" s="25" t="str">
        <f>PROPER(TRIM(Raw_Data!E61))</f>
        <v>Bhiwandi</v>
      </c>
      <c r="G70" s="25" t="str">
        <f>PROPER(TRIM(Raw_Data!F61))</f>
        <v>Uttar Pradesh</v>
      </c>
      <c r="H70" s="25" t="str">
        <f>PROPER(TRIM(Raw_Data!G61))</f>
        <v>Spoken English</v>
      </c>
      <c r="I70" s="25" t="str">
        <f>PROPER(TRIM(Raw_Data!H61))</f>
        <v>Delhi North</v>
      </c>
      <c r="J70" s="26">
        <f>IF(LEN(TRIM(Raw_Data!I61))=4,VALUE(TRIM(Raw_Data!I61)),IF(ISNUMBER(IFERROR(VALUE(MID(TRIM(Raw_Data!I61),1,4)),"NA")),VALUE(MID(TRIM(Raw_Data!I61),1,4)),VALUE(RIGHT(TRIM(Raw_Data!I61),4))))</f>
        <v>2019</v>
      </c>
      <c r="K70" s="25" t="str">
        <f>PROPER(TRIM(Raw_Data!J61))</f>
        <v>Salaried</v>
      </c>
      <c r="L70" s="25" t="str">
        <f t="shared" si="0"/>
        <v>20+</v>
      </c>
      <c r="M70" s="25" t="str">
        <f t="shared" si="1"/>
        <v>Adult Learners</v>
      </c>
      <c r="N70" s="25" t="str">
        <f>IF(ISNUMBER(SEARCH("NON",UPPER(Raw_Data!M61))),"Non-Premium Learner","Premium Learner")</f>
        <v>Premium Learner</v>
      </c>
      <c r="O70" s="25" t="str">
        <f>PROPER(TRIM(Raw_Data!N61))</f>
        <v>Both App &amp; Web</v>
      </c>
      <c r="P70" s="26">
        <f>IF(Raw_Data!O61="",$C$7,Raw_Data!O61)</f>
        <v>102515.49</v>
      </c>
      <c r="Q70" s="25" t="str">
        <f>IF(Raw_Data!O61="","Missing-Imputed","Original")</f>
        <v>Original</v>
      </c>
      <c r="R70" s="26">
        <f>Raw_Data!P61</f>
        <v>5.6</v>
      </c>
      <c r="S70" s="26">
        <f>Raw_Data!Q61</f>
        <v>6449.83</v>
      </c>
      <c r="T70" s="25" t="str">
        <f>IF(Raw_Data!R61="","Unknown",IF(ISNUMBER(SEARCH("ACT",UPPER(Raw_Data!R61))),"Active",IF(ISNUMBER(SEARCH("CLOS",UPPER(Raw_Data!R61))),"Closed","None")))</f>
        <v>Active</v>
      </c>
      <c r="U70" s="26">
        <f>IF(Raw_Data!S61="",$C$8,VALUE(Raw_Data!S61))</f>
        <v>674</v>
      </c>
      <c r="V70" s="25" t="str">
        <f>IF(Raw_Data!S61="","Missing-Imputed","Original")</f>
        <v>Original</v>
      </c>
      <c r="W70" s="26">
        <f>Raw_Data!T61</f>
        <v>93</v>
      </c>
      <c r="X70" s="25" t="str">
        <f>IF(ISNUMBER(SEARCH("Y",UPPER(TRIM(Raw_Data!U61)))),"Yes","No")</f>
        <v>Yes</v>
      </c>
      <c r="Y70" s="25" t="str">
        <f>IF(ISNUMBER(SEARCH("Y",UPPER(TRIM(Raw_Data!V61)))),"Yes","No")</f>
        <v>Yes</v>
      </c>
      <c r="Z70" s="26">
        <f>Raw_Data!W61</f>
        <v>3</v>
      </c>
      <c r="AA70" s="26">
        <f>Raw_Data!X61</f>
        <v>5.2</v>
      </c>
      <c r="AB70" s="25" t="str">
        <f>IF(COUNTIFS(Raw_Data!$A$2:$A$616,Raw_Data!A61)&gt;1,"Duplicate","Unique")</f>
        <v>Unique</v>
      </c>
      <c r="AC70" s="25" t="str">
        <f t="shared" si="2"/>
        <v>Clean</v>
      </c>
    </row>
    <row r="71" spans="1:29" ht="15" customHeight="1">
      <c r="A71" s="23" t="str">
        <f>Raw_Data!A62</f>
        <v>BYJ1061</v>
      </c>
      <c r="B71" s="23" t="str">
        <f>Raw_Data!B62</f>
        <v xml:space="preserve">  Nachiket Magar  </v>
      </c>
      <c r="C71" s="24">
        <f>IF(OR(Raw_Data!C62="",Raw_Data!C62&lt;$C$5,Raw_Data!C62&gt;$C$6),$C$4,Raw_Data!C62)</f>
        <v>41</v>
      </c>
      <c r="D71" s="23" t="str">
        <f>IF(Raw_Data!C62="","Missing-Imputed",IF(OR(Raw_Data!C62&lt;$C$5,Raw_Data!C62&gt;$C$6),"Outlier-Imputed","Original"))</f>
        <v>Original</v>
      </c>
      <c r="E71" s="23" t="str">
        <f>IF(OR(UPPER(TRIM(Raw_Data!D62))="M",UPPER(TRIM(Raw_Data!D62))="MALE"),"Male","Female")</f>
        <v>Female</v>
      </c>
      <c r="F71" s="23" t="str">
        <f>PROPER(TRIM(Raw_Data!E62))</f>
        <v>Mahbubnagar</v>
      </c>
      <c r="G71" s="23" t="str">
        <f>PROPER(TRIM(Raw_Data!F62))</f>
        <v>Karnataka</v>
      </c>
      <c r="H71" s="23" t="str">
        <f>PROPER(TRIM(Raw_Data!G62))</f>
        <v>Science</v>
      </c>
      <c r="I71" s="23" t="str">
        <f>PROPER(TRIM(Raw_Data!H62))</f>
        <v>Bengaluru South</v>
      </c>
      <c r="J71" s="24">
        <f>IF(LEN(TRIM(Raw_Data!I62))=4,VALUE(TRIM(Raw_Data!I62)),IF(ISNUMBER(IFERROR(VALUE(MID(TRIM(Raw_Data!I62),1,4)),"NA")),VALUE(MID(TRIM(Raw_Data!I62),1,4)),VALUE(RIGHT(TRIM(Raw_Data!I62),4))))</f>
        <v>2022</v>
      </c>
      <c r="K71" s="23" t="str">
        <f>PROPER(TRIM(Raw_Data!J62))</f>
        <v>Government Employee</v>
      </c>
      <c r="L71" s="23" t="str">
        <f t="shared" si="0"/>
        <v>20+</v>
      </c>
      <c r="M71" s="23" t="str">
        <f t="shared" si="1"/>
        <v>Adult Learners</v>
      </c>
      <c r="N71" s="23" t="str">
        <f>IF(ISNUMBER(SEARCH("NON",UPPER(Raw_Data!M62))),"Non-Premium Learner","Premium Learner")</f>
        <v>Non-Premium Learner</v>
      </c>
      <c r="O71" s="23" t="str">
        <f>PROPER(TRIM(Raw_Data!N62))</f>
        <v>App Only</v>
      </c>
      <c r="P71" s="24">
        <f>IF(Raw_Data!O62="",$C$7,Raw_Data!O62)</f>
        <v>92357.13</v>
      </c>
      <c r="Q71" s="23" t="str">
        <f>IF(Raw_Data!O62="","Missing-Imputed","Original")</f>
        <v>Original</v>
      </c>
      <c r="R71" s="24">
        <f>Raw_Data!P62</f>
        <v>8</v>
      </c>
      <c r="S71" s="24">
        <f>Raw_Data!Q62</f>
        <v>2334.84</v>
      </c>
      <c r="T71" s="23" t="str">
        <f>IF(Raw_Data!R62="","Unknown",IF(ISNUMBER(SEARCH("ACT",UPPER(Raw_Data!R62))),"Active",IF(ISNUMBER(SEARCH("CLOS",UPPER(Raw_Data!R62))),"Closed","None")))</f>
        <v>None</v>
      </c>
      <c r="U71" s="24">
        <f>IF(Raw_Data!S62="",$C$8,VALUE(Raw_Data!S62))</f>
        <v>785</v>
      </c>
      <c r="V71" s="23" t="str">
        <f>IF(Raw_Data!S62="","Missing-Imputed","Original")</f>
        <v>Original</v>
      </c>
      <c r="W71" s="24">
        <f>Raw_Data!T62</f>
        <v>38</v>
      </c>
      <c r="X71" s="23" t="str">
        <f>IF(ISNUMBER(SEARCH("Y",UPPER(TRIM(Raw_Data!U62)))),"Yes","No")</f>
        <v>Yes</v>
      </c>
      <c r="Y71" s="23" t="str">
        <f>IF(ISNUMBER(SEARCH("Y",UPPER(TRIM(Raw_Data!V62)))),"Yes","No")</f>
        <v>No</v>
      </c>
      <c r="Z71" s="24">
        <f>Raw_Data!W62</f>
        <v>4</v>
      </c>
      <c r="AA71" s="24">
        <f>Raw_Data!X62</f>
        <v>8.9</v>
      </c>
      <c r="AB71" s="23" t="str">
        <f>IF(COUNTIFS(Raw_Data!$A$2:$A$616,Raw_Data!A62)&gt;1,"Duplicate","Unique")</f>
        <v>Unique</v>
      </c>
      <c r="AC71" s="23" t="str">
        <f t="shared" si="2"/>
        <v>Clean</v>
      </c>
    </row>
    <row r="72" spans="1:29" ht="15" customHeight="1">
      <c r="A72" s="25" t="str">
        <f>Raw_Data!A63</f>
        <v>BYJ1062</v>
      </c>
      <c r="B72" s="25" t="str">
        <f>Raw_Data!B63</f>
        <v>Hemal Jani</v>
      </c>
      <c r="C72" s="26">
        <f>IF(OR(Raw_Data!C63="",Raw_Data!C63&lt;$C$5,Raw_Data!C63&gt;$C$6),$C$4,Raw_Data!C63)</f>
        <v>27</v>
      </c>
      <c r="D72" s="25" t="str">
        <f>IF(Raw_Data!C63="","Missing-Imputed",IF(OR(Raw_Data!C63&lt;$C$5,Raw_Data!C63&gt;$C$6),"Outlier-Imputed","Original"))</f>
        <v>Original</v>
      </c>
      <c r="E72" s="25" t="str">
        <f>IF(OR(UPPER(TRIM(Raw_Data!D63))="M",UPPER(TRIM(Raw_Data!D63))="MALE"),"Male","Female")</f>
        <v>Female</v>
      </c>
      <c r="F72" s="25" t="str">
        <f>PROPER(TRIM(Raw_Data!E63))</f>
        <v>Dibrugarh</v>
      </c>
      <c r="G72" s="25" t="str">
        <f>PROPER(TRIM(Raw_Data!F63))</f>
        <v>Tamil Nadu</v>
      </c>
      <c r="H72" s="25" t="str">
        <f>PROPER(TRIM(Raw_Data!G63))</f>
        <v>Neet Prep</v>
      </c>
      <c r="I72" s="25" t="str">
        <f>PROPER(TRIM(Raw_Data!H63))</f>
        <v>Pune East</v>
      </c>
      <c r="J72" s="26">
        <f>IF(LEN(TRIM(Raw_Data!I63))=4,VALUE(TRIM(Raw_Data!I63)),IF(ISNUMBER(IFERROR(VALUE(MID(TRIM(Raw_Data!I63),1,4)),"NA")),VALUE(MID(TRIM(Raw_Data!I63),1,4)),VALUE(RIGHT(TRIM(Raw_Data!I63),4))))</f>
        <v>2017</v>
      </c>
      <c r="K72" s="25" t="str">
        <f>PROPER(TRIM(Raw_Data!J63))</f>
        <v>Retired</v>
      </c>
      <c r="L72" s="25" t="str">
        <f t="shared" si="0"/>
        <v>20+</v>
      </c>
      <c r="M72" s="25" t="str">
        <f t="shared" si="1"/>
        <v>Adult Learners</v>
      </c>
      <c r="N72" s="25" t="str">
        <f>IF(ISNUMBER(SEARCH("NON",UPPER(Raw_Data!M63))),"Non-Premium Learner","Premium Learner")</f>
        <v>Non-Premium Learner</v>
      </c>
      <c r="O72" s="25" t="str">
        <f>PROPER(TRIM(Raw_Data!N63))</f>
        <v>Both App &amp; Web</v>
      </c>
      <c r="P72" s="26">
        <f>IF(Raw_Data!O63="",$C$7,Raw_Data!O63)</f>
        <v>73815.58</v>
      </c>
      <c r="Q72" s="25" t="str">
        <f>IF(Raw_Data!O63="","Missing-Imputed","Original")</f>
        <v>Original</v>
      </c>
      <c r="R72" s="26">
        <f>Raw_Data!P63</f>
        <v>63.7</v>
      </c>
      <c r="S72" s="26">
        <f>Raw_Data!Q63</f>
        <v>46569.72</v>
      </c>
      <c r="T72" s="25" t="str">
        <f>IF(Raw_Data!R63="","Unknown",IF(ISNUMBER(SEARCH("ACT",UPPER(Raw_Data!R63))),"Active",IF(ISNUMBER(SEARCH("CLOS",UPPER(Raw_Data!R63))),"Closed","None")))</f>
        <v>None</v>
      </c>
      <c r="U72" s="26">
        <f>IF(Raw_Data!S63="",$C$8,VALUE(Raw_Data!S63))</f>
        <v>352</v>
      </c>
      <c r="V72" s="25" t="str">
        <f>IF(Raw_Data!S63="","Missing-Imputed","Original")</f>
        <v>Original</v>
      </c>
      <c r="W72" s="26">
        <f>Raw_Data!T63</f>
        <v>43</v>
      </c>
      <c r="X72" s="25" t="str">
        <f>IF(ISNUMBER(SEARCH("Y",UPPER(TRIM(Raw_Data!U63)))),"Yes","No")</f>
        <v>No</v>
      </c>
      <c r="Y72" s="25" t="str">
        <f>IF(ISNUMBER(SEARCH("Y",UPPER(TRIM(Raw_Data!V63)))),"Yes","No")</f>
        <v>Yes</v>
      </c>
      <c r="Z72" s="26">
        <f>Raw_Data!W63</f>
        <v>5</v>
      </c>
      <c r="AA72" s="26">
        <f>Raw_Data!X63</f>
        <v>8.6</v>
      </c>
      <c r="AB72" s="25" t="str">
        <f>IF(COUNTIFS(Raw_Data!$A$2:$A$616,Raw_Data!A63)&gt;1,"Duplicate","Unique")</f>
        <v>Unique</v>
      </c>
      <c r="AC72" s="25" t="str">
        <f t="shared" si="2"/>
        <v>Clean</v>
      </c>
    </row>
    <row r="73" spans="1:29" ht="15" customHeight="1">
      <c r="A73" s="23" t="str">
        <f>Raw_Data!A64</f>
        <v>BYJ1063</v>
      </c>
      <c r="B73" s="23" t="str">
        <f>Raw_Data!B64</f>
        <v>Zayan Behl</v>
      </c>
      <c r="C73" s="24">
        <f>IF(OR(Raw_Data!C64="",Raw_Data!C64&lt;$C$5,Raw_Data!C64&gt;$C$6),$C$4,Raw_Data!C64)</f>
        <v>24</v>
      </c>
      <c r="D73" s="23" t="str">
        <f>IF(Raw_Data!C64="","Missing-Imputed",IF(OR(Raw_Data!C64&lt;$C$5,Raw_Data!C64&gt;$C$6),"Outlier-Imputed","Original"))</f>
        <v>Missing-Imputed</v>
      </c>
      <c r="E73" s="23" t="str">
        <f>IF(OR(UPPER(TRIM(Raw_Data!D64))="M",UPPER(TRIM(Raw_Data!D64))="MALE"),"Male","Female")</f>
        <v>Female</v>
      </c>
      <c r="F73" s="23" t="str">
        <f>PROPER(TRIM(Raw_Data!E64))</f>
        <v>Bhusawal</v>
      </c>
      <c r="G73" s="23" t="str">
        <f>PROPER(TRIM(Raw_Data!F64))</f>
        <v>Delhi</v>
      </c>
      <c r="H73" s="23" t="str">
        <f>PROPER(TRIM(Raw_Data!G64))</f>
        <v>Robotics</v>
      </c>
      <c r="I73" s="23" t="str">
        <f>PROPER(TRIM(Raw_Data!H64))</f>
        <v>Jaipur Center</v>
      </c>
      <c r="J73" s="24">
        <f>IF(LEN(TRIM(Raw_Data!I64))=4,VALUE(TRIM(Raw_Data!I64)),IF(ISNUMBER(IFERROR(VALUE(MID(TRIM(Raw_Data!I64),1,4)),"NA")),VALUE(MID(TRIM(Raw_Data!I64),1,4)),VALUE(RIGHT(TRIM(Raw_Data!I64),4))))</f>
        <v>2025</v>
      </c>
      <c r="K73" s="23" t="str">
        <f>PROPER(TRIM(Raw_Data!J64))</f>
        <v>Retired</v>
      </c>
      <c r="L73" s="23" t="str">
        <f t="shared" si="0"/>
        <v>20+</v>
      </c>
      <c r="M73" s="23" t="str">
        <f t="shared" si="1"/>
        <v>Adult Learners</v>
      </c>
      <c r="N73" s="23" t="str">
        <f>IF(ISNUMBER(SEARCH("NON",UPPER(Raw_Data!M64))),"Non-Premium Learner","Premium Learner")</f>
        <v>Premium Learner</v>
      </c>
      <c r="O73" s="23" t="str">
        <f>PROPER(TRIM(Raw_Data!N64))</f>
        <v>Web Only</v>
      </c>
      <c r="P73" s="24">
        <f>IF(Raw_Data!O64="",$C$7,Raw_Data!O64)</f>
        <v>149727.82</v>
      </c>
      <c r="Q73" s="23" t="str">
        <f>IF(Raw_Data!O64="","Missing-Imputed","Original")</f>
        <v>Original</v>
      </c>
      <c r="R73" s="24">
        <f>Raw_Data!P64</f>
        <v>33.299999999999997</v>
      </c>
      <c r="S73" s="24">
        <f>Raw_Data!Q64</f>
        <v>57401.13</v>
      </c>
      <c r="T73" s="23" t="str">
        <f>IF(Raw_Data!R64="","Unknown",IF(ISNUMBER(SEARCH("ACT",UPPER(Raw_Data!R64))),"Active",IF(ISNUMBER(SEARCH("CLOS",UPPER(Raw_Data!R64))),"Closed","None")))</f>
        <v>Closed</v>
      </c>
      <c r="U73" s="24">
        <f>IF(Raw_Data!S64="",$C$8,VALUE(Raw_Data!S64))</f>
        <v>650</v>
      </c>
      <c r="V73" s="23" t="str">
        <f>IF(Raw_Data!S64="","Missing-Imputed","Original")</f>
        <v>Original</v>
      </c>
      <c r="W73" s="24">
        <f>Raw_Data!T64</f>
        <v>173</v>
      </c>
      <c r="X73" s="23" t="str">
        <f>IF(ISNUMBER(SEARCH("Y",UPPER(TRIM(Raw_Data!U64)))),"Yes","No")</f>
        <v>No</v>
      </c>
      <c r="Y73" s="23" t="str">
        <f>IF(ISNUMBER(SEARCH("Y",UPPER(TRIM(Raw_Data!V64)))),"Yes","No")</f>
        <v>Yes</v>
      </c>
      <c r="Z73" s="24">
        <f>Raw_Data!W64</f>
        <v>3</v>
      </c>
      <c r="AA73" s="24">
        <f>Raw_Data!X64</f>
        <v>5.2</v>
      </c>
      <c r="AB73" s="23" t="str">
        <f>IF(COUNTIFS(Raw_Data!$A$2:$A$616,Raw_Data!A64)&gt;1,"Duplicate","Unique")</f>
        <v>Unique</v>
      </c>
      <c r="AC73" s="23" t="str">
        <f t="shared" si="2"/>
        <v>Imputed</v>
      </c>
    </row>
    <row r="74" spans="1:29" ht="15" customHeight="1">
      <c r="A74" s="25" t="str">
        <f>Raw_Data!A65</f>
        <v>BYJ1064</v>
      </c>
      <c r="B74" s="25" t="str">
        <f>Raw_Data!B65</f>
        <v>Chaitanya Aggarwal</v>
      </c>
      <c r="C74" s="26">
        <f>IF(OR(Raw_Data!C65="",Raw_Data!C65&lt;$C$5,Raw_Data!C65&gt;$C$6),$C$4,Raw_Data!C65)</f>
        <v>25</v>
      </c>
      <c r="D74" s="25" t="str">
        <f>IF(Raw_Data!C65="","Missing-Imputed",IF(OR(Raw_Data!C65&lt;$C$5,Raw_Data!C65&gt;$C$6),"Outlier-Imputed","Original"))</f>
        <v>Original</v>
      </c>
      <c r="E74" s="25" t="str">
        <f>IF(OR(UPPER(TRIM(Raw_Data!D65))="M",UPPER(TRIM(Raw_Data!D65))="MALE"),"Male","Female")</f>
        <v>Female</v>
      </c>
      <c r="F74" s="25" t="str">
        <f>PROPER(TRIM(Raw_Data!E65))</f>
        <v>Bikaner</v>
      </c>
      <c r="G74" s="25" t="str">
        <f>PROPER(TRIM(Raw_Data!F65))</f>
        <v>Rajasthan</v>
      </c>
      <c r="H74" s="25" t="str">
        <f>PROPER(TRIM(Raw_Data!G65))</f>
        <v>Neet Prep</v>
      </c>
      <c r="I74" s="25" t="str">
        <f>PROPER(TRIM(Raw_Data!H65))</f>
        <v>Ahmedabad Center</v>
      </c>
      <c r="J74" s="26">
        <f>IF(LEN(TRIM(Raw_Data!I65))=4,VALUE(TRIM(Raw_Data!I65)),IF(ISNUMBER(IFERROR(VALUE(MID(TRIM(Raw_Data!I65),1,4)),"NA")),VALUE(MID(TRIM(Raw_Data!I65),1,4)),VALUE(RIGHT(TRIM(Raw_Data!I65),4))))</f>
        <v>2021</v>
      </c>
      <c r="K74" s="25" t="str">
        <f>PROPER(TRIM(Raw_Data!J65))</f>
        <v>Homemaker</v>
      </c>
      <c r="L74" s="25" t="str">
        <f t="shared" si="0"/>
        <v>20+</v>
      </c>
      <c r="M74" s="25" t="str">
        <f t="shared" si="1"/>
        <v>Adult Learners</v>
      </c>
      <c r="N74" s="25" t="str">
        <f>IF(ISNUMBER(SEARCH("NON",UPPER(Raw_Data!M65))),"Non-Premium Learner","Premium Learner")</f>
        <v>Premium Learner</v>
      </c>
      <c r="O74" s="25" t="str">
        <f>PROPER(TRIM(Raw_Data!N65))</f>
        <v>Web Only</v>
      </c>
      <c r="P74" s="26">
        <f>IF(Raw_Data!O65="",$C$7,Raw_Data!O65)</f>
        <v>134885.26999999999</v>
      </c>
      <c r="Q74" s="25" t="str">
        <f>IF(Raw_Data!O65="","Missing-Imputed","Original")</f>
        <v>Original</v>
      </c>
      <c r="R74" s="26">
        <f>Raw_Data!P65</f>
        <v>30.9</v>
      </c>
      <c r="S74" s="26">
        <f>Raw_Data!Q65</f>
        <v>46383.86</v>
      </c>
      <c r="T74" s="25" t="str">
        <f>IF(Raw_Data!R65="","Unknown",IF(ISNUMBER(SEARCH("ACT",UPPER(Raw_Data!R65))),"Active",IF(ISNUMBER(SEARCH("CLOS",UPPER(Raw_Data!R65))),"Closed","None")))</f>
        <v>Active</v>
      </c>
      <c r="U74" s="26">
        <f>IF(Raw_Data!S65="",$C$8,VALUE(Raw_Data!S65))</f>
        <v>343</v>
      </c>
      <c r="V74" s="25" t="str">
        <f>IF(Raw_Data!S65="","Missing-Imputed","Original")</f>
        <v>Original</v>
      </c>
      <c r="W74" s="26">
        <f>Raw_Data!T65</f>
        <v>182</v>
      </c>
      <c r="X74" s="25" t="str">
        <f>IF(ISNUMBER(SEARCH("Y",UPPER(TRIM(Raw_Data!U65)))),"Yes","No")</f>
        <v>Yes</v>
      </c>
      <c r="Y74" s="25" t="str">
        <f>IF(ISNUMBER(SEARCH("Y",UPPER(TRIM(Raw_Data!V65)))),"Yes","No")</f>
        <v>No</v>
      </c>
      <c r="Z74" s="26">
        <f>Raw_Data!W65</f>
        <v>4</v>
      </c>
      <c r="AA74" s="26">
        <f>Raw_Data!X65</f>
        <v>2.2999999999999998</v>
      </c>
      <c r="AB74" s="25" t="str">
        <f>IF(COUNTIFS(Raw_Data!$A$2:$A$616,Raw_Data!A65)&gt;1,"Duplicate","Unique")</f>
        <v>Unique</v>
      </c>
      <c r="AC74" s="25" t="str">
        <f t="shared" si="2"/>
        <v>Clean</v>
      </c>
    </row>
    <row r="75" spans="1:29" ht="15" customHeight="1">
      <c r="A75" s="23" t="str">
        <f>Raw_Data!A66</f>
        <v>BYJ1065</v>
      </c>
      <c r="B75" s="23" t="str">
        <f>Raw_Data!B66</f>
        <v>Neel Sathe</v>
      </c>
      <c r="C75" s="24">
        <f>IF(OR(Raw_Data!C66="",Raw_Data!C66&lt;$C$5,Raw_Data!C66&gt;$C$6),$C$4,Raw_Data!C66)</f>
        <v>41</v>
      </c>
      <c r="D75" s="23" t="str">
        <f>IF(Raw_Data!C66="","Missing-Imputed",IF(OR(Raw_Data!C66&lt;$C$5,Raw_Data!C66&gt;$C$6),"Outlier-Imputed","Original"))</f>
        <v>Original</v>
      </c>
      <c r="E75" s="23" t="str">
        <f>IF(OR(UPPER(TRIM(Raw_Data!D66))="M",UPPER(TRIM(Raw_Data!D66))="MALE"),"Male","Female")</f>
        <v>Female</v>
      </c>
      <c r="F75" s="23" t="str">
        <f>PROPER(TRIM(Raw_Data!E66))</f>
        <v>Kishanganj</v>
      </c>
      <c r="G75" s="23" t="str">
        <f>PROPER(TRIM(Raw_Data!F66))</f>
        <v>Kerala</v>
      </c>
      <c r="H75" s="23" t="str">
        <f>PROPER(TRIM(Raw_Data!G66))</f>
        <v>English</v>
      </c>
      <c r="I75" s="23" t="str">
        <f>PROPER(TRIM(Raw_Data!H66))</f>
        <v>Delhi North</v>
      </c>
      <c r="J75" s="24">
        <f>IF(LEN(TRIM(Raw_Data!I66))=4,VALUE(TRIM(Raw_Data!I66)),IF(ISNUMBER(IFERROR(VALUE(MID(TRIM(Raw_Data!I66),1,4)),"NA")),VALUE(MID(TRIM(Raw_Data!I66),1,4)),VALUE(RIGHT(TRIM(Raw_Data!I66),4))))</f>
        <v>2016</v>
      </c>
      <c r="K75" s="23" t="str">
        <f>PROPER(TRIM(Raw_Data!J66))</f>
        <v>Retired</v>
      </c>
      <c r="L75" s="23" t="str">
        <f t="shared" ref="L75:L138" si="3">IF(C75&lt;10,"Under 10",IF(C75&lt;=13,"10-13",IF(C75&lt;=16,"14-16",IF(C75&lt;=19,"17-19","20+"))))</f>
        <v>20+</v>
      </c>
      <c r="M75" s="23" t="str">
        <f t="shared" ref="M75:M138" si="4">IF(OR(L75="Under 10",L75="10-13"),"Kids",IF(OR(L75="14-16",L75="17-19"),"Teens","Adult Learners"))</f>
        <v>Adult Learners</v>
      </c>
      <c r="N75" s="23" t="str">
        <f>IF(ISNUMBER(SEARCH("NON",UPPER(Raw_Data!M66))),"Non-Premium Learner","Premium Learner")</f>
        <v>Premium Learner</v>
      </c>
      <c r="O75" s="23" t="str">
        <f>PROPER(TRIM(Raw_Data!N66))</f>
        <v>Web Only</v>
      </c>
      <c r="P75" s="24">
        <f>IF(Raw_Data!O66="",$C$7,Raw_Data!O66)</f>
        <v>109016.92</v>
      </c>
      <c r="Q75" s="23" t="str">
        <f>IF(Raw_Data!O66="","Missing-Imputed","Original")</f>
        <v>Original</v>
      </c>
      <c r="R75" s="24">
        <f>Raw_Data!P66</f>
        <v>62.8</v>
      </c>
      <c r="S75" s="24">
        <f>Raw_Data!Q66</f>
        <v>310.89</v>
      </c>
      <c r="T75" s="23" t="str">
        <f>IF(Raw_Data!R66="","Unknown",IF(ISNUMBER(SEARCH("ACT",UPPER(Raw_Data!R66))),"Active",IF(ISNUMBER(SEARCH("CLOS",UPPER(Raw_Data!R66))),"Closed","None")))</f>
        <v>None</v>
      </c>
      <c r="U75" s="24">
        <f>IF(Raw_Data!S66="",$C$8,VALUE(Raw_Data!S66))</f>
        <v>716</v>
      </c>
      <c r="V75" s="23" t="str">
        <f>IF(Raw_Data!S66="","Missing-Imputed","Original")</f>
        <v>Original</v>
      </c>
      <c r="W75" s="24">
        <f>Raw_Data!T66</f>
        <v>121</v>
      </c>
      <c r="X75" s="23" t="str">
        <f>IF(ISNUMBER(SEARCH("Y",UPPER(TRIM(Raw_Data!U66)))),"Yes","No")</f>
        <v>No</v>
      </c>
      <c r="Y75" s="23" t="str">
        <f>IF(ISNUMBER(SEARCH("Y",UPPER(TRIM(Raw_Data!V66)))),"Yes","No")</f>
        <v>No</v>
      </c>
      <c r="Z75" s="24">
        <f>Raw_Data!W66</f>
        <v>3</v>
      </c>
      <c r="AA75" s="24">
        <f>Raw_Data!X66</f>
        <v>6</v>
      </c>
      <c r="AB75" s="23" t="str">
        <f>IF(COUNTIFS(Raw_Data!$A$2:$A$616,Raw_Data!A66)&gt;1,"Duplicate","Unique")</f>
        <v>Unique</v>
      </c>
      <c r="AC75" s="23" t="str">
        <f t="shared" ref="AC75:AC138" si="5">IF(AB75="Duplicate","Review-Duplicate",IF(OR(D75&lt;&gt;"Original",Q75&lt;&gt;"Original",V75&lt;&gt;"Original"),"Imputed","Clean"))</f>
        <v>Clean</v>
      </c>
    </row>
    <row r="76" spans="1:29" ht="15" customHeight="1">
      <c r="A76" s="25" t="str">
        <f>Raw_Data!A67</f>
        <v>BYJ1066</v>
      </c>
      <c r="B76" s="25" t="str">
        <f>Raw_Data!B67</f>
        <v>Isaac Borra</v>
      </c>
      <c r="C76" s="26">
        <f>IF(OR(Raw_Data!C67="",Raw_Data!C67&lt;$C$5,Raw_Data!C67&gt;$C$6),$C$4,Raw_Data!C67)</f>
        <v>42</v>
      </c>
      <c r="D76" s="25" t="str">
        <f>IF(Raw_Data!C67="","Missing-Imputed",IF(OR(Raw_Data!C67&lt;$C$5,Raw_Data!C67&gt;$C$6),"Outlier-Imputed","Original"))</f>
        <v>Original</v>
      </c>
      <c r="E76" s="25" t="str">
        <f>IF(OR(UPPER(TRIM(Raw_Data!D67))="M",UPPER(TRIM(Raw_Data!D67))="MALE"),"Male","Female")</f>
        <v>Male</v>
      </c>
      <c r="F76" s="25" t="str">
        <f>PROPER(TRIM(Raw_Data!E67))</f>
        <v>Bongaigaon</v>
      </c>
      <c r="G76" s="25" t="str">
        <f>PROPER(TRIM(Raw_Data!F67))</f>
        <v>Tamil Nadu</v>
      </c>
      <c r="H76" s="25" t="str">
        <f>PROPER(TRIM(Raw_Data!G67))</f>
        <v>Science</v>
      </c>
      <c r="I76" s="25" t="str">
        <f>PROPER(TRIM(Raw_Data!H67))</f>
        <v>Kolkata Main</v>
      </c>
      <c r="J76" s="26">
        <f>IF(LEN(TRIM(Raw_Data!I67))=4,VALUE(TRIM(Raw_Data!I67)),IF(ISNUMBER(IFERROR(VALUE(MID(TRIM(Raw_Data!I67),1,4)),"NA")),VALUE(MID(TRIM(Raw_Data!I67),1,4)),VALUE(RIGHT(TRIM(Raw_Data!I67),4))))</f>
        <v>2018</v>
      </c>
      <c r="K76" s="25" t="str">
        <f>PROPER(TRIM(Raw_Data!J67))</f>
        <v>Self-Employed</v>
      </c>
      <c r="L76" s="25" t="str">
        <f t="shared" si="3"/>
        <v>20+</v>
      </c>
      <c r="M76" s="25" t="str">
        <f t="shared" si="4"/>
        <v>Adult Learners</v>
      </c>
      <c r="N76" s="25" t="str">
        <f>IF(ISNUMBER(SEARCH("NON",UPPER(Raw_Data!M67))),"Non-Premium Learner","Premium Learner")</f>
        <v>Premium Learner</v>
      </c>
      <c r="O76" s="25" t="str">
        <f>PROPER(TRIM(Raw_Data!N67))</f>
        <v>Web Only</v>
      </c>
      <c r="P76" s="26">
        <f>IF(Raw_Data!O67="",$C$7,Raw_Data!O67)</f>
        <v>71742.19</v>
      </c>
      <c r="Q76" s="25" t="str">
        <f>IF(Raw_Data!O67="","Missing-Imputed","Original")</f>
        <v>Missing-Imputed</v>
      </c>
      <c r="R76" s="26">
        <f>Raw_Data!P67</f>
        <v>47.6</v>
      </c>
      <c r="S76" s="26">
        <f>Raw_Data!Q67</f>
        <v>6438.04</v>
      </c>
      <c r="T76" s="25" t="str">
        <f>IF(Raw_Data!R67="","Unknown",IF(ISNUMBER(SEARCH("ACT",UPPER(Raw_Data!R67))),"Active",IF(ISNUMBER(SEARCH("CLOS",UPPER(Raw_Data!R67))),"Closed","None")))</f>
        <v>Closed</v>
      </c>
      <c r="U76" s="26">
        <f>IF(Raw_Data!S67="",$C$8,VALUE(Raw_Data!S67))</f>
        <v>765</v>
      </c>
      <c r="V76" s="25" t="str">
        <f>IF(Raw_Data!S67="","Missing-Imputed","Original")</f>
        <v>Original</v>
      </c>
      <c r="W76" s="26">
        <f>Raw_Data!T67</f>
        <v>139</v>
      </c>
      <c r="X76" s="25" t="str">
        <f>IF(ISNUMBER(SEARCH("Y",UPPER(TRIM(Raw_Data!U67)))),"Yes","No")</f>
        <v>No</v>
      </c>
      <c r="Y76" s="25" t="str">
        <f>IF(ISNUMBER(SEARCH("Y",UPPER(TRIM(Raw_Data!V67)))),"Yes","No")</f>
        <v>No</v>
      </c>
      <c r="Z76" s="26">
        <f>Raw_Data!W67</f>
        <v>2</v>
      </c>
      <c r="AA76" s="26">
        <f>Raw_Data!X67</f>
        <v>7.4</v>
      </c>
      <c r="AB76" s="25" t="str">
        <f>IF(COUNTIFS(Raw_Data!$A$2:$A$616,Raw_Data!A67)&gt;1,"Duplicate","Unique")</f>
        <v>Unique</v>
      </c>
      <c r="AC76" s="25" t="str">
        <f t="shared" si="5"/>
        <v>Imputed</v>
      </c>
    </row>
    <row r="77" spans="1:29" ht="15" customHeight="1">
      <c r="A77" s="23" t="str">
        <f>Raw_Data!A68</f>
        <v>BYJ1067</v>
      </c>
      <c r="B77" s="23" t="str">
        <f>Raw_Data!B68</f>
        <v>Kala Divan</v>
      </c>
      <c r="C77" s="24">
        <f>IF(OR(Raw_Data!C68="",Raw_Data!C68&lt;$C$5,Raw_Data!C68&gt;$C$6),$C$4,Raw_Data!C68)</f>
        <v>22</v>
      </c>
      <c r="D77" s="23" t="str">
        <f>IF(Raw_Data!C68="","Missing-Imputed",IF(OR(Raw_Data!C68&lt;$C$5,Raw_Data!C68&gt;$C$6),"Outlier-Imputed","Original"))</f>
        <v>Original</v>
      </c>
      <c r="E77" s="23" t="str">
        <f>IF(OR(UPPER(TRIM(Raw_Data!D68))="M",UPPER(TRIM(Raw_Data!D68))="MALE"),"Male","Female")</f>
        <v>Male</v>
      </c>
      <c r="F77" s="23" t="str">
        <f>PROPER(TRIM(Raw_Data!E68))</f>
        <v>Warangal</v>
      </c>
      <c r="G77" s="23" t="str">
        <f>PROPER(TRIM(Raw_Data!F68))</f>
        <v>Telangana</v>
      </c>
      <c r="H77" s="23" t="str">
        <f>PROPER(TRIM(Raw_Data!G68))</f>
        <v>English</v>
      </c>
      <c r="I77" s="23" t="str">
        <f>PROPER(TRIM(Raw_Data!H68))</f>
        <v>Mumbai West</v>
      </c>
      <c r="J77" s="24">
        <f>IF(LEN(TRIM(Raw_Data!I68))=4,VALUE(TRIM(Raw_Data!I68)),IF(ISNUMBER(IFERROR(VALUE(MID(TRIM(Raw_Data!I68),1,4)),"NA")),VALUE(MID(TRIM(Raw_Data!I68),1,4)),VALUE(RIGHT(TRIM(Raw_Data!I68),4))))</f>
        <v>2025</v>
      </c>
      <c r="K77" s="23" t="str">
        <f>PROPER(TRIM(Raw_Data!J68))</f>
        <v>Government Employee</v>
      </c>
      <c r="L77" s="23" t="str">
        <f t="shared" si="3"/>
        <v>20+</v>
      </c>
      <c r="M77" s="23" t="str">
        <f t="shared" si="4"/>
        <v>Adult Learners</v>
      </c>
      <c r="N77" s="23" t="str">
        <f>IF(ISNUMBER(SEARCH("NON",UPPER(Raw_Data!M68))),"Non-Premium Learner","Premium Learner")</f>
        <v>Non-Premium Learner</v>
      </c>
      <c r="O77" s="23" t="str">
        <f>PROPER(TRIM(Raw_Data!N68))</f>
        <v>App Only</v>
      </c>
      <c r="P77" s="24">
        <f>IF(Raw_Data!O68="",$C$7,Raw_Data!O68)</f>
        <v>31793.27</v>
      </c>
      <c r="Q77" s="23" t="str">
        <f>IF(Raw_Data!O68="","Missing-Imputed","Original")</f>
        <v>Original</v>
      </c>
      <c r="R77" s="24">
        <f>Raw_Data!P68</f>
        <v>29.3</v>
      </c>
      <c r="S77" s="24">
        <f>Raw_Data!Q68</f>
        <v>14882.83</v>
      </c>
      <c r="T77" s="23" t="str">
        <f>IF(Raw_Data!R68="","Unknown",IF(ISNUMBER(SEARCH("ACT",UPPER(Raw_Data!R68))),"Active",IF(ISNUMBER(SEARCH("CLOS",UPPER(Raw_Data!R68))),"Closed","None")))</f>
        <v>Closed</v>
      </c>
      <c r="U77" s="24">
        <f>IF(Raw_Data!S68="",$C$8,VALUE(Raw_Data!S68))</f>
        <v>541</v>
      </c>
      <c r="V77" s="23" t="str">
        <f>IF(Raw_Data!S68="","Missing-Imputed","Original")</f>
        <v>Original</v>
      </c>
      <c r="W77" s="24">
        <f>Raw_Data!T68</f>
        <v>68</v>
      </c>
      <c r="X77" s="23" t="str">
        <f>IF(ISNUMBER(SEARCH("Y",UPPER(TRIM(Raw_Data!U68)))),"Yes","No")</f>
        <v>No</v>
      </c>
      <c r="Y77" s="23" t="str">
        <f>IF(ISNUMBER(SEARCH("Y",UPPER(TRIM(Raw_Data!V68)))),"Yes","No")</f>
        <v>Yes</v>
      </c>
      <c r="Z77" s="24">
        <f>Raw_Data!W68</f>
        <v>3</v>
      </c>
      <c r="AA77" s="24">
        <f>Raw_Data!X68</f>
        <v>6.4</v>
      </c>
      <c r="AB77" s="23" t="str">
        <f>IF(COUNTIFS(Raw_Data!$A$2:$A$616,Raw_Data!A68)&gt;1,"Duplicate","Unique")</f>
        <v>Unique</v>
      </c>
      <c r="AC77" s="23" t="str">
        <f t="shared" si="5"/>
        <v>Clean</v>
      </c>
    </row>
    <row r="78" spans="1:29" ht="15" customHeight="1">
      <c r="A78" s="25" t="str">
        <f>Raw_Data!A69</f>
        <v>BYJ1068</v>
      </c>
      <c r="B78" s="25" t="str">
        <f>Raw_Data!B69</f>
        <v xml:space="preserve">  Darika Patla  </v>
      </c>
      <c r="C78" s="26">
        <f>IF(OR(Raw_Data!C69="",Raw_Data!C69&lt;$C$5,Raw_Data!C69&gt;$C$6),$C$4,Raw_Data!C69)</f>
        <v>25</v>
      </c>
      <c r="D78" s="25" t="str">
        <f>IF(Raw_Data!C69="","Missing-Imputed",IF(OR(Raw_Data!C69&lt;$C$5,Raw_Data!C69&gt;$C$6),"Outlier-Imputed","Original"))</f>
        <v>Original</v>
      </c>
      <c r="E78" s="25" t="str">
        <f>IF(OR(UPPER(TRIM(Raw_Data!D69))="M",UPPER(TRIM(Raw_Data!D69))="MALE"),"Male","Female")</f>
        <v>Male</v>
      </c>
      <c r="F78" s="25" t="str">
        <f>PROPER(TRIM(Raw_Data!E69))</f>
        <v>Secunderabad</v>
      </c>
      <c r="G78" s="25" t="str">
        <f>PROPER(TRIM(Raw_Data!F69))</f>
        <v>Telangana</v>
      </c>
      <c r="H78" s="25" t="str">
        <f>PROPER(TRIM(Raw_Data!G69))</f>
        <v>Mathematics</v>
      </c>
      <c r="I78" s="25" t="str">
        <f>PROPER(TRIM(Raw_Data!H69))</f>
        <v>Hyderabad Hub</v>
      </c>
      <c r="J78" s="26">
        <f>IF(LEN(TRIM(Raw_Data!I69))=4,VALUE(TRIM(Raw_Data!I69)),IF(ISNUMBER(IFERROR(VALUE(MID(TRIM(Raw_Data!I69),1,4)),"NA")),VALUE(MID(TRIM(Raw_Data!I69),1,4)),VALUE(RIGHT(TRIM(Raw_Data!I69),4))))</f>
        <v>2021</v>
      </c>
      <c r="K78" s="25" t="str">
        <f>PROPER(TRIM(Raw_Data!J69))</f>
        <v>Business</v>
      </c>
      <c r="L78" s="25" t="str">
        <f t="shared" si="3"/>
        <v>20+</v>
      </c>
      <c r="M78" s="25" t="str">
        <f t="shared" si="4"/>
        <v>Adult Learners</v>
      </c>
      <c r="N78" s="25" t="str">
        <f>IF(ISNUMBER(SEARCH("NON",UPPER(Raw_Data!M69))),"Non-Premium Learner","Premium Learner")</f>
        <v>Non-Premium Learner</v>
      </c>
      <c r="O78" s="25" t="str">
        <f>PROPER(TRIM(Raw_Data!N69))</f>
        <v>Both App &amp; Web</v>
      </c>
      <c r="P78" s="26">
        <f>IF(Raw_Data!O69="",$C$7,Raw_Data!O69)</f>
        <v>59175.6</v>
      </c>
      <c r="Q78" s="25" t="str">
        <f>IF(Raw_Data!O69="","Missing-Imputed","Original")</f>
        <v>Original</v>
      </c>
      <c r="R78" s="26">
        <f>Raw_Data!P69</f>
        <v>73.5</v>
      </c>
      <c r="S78" s="26">
        <f>Raw_Data!Q69</f>
        <v>45441.03</v>
      </c>
      <c r="T78" s="25" t="str">
        <f>IF(Raw_Data!R69="","Unknown",IF(ISNUMBER(SEARCH("ACT",UPPER(Raw_Data!R69))),"Active",IF(ISNUMBER(SEARCH("CLOS",UPPER(Raw_Data!R69))),"Closed","None")))</f>
        <v>None</v>
      </c>
      <c r="U78" s="26">
        <f>IF(Raw_Data!S69="",$C$8,VALUE(Raw_Data!S69))</f>
        <v>553</v>
      </c>
      <c r="V78" s="25" t="str">
        <f>IF(Raw_Data!S69="","Missing-Imputed","Original")</f>
        <v>Original</v>
      </c>
      <c r="W78" s="26">
        <f>Raw_Data!T69</f>
        <v>152</v>
      </c>
      <c r="X78" s="25" t="str">
        <f>IF(ISNUMBER(SEARCH("Y",UPPER(TRIM(Raw_Data!U69)))),"Yes","No")</f>
        <v>Yes</v>
      </c>
      <c r="Y78" s="25" t="str">
        <f>IF(ISNUMBER(SEARCH("Y",UPPER(TRIM(Raw_Data!V69)))),"Yes","No")</f>
        <v>No</v>
      </c>
      <c r="Z78" s="26">
        <f>Raw_Data!W69</f>
        <v>5</v>
      </c>
      <c r="AA78" s="26">
        <f>Raw_Data!X69</f>
        <v>1.5</v>
      </c>
      <c r="AB78" s="25" t="str">
        <f>IF(COUNTIFS(Raw_Data!$A$2:$A$616,Raw_Data!A69)&gt;1,"Duplicate","Unique")</f>
        <v>Unique</v>
      </c>
      <c r="AC78" s="25" t="str">
        <f t="shared" si="5"/>
        <v>Clean</v>
      </c>
    </row>
    <row r="79" spans="1:29" ht="15" customHeight="1">
      <c r="A79" s="23" t="str">
        <f>Raw_Data!A70</f>
        <v>BYJ1069</v>
      </c>
      <c r="B79" s="23" t="str">
        <f>Raw_Data!B70</f>
        <v>Zaid Chauhan</v>
      </c>
      <c r="C79" s="24">
        <f>IF(OR(Raw_Data!C70="",Raw_Data!C70&lt;$C$5,Raw_Data!C70&gt;$C$6),$C$4,Raw_Data!C70)</f>
        <v>18</v>
      </c>
      <c r="D79" s="23" t="str">
        <f>IF(Raw_Data!C70="","Missing-Imputed",IF(OR(Raw_Data!C70&lt;$C$5,Raw_Data!C70&gt;$C$6),"Outlier-Imputed","Original"))</f>
        <v>Original</v>
      </c>
      <c r="E79" s="23" t="str">
        <f>IF(OR(UPPER(TRIM(Raw_Data!D70))="M",UPPER(TRIM(Raw_Data!D70))="MALE"),"Male","Female")</f>
        <v>Male</v>
      </c>
      <c r="F79" s="23" t="str">
        <f>PROPER(TRIM(Raw_Data!E70))</f>
        <v>Karaikudi</v>
      </c>
      <c r="G79" s="23" t="str">
        <f>PROPER(TRIM(Raw_Data!F70))</f>
        <v>Uttar Pradesh</v>
      </c>
      <c r="H79" s="23" t="str">
        <f>PROPER(TRIM(Raw_Data!G70))</f>
        <v>Spoken English</v>
      </c>
      <c r="I79" s="23" t="str">
        <f>PROPER(TRIM(Raw_Data!H70))</f>
        <v>Bengaluru South</v>
      </c>
      <c r="J79" s="24">
        <f>IF(LEN(TRIM(Raw_Data!I70))=4,VALUE(TRIM(Raw_Data!I70)),IF(ISNUMBER(IFERROR(VALUE(MID(TRIM(Raw_Data!I70),1,4)),"NA")),VALUE(MID(TRIM(Raw_Data!I70),1,4)),VALUE(RIGHT(TRIM(Raw_Data!I70),4))))</f>
        <v>2019</v>
      </c>
      <c r="K79" s="23" t="str">
        <f>PROPER(TRIM(Raw_Data!J70))</f>
        <v>Salaried</v>
      </c>
      <c r="L79" s="23" t="str">
        <f t="shared" si="3"/>
        <v>17-19</v>
      </c>
      <c r="M79" s="23" t="str">
        <f t="shared" si="4"/>
        <v>Teens</v>
      </c>
      <c r="N79" s="23" t="str">
        <f>IF(ISNUMBER(SEARCH("NON",UPPER(Raw_Data!M70))),"Non-Premium Learner","Premium Learner")</f>
        <v>Non-Premium Learner</v>
      </c>
      <c r="O79" s="23" t="str">
        <f>PROPER(TRIM(Raw_Data!N70))</f>
        <v>App Only</v>
      </c>
      <c r="P79" s="24">
        <f>IF(Raw_Data!O70="",$C$7,Raw_Data!O70)</f>
        <v>70747.679999999993</v>
      </c>
      <c r="Q79" s="23" t="str">
        <f>IF(Raw_Data!O70="","Missing-Imputed","Original")</f>
        <v>Original</v>
      </c>
      <c r="R79" s="24">
        <f>Raw_Data!P70</f>
        <v>39.299999999999997</v>
      </c>
      <c r="S79" s="24">
        <f>Raw_Data!Q70</f>
        <v>3464.21</v>
      </c>
      <c r="T79" s="23" t="str">
        <f>IF(Raw_Data!R70="","Unknown",IF(ISNUMBER(SEARCH("ACT",UPPER(Raw_Data!R70))),"Active",IF(ISNUMBER(SEARCH("CLOS",UPPER(Raw_Data!R70))),"Closed","None")))</f>
        <v>Closed</v>
      </c>
      <c r="U79" s="24">
        <f>IF(Raw_Data!S70="",$C$8,VALUE(Raw_Data!S70))</f>
        <v>615</v>
      </c>
      <c r="V79" s="23" t="str">
        <f>IF(Raw_Data!S70="","Missing-Imputed","Original")</f>
        <v>Original</v>
      </c>
      <c r="W79" s="24">
        <f>Raw_Data!T70</f>
        <v>101</v>
      </c>
      <c r="X79" s="23" t="str">
        <f>IF(ISNUMBER(SEARCH("Y",UPPER(TRIM(Raw_Data!U70)))),"Yes","No")</f>
        <v>No</v>
      </c>
      <c r="Y79" s="23" t="str">
        <f>IF(ISNUMBER(SEARCH("Y",UPPER(TRIM(Raw_Data!V70)))),"Yes","No")</f>
        <v>Yes</v>
      </c>
      <c r="Z79" s="24">
        <f>Raw_Data!W70</f>
        <v>1</v>
      </c>
      <c r="AA79" s="24">
        <f>Raw_Data!X70</f>
        <v>4.0999999999999996</v>
      </c>
      <c r="AB79" s="23" t="str">
        <f>IF(COUNTIFS(Raw_Data!$A$2:$A$616,Raw_Data!A70)&gt;1,"Duplicate","Unique")</f>
        <v>Unique</v>
      </c>
      <c r="AC79" s="23" t="str">
        <f t="shared" si="5"/>
        <v>Clean</v>
      </c>
    </row>
    <row r="80" spans="1:29" ht="15" customHeight="1">
      <c r="A80" s="25" t="str">
        <f>Raw_Data!A71</f>
        <v>BYJ1070</v>
      </c>
      <c r="B80" s="25" t="str">
        <f>Raw_Data!B71</f>
        <v>Mohammed Khalsa</v>
      </c>
      <c r="C80" s="26">
        <f>IF(OR(Raw_Data!C71="",Raw_Data!C71&lt;$C$5,Raw_Data!C71&gt;$C$6),$C$4,Raw_Data!C71)</f>
        <v>9</v>
      </c>
      <c r="D80" s="25" t="str">
        <f>IF(Raw_Data!C71="","Missing-Imputed",IF(OR(Raw_Data!C71&lt;$C$5,Raw_Data!C71&gt;$C$6),"Outlier-Imputed","Original"))</f>
        <v>Original</v>
      </c>
      <c r="E80" s="25" t="str">
        <f>IF(OR(UPPER(TRIM(Raw_Data!D71))="M",UPPER(TRIM(Raw_Data!D71))="MALE"),"Male","Female")</f>
        <v>Male</v>
      </c>
      <c r="F80" s="25" t="str">
        <f>PROPER(TRIM(Raw_Data!E71))</f>
        <v>Belgaum</v>
      </c>
      <c r="G80" s="25" t="str">
        <f>PROPER(TRIM(Raw_Data!F71))</f>
        <v>West Bengal</v>
      </c>
      <c r="H80" s="25" t="str">
        <f>PROPER(TRIM(Raw_Data!G71))</f>
        <v>Science</v>
      </c>
      <c r="I80" s="25" t="str">
        <f>PROPER(TRIM(Raw_Data!H71))</f>
        <v>Mumbai West</v>
      </c>
      <c r="J80" s="26">
        <f>IF(LEN(TRIM(Raw_Data!I71))=4,VALUE(TRIM(Raw_Data!I71)),IF(ISNUMBER(IFERROR(VALUE(MID(TRIM(Raw_Data!I71),1,4)),"NA")),VALUE(MID(TRIM(Raw_Data!I71),1,4)),VALUE(RIGHT(TRIM(Raw_Data!I71),4))))</f>
        <v>2022</v>
      </c>
      <c r="K80" s="25" t="str">
        <f>PROPER(TRIM(Raw_Data!J71))</f>
        <v>Self-Employed</v>
      </c>
      <c r="L80" s="25" t="str">
        <f t="shared" si="3"/>
        <v>Under 10</v>
      </c>
      <c r="M80" s="25" t="str">
        <f t="shared" si="4"/>
        <v>Kids</v>
      </c>
      <c r="N80" s="25" t="str">
        <f>IF(ISNUMBER(SEARCH("NON",UPPER(Raw_Data!M71))),"Non-Premium Learner","Premium Learner")</f>
        <v>Non-Premium Learner</v>
      </c>
      <c r="O80" s="25" t="str">
        <f>PROPER(TRIM(Raw_Data!N71))</f>
        <v>Both App &amp; Web</v>
      </c>
      <c r="P80" s="26">
        <f>IF(Raw_Data!O71="",$C$7,Raw_Data!O71)</f>
        <v>131810.29</v>
      </c>
      <c r="Q80" s="25" t="str">
        <f>IF(Raw_Data!O71="","Missing-Imputed","Original")</f>
        <v>Original</v>
      </c>
      <c r="R80" s="26">
        <f>Raw_Data!P71</f>
        <v>69.5</v>
      </c>
      <c r="S80" s="26">
        <f>Raw_Data!Q71</f>
        <v>7117.99</v>
      </c>
      <c r="T80" s="25" t="str">
        <f>IF(Raw_Data!R71="","Unknown",IF(ISNUMBER(SEARCH("ACT",UPPER(Raw_Data!R71))),"Active",IF(ISNUMBER(SEARCH("CLOS",UPPER(Raw_Data!R71))),"Closed","None")))</f>
        <v>None</v>
      </c>
      <c r="U80" s="26">
        <f>IF(Raw_Data!S71="",$C$8,VALUE(Raw_Data!S71))</f>
        <v>841</v>
      </c>
      <c r="V80" s="25" t="str">
        <f>IF(Raw_Data!S71="","Missing-Imputed","Original")</f>
        <v>Original</v>
      </c>
      <c r="W80" s="26">
        <f>Raw_Data!T71</f>
        <v>57</v>
      </c>
      <c r="X80" s="25" t="str">
        <f>IF(ISNUMBER(SEARCH("Y",UPPER(TRIM(Raw_Data!U71)))),"Yes","No")</f>
        <v>Yes</v>
      </c>
      <c r="Y80" s="25" t="str">
        <f>IF(ISNUMBER(SEARCH("Y",UPPER(TRIM(Raw_Data!V71)))),"Yes","No")</f>
        <v>No</v>
      </c>
      <c r="Z80" s="26">
        <f>Raw_Data!W71</f>
        <v>5</v>
      </c>
      <c r="AA80" s="26">
        <f>Raw_Data!X71</f>
        <v>4.0999999999999996</v>
      </c>
      <c r="AB80" s="25" t="str">
        <f>IF(COUNTIFS(Raw_Data!$A$2:$A$616,Raw_Data!A71)&gt;1,"Duplicate","Unique")</f>
        <v>Unique</v>
      </c>
      <c r="AC80" s="25" t="str">
        <f t="shared" si="5"/>
        <v>Clean</v>
      </c>
    </row>
    <row r="81" spans="1:29" ht="15" customHeight="1">
      <c r="A81" s="23" t="str">
        <f>Raw_Data!A72</f>
        <v>BYJ1071</v>
      </c>
      <c r="B81" s="23" t="str">
        <f>Raw_Data!B72</f>
        <v>Aryan Gola</v>
      </c>
      <c r="C81" s="24">
        <f>IF(OR(Raw_Data!C72="",Raw_Data!C72&lt;$C$5,Raw_Data!C72&gt;$C$6),$C$4,Raw_Data!C72)</f>
        <v>35</v>
      </c>
      <c r="D81" s="23" t="str">
        <f>IF(Raw_Data!C72="","Missing-Imputed",IF(OR(Raw_Data!C72&lt;$C$5,Raw_Data!C72&gt;$C$6),"Outlier-Imputed","Original"))</f>
        <v>Original</v>
      </c>
      <c r="E81" s="23" t="str">
        <f>IF(OR(UPPER(TRIM(Raw_Data!D72))="M",UPPER(TRIM(Raw_Data!D72))="MALE"),"Male","Female")</f>
        <v>Female</v>
      </c>
      <c r="F81" s="23" t="str">
        <f>PROPER(TRIM(Raw_Data!E72))</f>
        <v>Bulandshahr</v>
      </c>
      <c r="G81" s="23" t="str">
        <f>PROPER(TRIM(Raw_Data!F72))</f>
        <v>Karnataka</v>
      </c>
      <c r="H81" s="23" t="str">
        <f>PROPER(TRIM(Raw_Data!G72))</f>
        <v>Coding</v>
      </c>
      <c r="I81" s="23" t="str">
        <f>PROPER(TRIM(Raw_Data!H72))</f>
        <v>Kolkata Main</v>
      </c>
      <c r="J81" s="24">
        <f>IF(LEN(TRIM(Raw_Data!I72))=4,VALUE(TRIM(Raw_Data!I72)),IF(ISNUMBER(IFERROR(VALUE(MID(TRIM(Raw_Data!I72),1,4)),"NA")),VALUE(MID(TRIM(Raw_Data!I72),1,4)),VALUE(RIGHT(TRIM(Raw_Data!I72),4))))</f>
        <v>2025</v>
      </c>
      <c r="K81" s="23" t="str">
        <f>PROPER(TRIM(Raw_Data!J72))</f>
        <v>Salaried</v>
      </c>
      <c r="L81" s="23" t="str">
        <f t="shared" si="3"/>
        <v>20+</v>
      </c>
      <c r="M81" s="23" t="str">
        <f t="shared" si="4"/>
        <v>Adult Learners</v>
      </c>
      <c r="N81" s="23" t="str">
        <f>IF(ISNUMBER(SEARCH("NON",UPPER(Raw_Data!M72))),"Non-Premium Learner","Premium Learner")</f>
        <v>Premium Learner</v>
      </c>
      <c r="O81" s="23" t="str">
        <f>PROPER(TRIM(Raw_Data!N72))</f>
        <v>Both App &amp; Web</v>
      </c>
      <c r="P81" s="24">
        <f>IF(Raw_Data!O72="",$C$7,Raw_Data!O72)</f>
        <v>102443.43</v>
      </c>
      <c r="Q81" s="23" t="str">
        <f>IF(Raw_Data!O72="","Missing-Imputed","Original")</f>
        <v>Original</v>
      </c>
      <c r="R81" s="24">
        <f>Raw_Data!P72</f>
        <v>23.4</v>
      </c>
      <c r="S81" s="24">
        <f>Raw_Data!Q72</f>
        <v>2654.2</v>
      </c>
      <c r="T81" s="23" t="str">
        <f>IF(Raw_Data!R72="","Unknown",IF(ISNUMBER(SEARCH("ACT",UPPER(Raw_Data!R72))),"Active",IF(ISNUMBER(SEARCH("CLOS",UPPER(Raw_Data!R72))),"Closed","None")))</f>
        <v>Closed</v>
      </c>
      <c r="U81" s="24">
        <f>IF(Raw_Data!S72="",$C$8,VALUE(Raw_Data!S72))</f>
        <v>852</v>
      </c>
      <c r="V81" s="23" t="str">
        <f>IF(Raw_Data!S72="","Missing-Imputed","Original")</f>
        <v>Original</v>
      </c>
      <c r="W81" s="24">
        <f>Raw_Data!T72</f>
        <v>198</v>
      </c>
      <c r="X81" s="23" t="str">
        <f>IF(ISNUMBER(SEARCH("Y",UPPER(TRIM(Raw_Data!U72)))),"Yes","No")</f>
        <v>Yes</v>
      </c>
      <c r="Y81" s="23" t="str">
        <f>IF(ISNUMBER(SEARCH("Y",UPPER(TRIM(Raw_Data!V72)))),"Yes","No")</f>
        <v>No</v>
      </c>
      <c r="Z81" s="24">
        <f>Raw_Data!W72</f>
        <v>5</v>
      </c>
      <c r="AA81" s="24">
        <f>Raw_Data!X72</f>
        <v>3.2</v>
      </c>
      <c r="AB81" s="23" t="str">
        <f>IF(COUNTIFS(Raw_Data!$A$2:$A$616,Raw_Data!A72)&gt;1,"Duplicate","Unique")</f>
        <v>Unique</v>
      </c>
      <c r="AC81" s="23" t="str">
        <f t="shared" si="5"/>
        <v>Clean</v>
      </c>
    </row>
    <row r="82" spans="1:29" ht="15" customHeight="1">
      <c r="A82" s="25" t="str">
        <f>Raw_Data!A73</f>
        <v>BYJ1072</v>
      </c>
      <c r="B82" s="25" t="str">
        <f>Raw_Data!B73</f>
        <v>Amara Dutta</v>
      </c>
      <c r="C82" s="26">
        <f>IF(OR(Raw_Data!C73="",Raw_Data!C73&lt;$C$5,Raw_Data!C73&gt;$C$6),$C$4,Raw_Data!C73)</f>
        <v>26</v>
      </c>
      <c r="D82" s="25" t="str">
        <f>IF(Raw_Data!C73="","Missing-Imputed",IF(OR(Raw_Data!C73&lt;$C$5,Raw_Data!C73&gt;$C$6),"Outlier-Imputed","Original"))</f>
        <v>Original</v>
      </c>
      <c r="E82" s="25" t="str">
        <f>IF(OR(UPPER(TRIM(Raw_Data!D73))="M",UPPER(TRIM(Raw_Data!D73))="MALE"),"Male","Female")</f>
        <v>Male</v>
      </c>
      <c r="F82" s="25" t="str">
        <f>PROPER(TRIM(Raw_Data!E73))</f>
        <v>Eluru</v>
      </c>
      <c r="G82" s="25" t="str">
        <f>PROPER(TRIM(Raw_Data!F73))</f>
        <v>Uttar Pradesh</v>
      </c>
      <c r="H82" s="25" t="str">
        <f>PROPER(TRIM(Raw_Data!G73))</f>
        <v>English</v>
      </c>
      <c r="I82" s="25" t="str">
        <f>PROPER(TRIM(Raw_Data!H73))</f>
        <v>Kolkata Main</v>
      </c>
      <c r="J82" s="26">
        <f>IF(LEN(TRIM(Raw_Data!I73))=4,VALUE(TRIM(Raw_Data!I73)),IF(ISNUMBER(IFERROR(VALUE(MID(TRIM(Raw_Data!I73),1,4)),"NA")),VALUE(MID(TRIM(Raw_Data!I73),1,4)),VALUE(RIGHT(TRIM(Raw_Data!I73),4))))</f>
        <v>2020</v>
      </c>
      <c r="K82" s="25" t="str">
        <f>PROPER(TRIM(Raw_Data!J73))</f>
        <v>Retired</v>
      </c>
      <c r="L82" s="25" t="str">
        <f t="shared" si="3"/>
        <v>20+</v>
      </c>
      <c r="M82" s="25" t="str">
        <f t="shared" si="4"/>
        <v>Adult Learners</v>
      </c>
      <c r="N82" s="25" t="str">
        <f>IF(ISNUMBER(SEARCH("NON",UPPER(Raw_Data!M73))),"Non-Premium Learner","Premium Learner")</f>
        <v>Non-Premium Learner</v>
      </c>
      <c r="O82" s="25" t="str">
        <f>PROPER(TRIM(Raw_Data!N73))</f>
        <v>App Only</v>
      </c>
      <c r="P82" s="26">
        <f>IF(Raw_Data!O73="",$C$7,Raw_Data!O73)</f>
        <v>145982.07999999999</v>
      </c>
      <c r="Q82" s="25" t="str">
        <f>IF(Raw_Data!O73="","Missing-Imputed","Original")</f>
        <v>Original</v>
      </c>
      <c r="R82" s="26">
        <f>Raw_Data!P73</f>
        <v>55.4</v>
      </c>
      <c r="S82" s="26">
        <f>Raw_Data!Q73</f>
        <v>47148.28</v>
      </c>
      <c r="T82" s="25" t="str">
        <f>IF(Raw_Data!R73="","Unknown",IF(ISNUMBER(SEARCH("ACT",UPPER(Raw_Data!R73))),"Active",IF(ISNUMBER(SEARCH("CLOS",UPPER(Raw_Data!R73))),"Closed","None")))</f>
        <v>Closed</v>
      </c>
      <c r="U82" s="26">
        <f>IF(Raw_Data!S73="",$C$8,VALUE(Raw_Data!S73))</f>
        <v>726</v>
      </c>
      <c r="V82" s="25" t="str">
        <f>IF(Raw_Data!S73="","Missing-Imputed","Original")</f>
        <v>Original</v>
      </c>
      <c r="W82" s="26">
        <f>Raw_Data!T73</f>
        <v>76</v>
      </c>
      <c r="X82" s="25" t="str">
        <f>IF(ISNUMBER(SEARCH("Y",UPPER(TRIM(Raw_Data!U73)))),"Yes","No")</f>
        <v>No</v>
      </c>
      <c r="Y82" s="25" t="str">
        <f>IF(ISNUMBER(SEARCH("Y",UPPER(TRIM(Raw_Data!V73)))),"Yes","No")</f>
        <v>No</v>
      </c>
      <c r="Z82" s="26">
        <f>Raw_Data!W73</f>
        <v>2</v>
      </c>
      <c r="AA82" s="26">
        <f>Raw_Data!X73</f>
        <v>3.1</v>
      </c>
      <c r="AB82" s="25" t="str">
        <f>IF(COUNTIFS(Raw_Data!$A$2:$A$616,Raw_Data!A73)&gt;1,"Duplicate","Unique")</f>
        <v>Unique</v>
      </c>
      <c r="AC82" s="25" t="str">
        <f t="shared" si="5"/>
        <v>Clean</v>
      </c>
    </row>
    <row r="83" spans="1:29" ht="15" customHeight="1">
      <c r="A83" s="23" t="str">
        <f>Raw_Data!A74</f>
        <v>BYJ1073</v>
      </c>
      <c r="B83" s="23" t="str">
        <f>Raw_Data!B74</f>
        <v>Upma Kapadia</v>
      </c>
      <c r="C83" s="24">
        <f>IF(OR(Raw_Data!C74="",Raw_Data!C74&lt;$C$5,Raw_Data!C74&gt;$C$6),$C$4,Raw_Data!C74)</f>
        <v>9</v>
      </c>
      <c r="D83" s="23" t="str">
        <f>IF(Raw_Data!C74="","Missing-Imputed",IF(OR(Raw_Data!C74&lt;$C$5,Raw_Data!C74&gt;$C$6),"Outlier-Imputed","Original"))</f>
        <v>Original</v>
      </c>
      <c r="E83" s="23" t="str">
        <f>IF(OR(UPPER(TRIM(Raw_Data!D74))="M",UPPER(TRIM(Raw_Data!D74))="MALE"),"Male","Female")</f>
        <v>Female</v>
      </c>
      <c r="F83" s="23" t="str">
        <f>PROPER(TRIM(Raw_Data!E74))</f>
        <v>Jaunpur</v>
      </c>
      <c r="G83" s="23" t="str">
        <f>PROPER(TRIM(Raw_Data!F74))</f>
        <v>Maharashtra</v>
      </c>
      <c r="H83" s="23" t="str">
        <f>PROPER(TRIM(Raw_Data!G74))</f>
        <v>Robotics</v>
      </c>
      <c r="I83" s="23" t="str">
        <f>PROPER(TRIM(Raw_Data!H74))</f>
        <v>Delhi North</v>
      </c>
      <c r="J83" s="24">
        <f>IF(LEN(TRIM(Raw_Data!I74))=4,VALUE(TRIM(Raw_Data!I74)),IF(ISNUMBER(IFERROR(VALUE(MID(TRIM(Raw_Data!I74),1,4)),"NA")),VALUE(MID(TRIM(Raw_Data!I74),1,4)),VALUE(RIGHT(TRIM(Raw_Data!I74),4))))</f>
        <v>2020</v>
      </c>
      <c r="K83" s="23" t="str">
        <f>PROPER(TRIM(Raw_Data!J74))</f>
        <v>Self-Employed</v>
      </c>
      <c r="L83" s="23" t="str">
        <f t="shared" si="3"/>
        <v>Under 10</v>
      </c>
      <c r="M83" s="23" t="str">
        <f t="shared" si="4"/>
        <v>Kids</v>
      </c>
      <c r="N83" s="23" t="str">
        <f>IF(ISNUMBER(SEARCH("NON",UPPER(Raw_Data!M74))),"Non-Premium Learner","Premium Learner")</f>
        <v>Non-Premium Learner</v>
      </c>
      <c r="O83" s="23" t="str">
        <f>PROPER(TRIM(Raw_Data!N74))</f>
        <v>Both App &amp; Web</v>
      </c>
      <c r="P83" s="24">
        <f>IF(Raw_Data!O74="",$C$7,Raw_Data!O74)</f>
        <v>125263.91</v>
      </c>
      <c r="Q83" s="23" t="str">
        <f>IF(Raw_Data!O74="","Missing-Imputed","Original")</f>
        <v>Original</v>
      </c>
      <c r="R83" s="24">
        <f>Raw_Data!P74</f>
        <v>33.299999999999997</v>
      </c>
      <c r="S83" s="24">
        <f>Raw_Data!Q74</f>
        <v>36298.17</v>
      </c>
      <c r="T83" s="23" t="str">
        <f>IF(Raw_Data!R74="","Unknown",IF(ISNUMBER(SEARCH("ACT",UPPER(Raw_Data!R74))),"Active",IF(ISNUMBER(SEARCH("CLOS",UPPER(Raw_Data!R74))),"Closed","None")))</f>
        <v>Active</v>
      </c>
      <c r="U83" s="24">
        <f>IF(Raw_Data!S74="",$C$8,VALUE(Raw_Data!S74))</f>
        <v>492</v>
      </c>
      <c r="V83" s="23" t="str">
        <f>IF(Raw_Data!S74="","Missing-Imputed","Original")</f>
        <v>Original</v>
      </c>
      <c r="W83" s="24">
        <f>Raw_Data!T74</f>
        <v>150</v>
      </c>
      <c r="X83" s="23" t="str">
        <f>IF(ISNUMBER(SEARCH("Y",UPPER(TRIM(Raw_Data!U74)))),"Yes","No")</f>
        <v>Yes</v>
      </c>
      <c r="Y83" s="23" t="str">
        <f>IF(ISNUMBER(SEARCH("Y",UPPER(TRIM(Raw_Data!V74)))),"Yes","No")</f>
        <v>Yes</v>
      </c>
      <c r="Z83" s="24">
        <f>Raw_Data!W74</f>
        <v>3</v>
      </c>
      <c r="AA83" s="24">
        <f>Raw_Data!X74</f>
        <v>8.6</v>
      </c>
      <c r="AB83" s="23" t="str">
        <f>IF(COUNTIFS(Raw_Data!$A$2:$A$616,Raw_Data!A74)&gt;1,"Duplicate","Unique")</f>
        <v>Unique</v>
      </c>
      <c r="AC83" s="23" t="str">
        <f t="shared" si="5"/>
        <v>Clean</v>
      </c>
    </row>
    <row r="84" spans="1:29" ht="15" customHeight="1">
      <c r="A84" s="25" t="str">
        <f>Raw_Data!A75</f>
        <v>BYJ1074</v>
      </c>
      <c r="B84" s="25" t="str">
        <f>Raw_Data!B75</f>
        <v xml:space="preserve">  Dalaja Kari  </v>
      </c>
      <c r="C84" s="26">
        <f>IF(OR(Raw_Data!C75="",Raw_Data!C75&lt;$C$5,Raw_Data!C75&gt;$C$6),$C$4,Raw_Data!C75)</f>
        <v>13</v>
      </c>
      <c r="D84" s="25" t="str">
        <f>IF(Raw_Data!C75="","Missing-Imputed",IF(OR(Raw_Data!C75&lt;$C$5,Raw_Data!C75&gt;$C$6),"Outlier-Imputed","Original"))</f>
        <v>Original</v>
      </c>
      <c r="E84" s="25" t="str">
        <f>IF(OR(UPPER(TRIM(Raw_Data!D75))="M",UPPER(TRIM(Raw_Data!D75))="MALE"),"Male","Female")</f>
        <v>Female</v>
      </c>
      <c r="F84" s="25" t="str">
        <f>PROPER(TRIM(Raw_Data!E75))</f>
        <v>Nagpur</v>
      </c>
      <c r="G84" s="25" t="str">
        <f>PROPER(TRIM(Raw_Data!F75))</f>
        <v>Delhi</v>
      </c>
      <c r="H84" s="25" t="str">
        <f>PROPER(TRIM(Raw_Data!G75))</f>
        <v>Robotics</v>
      </c>
      <c r="I84" s="25" t="str">
        <f>PROPER(TRIM(Raw_Data!H75))</f>
        <v>Delhi North</v>
      </c>
      <c r="J84" s="26">
        <f>IF(LEN(TRIM(Raw_Data!I75))=4,VALUE(TRIM(Raw_Data!I75)),IF(ISNUMBER(IFERROR(VALUE(MID(TRIM(Raw_Data!I75),1,4)),"NA")),VALUE(MID(TRIM(Raw_Data!I75),1,4)),VALUE(RIGHT(TRIM(Raw_Data!I75),4))))</f>
        <v>2024</v>
      </c>
      <c r="K84" s="25" t="str">
        <f>PROPER(TRIM(Raw_Data!J75))</f>
        <v>Self-Employed</v>
      </c>
      <c r="L84" s="25" t="str">
        <f t="shared" si="3"/>
        <v>10-13</v>
      </c>
      <c r="M84" s="25" t="str">
        <f t="shared" si="4"/>
        <v>Kids</v>
      </c>
      <c r="N84" s="25" t="str">
        <f>IF(ISNUMBER(SEARCH("NON",UPPER(Raw_Data!M75))),"Non-Premium Learner","Premium Learner")</f>
        <v>Non-Premium Learner</v>
      </c>
      <c r="O84" s="25" t="str">
        <f>PROPER(TRIM(Raw_Data!N75))</f>
        <v>Web Only</v>
      </c>
      <c r="P84" s="26">
        <f>IF(Raw_Data!O75="",$C$7,Raw_Data!O75)</f>
        <v>42926.44</v>
      </c>
      <c r="Q84" s="25" t="str">
        <f>IF(Raw_Data!O75="","Missing-Imputed","Original")</f>
        <v>Original</v>
      </c>
      <c r="R84" s="26">
        <f>Raw_Data!P75</f>
        <v>42.3</v>
      </c>
      <c r="S84" s="26">
        <f>Raw_Data!Q75</f>
        <v>5916.49</v>
      </c>
      <c r="T84" s="25" t="str">
        <f>IF(Raw_Data!R75="","Unknown",IF(ISNUMBER(SEARCH("ACT",UPPER(Raw_Data!R75))),"Active",IF(ISNUMBER(SEARCH("CLOS",UPPER(Raw_Data!R75))),"Closed","None")))</f>
        <v>None</v>
      </c>
      <c r="U84" s="26">
        <f>IF(Raw_Data!S75="",$C$8,VALUE(Raw_Data!S75))</f>
        <v>627</v>
      </c>
      <c r="V84" s="25" t="str">
        <f>IF(Raw_Data!S75="","Missing-Imputed","Original")</f>
        <v>Original</v>
      </c>
      <c r="W84" s="26">
        <f>Raw_Data!T75</f>
        <v>94</v>
      </c>
      <c r="X84" s="25" t="str">
        <f>IF(ISNUMBER(SEARCH("Y",UPPER(TRIM(Raw_Data!U75)))),"Yes","No")</f>
        <v>No</v>
      </c>
      <c r="Y84" s="25" t="str">
        <f>IF(ISNUMBER(SEARCH("Y",UPPER(TRIM(Raw_Data!V75)))),"Yes","No")</f>
        <v>Yes</v>
      </c>
      <c r="Z84" s="26">
        <f>Raw_Data!W75</f>
        <v>2</v>
      </c>
      <c r="AA84" s="26">
        <f>Raw_Data!X75</f>
        <v>0.6</v>
      </c>
      <c r="AB84" s="25" t="str">
        <f>IF(COUNTIFS(Raw_Data!$A$2:$A$616,Raw_Data!A75)&gt;1,"Duplicate","Unique")</f>
        <v>Unique</v>
      </c>
      <c r="AC84" s="25" t="str">
        <f t="shared" si="5"/>
        <v>Clean</v>
      </c>
    </row>
    <row r="85" spans="1:29" ht="15" customHeight="1">
      <c r="A85" s="23" t="str">
        <f>Raw_Data!A76</f>
        <v>BYJ1075</v>
      </c>
      <c r="B85" s="23" t="str">
        <f>Raw_Data!B76</f>
        <v>Mohini Narasimhan</v>
      </c>
      <c r="C85" s="24">
        <f>IF(OR(Raw_Data!C76="",Raw_Data!C76&lt;$C$5,Raw_Data!C76&gt;$C$6),$C$4,Raw_Data!C76)</f>
        <v>32</v>
      </c>
      <c r="D85" s="23" t="str">
        <f>IF(Raw_Data!C76="","Missing-Imputed",IF(OR(Raw_Data!C76&lt;$C$5,Raw_Data!C76&gt;$C$6),"Outlier-Imputed","Original"))</f>
        <v>Original</v>
      </c>
      <c r="E85" s="23" t="str">
        <f>IF(OR(UPPER(TRIM(Raw_Data!D76))="M",UPPER(TRIM(Raw_Data!D76))="MALE"),"Male","Female")</f>
        <v>Female</v>
      </c>
      <c r="F85" s="23" t="str">
        <f>PROPER(TRIM(Raw_Data!E76))</f>
        <v>Coimbatore</v>
      </c>
      <c r="G85" s="23" t="str">
        <f>PROPER(TRIM(Raw_Data!F76))</f>
        <v>Delhi</v>
      </c>
      <c r="H85" s="23" t="str">
        <f>PROPER(TRIM(Raw_Data!G76))</f>
        <v>Robotics</v>
      </c>
      <c r="I85" s="23" t="str">
        <f>PROPER(TRIM(Raw_Data!H76))</f>
        <v>Lucknow Hub</v>
      </c>
      <c r="J85" s="24">
        <f>IF(LEN(TRIM(Raw_Data!I76))=4,VALUE(TRIM(Raw_Data!I76)),IF(ISNUMBER(IFERROR(VALUE(MID(TRIM(Raw_Data!I76),1,4)),"NA")),VALUE(MID(TRIM(Raw_Data!I76),1,4)),VALUE(RIGHT(TRIM(Raw_Data!I76),4))))</f>
        <v>2019</v>
      </c>
      <c r="K85" s="23" t="str">
        <f>PROPER(TRIM(Raw_Data!J76))</f>
        <v>Homemaker</v>
      </c>
      <c r="L85" s="23" t="str">
        <f t="shared" si="3"/>
        <v>20+</v>
      </c>
      <c r="M85" s="23" t="str">
        <f t="shared" si="4"/>
        <v>Adult Learners</v>
      </c>
      <c r="N85" s="23" t="str">
        <f>IF(ISNUMBER(SEARCH("NON",UPPER(Raw_Data!M76))),"Non-Premium Learner","Premium Learner")</f>
        <v>Non-Premium Learner</v>
      </c>
      <c r="O85" s="23" t="str">
        <f>PROPER(TRIM(Raw_Data!N76))</f>
        <v>Both App &amp; Web</v>
      </c>
      <c r="P85" s="24">
        <f>IF(Raw_Data!O76="",$C$7,Raw_Data!O76)</f>
        <v>98045.7</v>
      </c>
      <c r="Q85" s="23" t="str">
        <f>IF(Raw_Data!O76="","Missing-Imputed","Original")</f>
        <v>Original</v>
      </c>
      <c r="R85" s="24">
        <f>Raw_Data!P76</f>
        <v>17.600000000000001</v>
      </c>
      <c r="S85" s="24">
        <f>Raw_Data!Q76</f>
        <v>47698.53</v>
      </c>
      <c r="T85" s="23" t="str">
        <f>IF(Raw_Data!R76="","Unknown",IF(ISNUMBER(SEARCH("ACT",UPPER(Raw_Data!R76))),"Active",IF(ISNUMBER(SEARCH("CLOS",UPPER(Raw_Data!R76))),"Closed","None")))</f>
        <v>Active</v>
      </c>
      <c r="U85" s="24">
        <f>IF(Raw_Data!S76="",$C$8,VALUE(Raw_Data!S76))</f>
        <v>859</v>
      </c>
      <c r="V85" s="23" t="str">
        <f>IF(Raw_Data!S76="","Missing-Imputed","Original")</f>
        <v>Original</v>
      </c>
      <c r="W85" s="24">
        <f>Raw_Data!T76</f>
        <v>138</v>
      </c>
      <c r="X85" s="23" t="str">
        <f>IF(ISNUMBER(SEARCH("Y",UPPER(TRIM(Raw_Data!U76)))),"Yes","No")</f>
        <v>Yes</v>
      </c>
      <c r="Y85" s="23" t="str">
        <f>IF(ISNUMBER(SEARCH("Y",UPPER(TRIM(Raw_Data!V76)))),"Yes","No")</f>
        <v>Yes</v>
      </c>
      <c r="Z85" s="24">
        <f>Raw_Data!W76</f>
        <v>1</v>
      </c>
      <c r="AA85" s="24">
        <f>Raw_Data!X76</f>
        <v>4</v>
      </c>
      <c r="AB85" s="23" t="str">
        <f>IF(COUNTIFS(Raw_Data!$A$2:$A$616,Raw_Data!A76)&gt;1,"Duplicate","Unique")</f>
        <v>Unique</v>
      </c>
      <c r="AC85" s="23" t="str">
        <f t="shared" si="5"/>
        <v>Clean</v>
      </c>
    </row>
    <row r="86" spans="1:29" ht="15" customHeight="1">
      <c r="A86" s="25" t="str">
        <f>Raw_Data!A77</f>
        <v>BYJ1076</v>
      </c>
      <c r="B86" s="25" t="str">
        <f>Raw_Data!B77</f>
        <v>Indali Upadhyay</v>
      </c>
      <c r="C86" s="26">
        <f>IF(OR(Raw_Data!C77="",Raw_Data!C77&lt;$C$5,Raw_Data!C77&gt;$C$6),$C$4,Raw_Data!C77)</f>
        <v>15</v>
      </c>
      <c r="D86" s="25" t="str">
        <f>IF(Raw_Data!C77="","Missing-Imputed",IF(OR(Raw_Data!C77&lt;$C$5,Raw_Data!C77&gt;$C$6),"Outlier-Imputed","Original"))</f>
        <v>Original</v>
      </c>
      <c r="E86" s="25" t="str">
        <f>IF(OR(UPPER(TRIM(Raw_Data!D77))="M",UPPER(TRIM(Raw_Data!D77))="MALE"),"Male","Female")</f>
        <v>Male</v>
      </c>
      <c r="F86" s="25" t="str">
        <f>PROPER(TRIM(Raw_Data!E77))</f>
        <v>Jorhat</v>
      </c>
      <c r="G86" s="25" t="str">
        <f>PROPER(TRIM(Raw_Data!F77))</f>
        <v>Gujarat</v>
      </c>
      <c r="H86" s="25" t="str">
        <f>PROPER(TRIM(Raw_Data!G77))</f>
        <v>Coding</v>
      </c>
      <c r="I86" s="25" t="str">
        <f>PROPER(TRIM(Raw_Data!H77))</f>
        <v>Lucknow Hub</v>
      </c>
      <c r="J86" s="26">
        <f>IF(LEN(TRIM(Raw_Data!I77))=4,VALUE(TRIM(Raw_Data!I77)),IF(ISNUMBER(IFERROR(VALUE(MID(TRIM(Raw_Data!I77),1,4)),"NA")),VALUE(MID(TRIM(Raw_Data!I77),1,4)),VALUE(RIGHT(TRIM(Raw_Data!I77),4))))</f>
        <v>2025</v>
      </c>
      <c r="K86" s="25" t="str">
        <f>PROPER(TRIM(Raw_Data!J77))</f>
        <v>Salaried</v>
      </c>
      <c r="L86" s="25" t="str">
        <f t="shared" si="3"/>
        <v>14-16</v>
      </c>
      <c r="M86" s="25" t="str">
        <f t="shared" si="4"/>
        <v>Teens</v>
      </c>
      <c r="N86" s="25" t="str">
        <f>IF(ISNUMBER(SEARCH("NON",UPPER(Raw_Data!M77))),"Non-Premium Learner","Premium Learner")</f>
        <v>Premium Learner</v>
      </c>
      <c r="O86" s="25" t="str">
        <f>PROPER(TRIM(Raw_Data!N77))</f>
        <v>App Only</v>
      </c>
      <c r="P86" s="26">
        <f>IF(Raw_Data!O77="",$C$7,Raw_Data!O77)</f>
        <v>7425.29</v>
      </c>
      <c r="Q86" s="25" t="str">
        <f>IF(Raw_Data!O77="","Missing-Imputed","Original")</f>
        <v>Original</v>
      </c>
      <c r="R86" s="26">
        <f>Raw_Data!P77</f>
        <v>45.2</v>
      </c>
      <c r="S86" s="26">
        <f>Raw_Data!Q77</f>
        <v>17201.310000000001</v>
      </c>
      <c r="T86" s="25" t="str">
        <f>IF(Raw_Data!R77="","Unknown",IF(ISNUMBER(SEARCH("ACT",UPPER(Raw_Data!R77))),"Active",IF(ISNUMBER(SEARCH("CLOS",UPPER(Raw_Data!R77))),"Closed","None")))</f>
        <v>None</v>
      </c>
      <c r="U86" s="26">
        <f>IF(Raw_Data!S77="",$C$8,VALUE(Raw_Data!S77))</f>
        <v>483</v>
      </c>
      <c r="V86" s="25" t="str">
        <f>IF(Raw_Data!S77="","Missing-Imputed","Original")</f>
        <v>Original</v>
      </c>
      <c r="W86" s="26">
        <f>Raw_Data!T77</f>
        <v>24</v>
      </c>
      <c r="X86" s="25" t="str">
        <f>IF(ISNUMBER(SEARCH("Y",UPPER(TRIM(Raw_Data!U77)))),"Yes","No")</f>
        <v>Yes</v>
      </c>
      <c r="Y86" s="25" t="str">
        <f>IF(ISNUMBER(SEARCH("Y",UPPER(TRIM(Raw_Data!V77)))),"Yes","No")</f>
        <v>Yes</v>
      </c>
      <c r="Z86" s="26">
        <f>Raw_Data!W77</f>
        <v>3</v>
      </c>
      <c r="AA86" s="26">
        <f>Raw_Data!X77</f>
        <v>2.8</v>
      </c>
      <c r="AB86" s="25" t="str">
        <f>IF(COUNTIFS(Raw_Data!$A$2:$A$616,Raw_Data!A77)&gt;1,"Duplicate","Unique")</f>
        <v>Unique</v>
      </c>
      <c r="AC86" s="25" t="str">
        <f t="shared" si="5"/>
        <v>Clean</v>
      </c>
    </row>
    <row r="87" spans="1:29" ht="15" customHeight="1">
      <c r="A87" s="23" t="str">
        <f>Raw_Data!A78</f>
        <v>BYJ1077</v>
      </c>
      <c r="B87" s="23" t="str">
        <f>Raw_Data!B78</f>
        <v>Ayaan D’Alia</v>
      </c>
      <c r="C87" s="24">
        <f>IF(OR(Raw_Data!C78="",Raw_Data!C78&lt;$C$5,Raw_Data!C78&gt;$C$6),$C$4,Raw_Data!C78)</f>
        <v>31</v>
      </c>
      <c r="D87" s="23" t="str">
        <f>IF(Raw_Data!C78="","Missing-Imputed",IF(OR(Raw_Data!C78&lt;$C$5,Raw_Data!C78&gt;$C$6),"Outlier-Imputed","Original"))</f>
        <v>Original</v>
      </c>
      <c r="E87" s="23" t="str">
        <f>IF(OR(UPPER(TRIM(Raw_Data!D78))="M",UPPER(TRIM(Raw_Data!D78))="MALE"),"Male","Female")</f>
        <v>Female</v>
      </c>
      <c r="F87" s="23" t="str">
        <f>PROPER(TRIM(Raw_Data!E78))</f>
        <v>Mangalore</v>
      </c>
      <c r="G87" s="23" t="str">
        <f>PROPER(TRIM(Raw_Data!F78))</f>
        <v>Delhi</v>
      </c>
      <c r="H87" s="23" t="str">
        <f>PROPER(TRIM(Raw_Data!G78))</f>
        <v>Jee Prep</v>
      </c>
      <c r="I87" s="23" t="str">
        <f>PROPER(TRIM(Raw_Data!H78))</f>
        <v>Bengaluru South</v>
      </c>
      <c r="J87" s="24">
        <f>IF(LEN(TRIM(Raw_Data!I78))=4,VALUE(TRIM(Raw_Data!I78)),IF(ISNUMBER(IFERROR(VALUE(MID(TRIM(Raw_Data!I78),1,4)),"NA")),VALUE(MID(TRIM(Raw_Data!I78),1,4)),VALUE(RIGHT(TRIM(Raw_Data!I78),4))))</f>
        <v>2016</v>
      </c>
      <c r="K87" s="23" t="str">
        <f>PROPER(TRIM(Raw_Data!J78))</f>
        <v>Self-Employed</v>
      </c>
      <c r="L87" s="23" t="str">
        <f t="shared" si="3"/>
        <v>20+</v>
      </c>
      <c r="M87" s="23" t="str">
        <f t="shared" si="4"/>
        <v>Adult Learners</v>
      </c>
      <c r="N87" s="23" t="str">
        <f>IF(ISNUMBER(SEARCH("NON",UPPER(Raw_Data!M78))),"Non-Premium Learner","Premium Learner")</f>
        <v>Non-Premium Learner</v>
      </c>
      <c r="O87" s="23" t="str">
        <f>PROPER(TRIM(Raw_Data!N78))</f>
        <v>App Only</v>
      </c>
      <c r="P87" s="24">
        <f>IF(Raw_Data!O78="",$C$7,Raw_Data!O78)</f>
        <v>106912.55</v>
      </c>
      <c r="Q87" s="23" t="str">
        <f>IF(Raw_Data!O78="","Missing-Imputed","Original")</f>
        <v>Original</v>
      </c>
      <c r="R87" s="24">
        <f>Raw_Data!P78</f>
        <v>68.400000000000006</v>
      </c>
      <c r="S87" s="24">
        <f>Raw_Data!Q78</f>
        <v>38694.43</v>
      </c>
      <c r="T87" s="23" t="str">
        <f>IF(Raw_Data!R78="","Unknown",IF(ISNUMBER(SEARCH("ACT",UPPER(Raw_Data!R78))),"Active",IF(ISNUMBER(SEARCH("CLOS",UPPER(Raw_Data!R78))),"Closed","None")))</f>
        <v>Closed</v>
      </c>
      <c r="U87" s="24">
        <f>IF(Raw_Data!S78="",$C$8,VALUE(Raw_Data!S78))</f>
        <v>397</v>
      </c>
      <c r="V87" s="23" t="str">
        <f>IF(Raw_Data!S78="","Missing-Imputed","Original")</f>
        <v>Original</v>
      </c>
      <c r="W87" s="24">
        <f>Raw_Data!T78</f>
        <v>10</v>
      </c>
      <c r="X87" s="23" t="str">
        <f>IF(ISNUMBER(SEARCH("Y",UPPER(TRIM(Raw_Data!U78)))),"Yes","No")</f>
        <v>Yes</v>
      </c>
      <c r="Y87" s="23" t="str">
        <f>IF(ISNUMBER(SEARCH("Y",UPPER(TRIM(Raw_Data!V78)))),"Yes","No")</f>
        <v>No</v>
      </c>
      <c r="Z87" s="24">
        <f>Raw_Data!W78</f>
        <v>1</v>
      </c>
      <c r="AA87" s="24">
        <f>Raw_Data!X78</f>
        <v>8.4</v>
      </c>
      <c r="AB87" s="23" t="str">
        <f>IF(COUNTIFS(Raw_Data!$A$2:$A$616,Raw_Data!A78)&gt;1,"Duplicate","Unique")</f>
        <v>Unique</v>
      </c>
      <c r="AC87" s="23" t="str">
        <f t="shared" si="5"/>
        <v>Clean</v>
      </c>
    </row>
    <row r="88" spans="1:29" ht="15" customHeight="1">
      <c r="A88" s="25" t="str">
        <f>Raw_Data!A79</f>
        <v>BYJ1078</v>
      </c>
      <c r="B88" s="25" t="str">
        <f>Raw_Data!B79</f>
        <v>Balvan Chopra</v>
      </c>
      <c r="C88" s="26">
        <f>IF(OR(Raw_Data!C79="",Raw_Data!C79&lt;$C$5,Raw_Data!C79&gt;$C$6),$C$4,Raw_Data!C79)</f>
        <v>40</v>
      </c>
      <c r="D88" s="25" t="str">
        <f>IF(Raw_Data!C79="","Missing-Imputed",IF(OR(Raw_Data!C79&lt;$C$5,Raw_Data!C79&gt;$C$6),"Outlier-Imputed","Original"))</f>
        <v>Original</v>
      </c>
      <c r="E88" s="25" t="str">
        <f>IF(OR(UPPER(TRIM(Raw_Data!D79))="M",UPPER(TRIM(Raw_Data!D79))="MALE"),"Male","Female")</f>
        <v>Male</v>
      </c>
      <c r="F88" s="25" t="str">
        <f>PROPER(TRIM(Raw_Data!E79))</f>
        <v>Hapur</v>
      </c>
      <c r="G88" s="25" t="str">
        <f>PROPER(TRIM(Raw_Data!F79))</f>
        <v>Gujarat</v>
      </c>
      <c r="H88" s="25" t="str">
        <f>PROPER(TRIM(Raw_Data!G79))</f>
        <v>Coding</v>
      </c>
      <c r="I88" s="25" t="str">
        <f>PROPER(TRIM(Raw_Data!H79))</f>
        <v>Delhi North</v>
      </c>
      <c r="J88" s="26">
        <f>IF(LEN(TRIM(Raw_Data!I79))=4,VALUE(TRIM(Raw_Data!I79)),IF(ISNUMBER(IFERROR(VALUE(MID(TRIM(Raw_Data!I79),1,4)),"NA")),VALUE(MID(TRIM(Raw_Data!I79),1,4)),VALUE(RIGHT(TRIM(Raw_Data!I79),4))))</f>
        <v>2025</v>
      </c>
      <c r="K88" s="25" t="str">
        <f>PROPER(TRIM(Raw_Data!J79))</f>
        <v>Salaried</v>
      </c>
      <c r="L88" s="25" t="str">
        <f t="shared" si="3"/>
        <v>20+</v>
      </c>
      <c r="M88" s="25" t="str">
        <f t="shared" si="4"/>
        <v>Adult Learners</v>
      </c>
      <c r="N88" s="25" t="str">
        <f>IF(ISNUMBER(SEARCH("NON",UPPER(Raw_Data!M79))),"Non-Premium Learner","Premium Learner")</f>
        <v>Premium Learner</v>
      </c>
      <c r="O88" s="25" t="str">
        <f>PROPER(TRIM(Raw_Data!N79))</f>
        <v>Both App &amp; Web</v>
      </c>
      <c r="P88" s="26">
        <f>IF(Raw_Data!O79="",$C$7,Raw_Data!O79)</f>
        <v>126024.33</v>
      </c>
      <c r="Q88" s="25" t="str">
        <f>IF(Raw_Data!O79="","Missing-Imputed","Original")</f>
        <v>Original</v>
      </c>
      <c r="R88" s="26">
        <f>Raw_Data!P79</f>
        <v>72.2</v>
      </c>
      <c r="S88" s="26">
        <f>Raw_Data!Q79</f>
        <v>19903.79</v>
      </c>
      <c r="T88" s="25" t="str">
        <f>IF(Raw_Data!R79="","Unknown",IF(ISNUMBER(SEARCH("ACT",UPPER(Raw_Data!R79))),"Active",IF(ISNUMBER(SEARCH("CLOS",UPPER(Raw_Data!R79))),"Closed","None")))</f>
        <v>None</v>
      </c>
      <c r="U88" s="26">
        <f>IF(Raw_Data!S79="",$C$8,VALUE(Raw_Data!S79))</f>
        <v>380</v>
      </c>
      <c r="V88" s="25" t="str">
        <f>IF(Raw_Data!S79="","Missing-Imputed","Original")</f>
        <v>Original</v>
      </c>
      <c r="W88" s="26">
        <f>Raw_Data!T79</f>
        <v>88</v>
      </c>
      <c r="X88" s="25" t="str">
        <f>IF(ISNUMBER(SEARCH("Y",UPPER(TRIM(Raw_Data!U79)))),"Yes","No")</f>
        <v>Yes</v>
      </c>
      <c r="Y88" s="25" t="str">
        <f>IF(ISNUMBER(SEARCH("Y",UPPER(TRIM(Raw_Data!V79)))),"Yes","No")</f>
        <v>No</v>
      </c>
      <c r="Z88" s="26">
        <f>Raw_Data!W79</f>
        <v>1</v>
      </c>
      <c r="AA88" s="26">
        <f>Raw_Data!X79</f>
        <v>3.4</v>
      </c>
      <c r="AB88" s="25" t="str">
        <f>IF(COUNTIFS(Raw_Data!$A$2:$A$616,Raw_Data!A79)&gt;1,"Duplicate","Unique")</f>
        <v>Unique</v>
      </c>
      <c r="AC88" s="25" t="str">
        <f t="shared" si="5"/>
        <v>Clean</v>
      </c>
    </row>
    <row r="89" spans="1:29" ht="15" customHeight="1">
      <c r="A89" s="23" t="str">
        <f>Raw_Data!A80</f>
        <v>BYJ1079</v>
      </c>
      <c r="B89" s="23" t="str">
        <f>Raw_Data!B80</f>
        <v>Rajata Vaidya</v>
      </c>
      <c r="C89" s="24">
        <f>IF(OR(Raw_Data!C80="",Raw_Data!C80&lt;$C$5,Raw_Data!C80&gt;$C$6),$C$4,Raw_Data!C80)</f>
        <v>31</v>
      </c>
      <c r="D89" s="23" t="str">
        <f>IF(Raw_Data!C80="","Missing-Imputed",IF(OR(Raw_Data!C80&lt;$C$5,Raw_Data!C80&gt;$C$6),"Outlier-Imputed","Original"))</f>
        <v>Original</v>
      </c>
      <c r="E89" s="23" t="str">
        <f>IF(OR(UPPER(TRIM(Raw_Data!D80))="M",UPPER(TRIM(Raw_Data!D80))="MALE"),"Male","Female")</f>
        <v>Female</v>
      </c>
      <c r="F89" s="23" t="str">
        <f>PROPER(TRIM(Raw_Data!E80))</f>
        <v>Kharagpur</v>
      </c>
      <c r="G89" s="23" t="str">
        <f>PROPER(TRIM(Raw_Data!F80))</f>
        <v>Rajasthan</v>
      </c>
      <c r="H89" s="23" t="str">
        <f>PROPER(TRIM(Raw_Data!G80))</f>
        <v>Spoken English</v>
      </c>
      <c r="I89" s="23" t="str">
        <f>PROPER(TRIM(Raw_Data!H80))</f>
        <v>Delhi North</v>
      </c>
      <c r="J89" s="24">
        <f>IF(LEN(TRIM(Raw_Data!I80))=4,VALUE(TRIM(Raw_Data!I80)),IF(ISNUMBER(IFERROR(VALUE(MID(TRIM(Raw_Data!I80),1,4)),"NA")),VALUE(MID(TRIM(Raw_Data!I80),1,4)),VALUE(RIGHT(TRIM(Raw_Data!I80),4))))</f>
        <v>2021</v>
      </c>
      <c r="K89" s="23" t="str">
        <f>PROPER(TRIM(Raw_Data!J80))</f>
        <v>Business</v>
      </c>
      <c r="L89" s="23" t="str">
        <f t="shared" si="3"/>
        <v>20+</v>
      </c>
      <c r="M89" s="23" t="str">
        <f t="shared" si="4"/>
        <v>Adult Learners</v>
      </c>
      <c r="N89" s="23" t="str">
        <f>IF(ISNUMBER(SEARCH("NON",UPPER(Raw_Data!M80))),"Non-Premium Learner","Premium Learner")</f>
        <v>Non-Premium Learner</v>
      </c>
      <c r="O89" s="23" t="str">
        <f>PROPER(TRIM(Raw_Data!N80))</f>
        <v>App Only</v>
      </c>
      <c r="P89" s="24">
        <f>IF(Raw_Data!O80="",$C$7,Raw_Data!O80)</f>
        <v>116964.27</v>
      </c>
      <c r="Q89" s="23" t="str">
        <f>IF(Raw_Data!O80="","Missing-Imputed","Original")</f>
        <v>Original</v>
      </c>
      <c r="R89" s="24">
        <f>Raw_Data!P80</f>
        <v>23.5</v>
      </c>
      <c r="S89" s="24">
        <f>Raw_Data!Q80</f>
        <v>4410.3999999999996</v>
      </c>
      <c r="T89" s="23" t="str">
        <f>IF(Raw_Data!R80="","Unknown",IF(ISNUMBER(SEARCH("ACT",UPPER(Raw_Data!R80))),"Active",IF(ISNUMBER(SEARCH("CLOS",UPPER(Raw_Data!R80))),"Closed","None")))</f>
        <v>Closed</v>
      </c>
      <c r="U89" s="24">
        <f>IF(Raw_Data!S80="",$C$8,VALUE(Raw_Data!S80))</f>
        <v>689</v>
      </c>
      <c r="V89" s="23" t="str">
        <f>IF(Raw_Data!S80="","Missing-Imputed","Original")</f>
        <v>Original</v>
      </c>
      <c r="W89" s="24">
        <f>Raw_Data!T80</f>
        <v>162</v>
      </c>
      <c r="X89" s="23" t="str">
        <f>IF(ISNUMBER(SEARCH("Y",UPPER(TRIM(Raw_Data!U80)))),"Yes","No")</f>
        <v>Yes</v>
      </c>
      <c r="Y89" s="23" t="str">
        <f>IF(ISNUMBER(SEARCH("Y",UPPER(TRIM(Raw_Data!V80)))),"Yes","No")</f>
        <v>No</v>
      </c>
      <c r="Z89" s="24">
        <f>Raw_Data!W80</f>
        <v>1</v>
      </c>
      <c r="AA89" s="24">
        <f>Raw_Data!X80</f>
        <v>1.3</v>
      </c>
      <c r="AB89" s="23" t="str">
        <f>IF(COUNTIFS(Raw_Data!$A$2:$A$616,Raw_Data!A80)&gt;1,"Duplicate","Unique")</f>
        <v>Unique</v>
      </c>
      <c r="AC89" s="23" t="str">
        <f t="shared" si="5"/>
        <v>Clean</v>
      </c>
    </row>
    <row r="90" spans="1:29" ht="15" customHeight="1">
      <c r="A90" s="25" t="str">
        <f>Raw_Data!A81</f>
        <v>BYJ1080</v>
      </c>
      <c r="B90" s="25" t="str">
        <f>Raw_Data!B81</f>
        <v>Aachal Basu</v>
      </c>
      <c r="C90" s="26">
        <f>IF(OR(Raw_Data!C81="",Raw_Data!C81&lt;$C$5,Raw_Data!C81&gt;$C$6),$C$4,Raw_Data!C81)</f>
        <v>23</v>
      </c>
      <c r="D90" s="25" t="str">
        <f>IF(Raw_Data!C81="","Missing-Imputed",IF(OR(Raw_Data!C81&lt;$C$5,Raw_Data!C81&gt;$C$6),"Outlier-Imputed","Original"))</f>
        <v>Original</v>
      </c>
      <c r="E90" s="25" t="str">
        <f>IF(OR(UPPER(TRIM(Raw_Data!D81))="M",UPPER(TRIM(Raw_Data!D81))="MALE"),"Male","Female")</f>
        <v>Male</v>
      </c>
      <c r="F90" s="25" t="str">
        <f>PROPER(TRIM(Raw_Data!E81))</f>
        <v>Mumbai</v>
      </c>
      <c r="G90" s="25" t="str">
        <f>PROPER(TRIM(Raw_Data!F81))</f>
        <v>West Bengal</v>
      </c>
      <c r="H90" s="25" t="str">
        <f>PROPER(TRIM(Raw_Data!G81))</f>
        <v>Spoken English</v>
      </c>
      <c r="I90" s="25" t="str">
        <f>PROPER(TRIM(Raw_Data!H81))</f>
        <v>Jaipur Center</v>
      </c>
      <c r="J90" s="26">
        <f>IF(LEN(TRIM(Raw_Data!I81))=4,VALUE(TRIM(Raw_Data!I81)),IF(ISNUMBER(IFERROR(VALUE(MID(TRIM(Raw_Data!I81),1,4)),"NA")),VALUE(MID(TRIM(Raw_Data!I81),1,4)),VALUE(RIGHT(TRIM(Raw_Data!I81),4))))</f>
        <v>2024</v>
      </c>
      <c r="K90" s="25" t="str">
        <f>PROPER(TRIM(Raw_Data!J81))</f>
        <v>Salaried</v>
      </c>
      <c r="L90" s="25" t="str">
        <f t="shared" si="3"/>
        <v>20+</v>
      </c>
      <c r="M90" s="25" t="str">
        <f t="shared" si="4"/>
        <v>Adult Learners</v>
      </c>
      <c r="N90" s="25" t="str">
        <f>IF(ISNUMBER(SEARCH("NON",UPPER(Raw_Data!M81))),"Non-Premium Learner","Premium Learner")</f>
        <v>Premium Learner</v>
      </c>
      <c r="O90" s="25" t="str">
        <f>PROPER(TRIM(Raw_Data!N81))</f>
        <v>Both App &amp; Web</v>
      </c>
      <c r="P90" s="26">
        <f>IF(Raw_Data!O81="",$C$7,Raw_Data!O81)</f>
        <v>91716.35</v>
      </c>
      <c r="Q90" s="25" t="str">
        <f>IF(Raw_Data!O81="","Missing-Imputed","Original")</f>
        <v>Original</v>
      </c>
      <c r="R90" s="26">
        <f>Raw_Data!P81</f>
        <v>33.9</v>
      </c>
      <c r="S90" s="26">
        <f>Raw_Data!Q81</f>
        <v>17510.84</v>
      </c>
      <c r="T90" s="25" t="str">
        <f>IF(Raw_Data!R81="","Unknown",IF(ISNUMBER(SEARCH("ACT",UPPER(Raw_Data!R81))),"Active",IF(ISNUMBER(SEARCH("CLOS",UPPER(Raw_Data!R81))),"Closed","None")))</f>
        <v>Closed</v>
      </c>
      <c r="U90" s="26">
        <f>IF(Raw_Data!S81="",$C$8,VALUE(Raw_Data!S81))</f>
        <v>872</v>
      </c>
      <c r="V90" s="25" t="str">
        <f>IF(Raw_Data!S81="","Missing-Imputed","Original")</f>
        <v>Original</v>
      </c>
      <c r="W90" s="26">
        <f>Raw_Data!T81</f>
        <v>62</v>
      </c>
      <c r="X90" s="25" t="str">
        <f>IF(ISNUMBER(SEARCH("Y",UPPER(TRIM(Raw_Data!U81)))),"Yes","No")</f>
        <v>Yes</v>
      </c>
      <c r="Y90" s="25" t="str">
        <f>IF(ISNUMBER(SEARCH("Y",UPPER(TRIM(Raw_Data!V81)))),"Yes","No")</f>
        <v>Yes</v>
      </c>
      <c r="Z90" s="26">
        <f>Raw_Data!W81</f>
        <v>3</v>
      </c>
      <c r="AA90" s="26">
        <f>Raw_Data!X81</f>
        <v>3.1</v>
      </c>
      <c r="AB90" s="25" t="str">
        <f>IF(COUNTIFS(Raw_Data!$A$2:$A$616,Raw_Data!A81)&gt;1,"Duplicate","Unique")</f>
        <v>Unique</v>
      </c>
      <c r="AC90" s="25" t="str">
        <f t="shared" si="5"/>
        <v>Clean</v>
      </c>
    </row>
    <row r="91" spans="1:29" ht="15" customHeight="1">
      <c r="A91" s="23" t="str">
        <f>Raw_Data!A82</f>
        <v>BYJ1081</v>
      </c>
      <c r="B91" s="23" t="str">
        <f>Raw_Data!B82</f>
        <v>Januja Sankar</v>
      </c>
      <c r="C91" s="24">
        <f>IF(OR(Raw_Data!C82="",Raw_Data!C82&lt;$C$5,Raw_Data!C82&gt;$C$6),$C$4,Raw_Data!C82)</f>
        <v>33</v>
      </c>
      <c r="D91" s="23" t="str">
        <f>IF(Raw_Data!C82="","Missing-Imputed",IF(OR(Raw_Data!C82&lt;$C$5,Raw_Data!C82&gt;$C$6),"Outlier-Imputed","Original"))</f>
        <v>Original</v>
      </c>
      <c r="E91" s="23" t="str">
        <f>IF(OR(UPPER(TRIM(Raw_Data!D82))="M",UPPER(TRIM(Raw_Data!D82))="MALE"),"Male","Female")</f>
        <v>Female</v>
      </c>
      <c r="F91" s="23" t="str">
        <f>PROPER(TRIM(Raw_Data!E82))</f>
        <v>Bathinda</v>
      </c>
      <c r="G91" s="23" t="str">
        <f>PROPER(TRIM(Raw_Data!F82))</f>
        <v>Karnataka</v>
      </c>
      <c r="H91" s="23" t="str">
        <f>PROPER(TRIM(Raw_Data!G82))</f>
        <v>Neet Prep</v>
      </c>
      <c r="I91" s="23" t="str">
        <f>PROPER(TRIM(Raw_Data!H82))</f>
        <v>Hyderabad Hub</v>
      </c>
      <c r="J91" s="24">
        <f>IF(LEN(TRIM(Raw_Data!I82))=4,VALUE(TRIM(Raw_Data!I82)),IF(ISNUMBER(IFERROR(VALUE(MID(TRIM(Raw_Data!I82),1,4)),"NA")),VALUE(MID(TRIM(Raw_Data!I82),1,4)),VALUE(RIGHT(TRIM(Raw_Data!I82),4))))</f>
        <v>2019</v>
      </c>
      <c r="K91" s="23" t="str">
        <f>PROPER(TRIM(Raw_Data!J82))</f>
        <v>Government Employee</v>
      </c>
      <c r="L91" s="23" t="str">
        <f t="shared" si="3"/>
        <v>20+</v>
      </c>
      <c r="M91" s="23" t="str">
        <f t="shared" si="4"/>
        <v>Adult Learners</v>
      </c>
      <c r="N91" s="23" t="str">
        <f>IF(ISNUMBER(SEARCH("NON",UPPER(Raw_Data!M82))),"Non-Premium Learner","Premium Learner")</f>
        <v>Non-Premium Learner</v>
      </c>
      <c r="O91" s="23" t="str">
        <f>PROPER(TRIM(Raw_Data!N82))</f>
        <v>App Only</v>
      </c>
      <c r="P91" s="24">
        <f>IF(Raw_Data!O82="",$C$7,Raw_Data!O82)</f>
        <v>49175.41</v>
      </c>
      <c r="Q91" s="23" t="str">
        <f>IF(Raw_Data!O82="","Missing-Imputed","Original")</f>
        <v>Original</v>
      </c>
      <c r="R91" s="24">
        <f>Raw_Data!P82</f>
        <v>29.9</v>
      </c>
      <c r="S91" s="24">
        <f>Raw_Data!Q82</f>
        <v>37211.53</v>
      </c>
      <c r="T91" s="23" t="str">
        <f>IF(Raw_Data!R82="","Unknown",IF(ISNUMBER(SEARCH("ACT",UPPER(Raw_Data!R82))),"Active",IF(ISNUMBER(SEARCH("CLOS",UPPER(Raw_Data!R82))),"Closed","None")))</f>
        <v>Closed</v>
      </c>
      <c r="U91" s="24">
        <f>IF(Raw_Data!S82="",$C$8,VALUE(Raw_Data!S82))</f>
        <v>642</v>
      </c>
      <c r="V91" s="23" t="str">
        <f>IF(Raw_Data!S82="","Missing-Imputed","Original")</f>
        <v>Original</v>
      </c>
      <c r="W91" s="24">
        <f>Raw_Data!T82</f>
        <v>166</v>
      </c>
      <c r="X91" s="23" t="str">
        <f>IF(ISNUMBER(SEARCH("Y",UPPER(TRIM(Raw_Data!U82)))),"Yes","No")</f>
        <v>Yes</v>
      </c>
      <c r="Y91" s="23" t="str">
        <f>IF(ISNUMBER(SEARCH("Y",UPPER(TRIM(Raw_Data!V82)))),"Yes","No")</f>
        <v>No</v>
      </c>
      <c r="Z91" s="24">
        <f>Raw_Data!W82</f>
        <v>4</v>
      </c>
      <c r="AA91" s="24">
        <f>Raw_Data!X82</f>
        <v>3.2</v>
      </c>
      <c r="AB91" s="23" t="str">
        <f>IF(COUNTIFS(Raw_Data!$A$2:$A$616,Raw_Data!A82)&gt;1,"Duplicate","Unique")</f>
        <v>Unique</v>
      </c>
      <c r="AC91" s="23" t="str">
        <f t="shared" si="5"/>
        <v>Clean</v>
      </c>
    </row>
    <row r="92" spans="1:29" ht="15" customHeight="1">
      <c r="A92" s="25" t="str">
        <f>Raw_Data!A83</f>
        <v>BYJ1082</v>
      </c>
      <c r="B92" s="25" t="str">
        <f>Raw_Data!B83</f>
        <v>Jeet Mital</v>
      </c>
      <c r="C92" s="26">
        <f>IF(OR(Raw_Data!C83="",Raw_Data!C83&lt;$C$5,Raw_Data!C83&gt;$C$6),$C$4,Raw_Data!C83)</f>
        <v>24</v>
      </c>
      <c r="D92" s="25" t="str">
        <f>IF(Raw_Data!C83="","Missing-Imputed",IF(OR(Raw_Data!C83&lt;$C$5,Raw_Data!C83&gt;$C$6),"Outlier-Imputed","Original"))</f>
        <v>Original</v>
      </c>
      <c r="E92" s="25" t="str">
        <f>IF(OR(UPPER(TRIM(Raw_Data!D83))="M",UPPER(TRIM(Raw_Data!D83))="MALE"),"Male","Female")</f>
        <v>Female</v>
      </c>
      <c r="F92" s="25" t="str">
        <f>PROPER(TRIM(Raw_Data!E83))</f>
        <v>Alappuzha</v>
      </c>
      <c r="G92" s="25" t="str">
        <f>PROPER(TRIM(Raw_Data!F83))</f>
        <v>Gujarat</v>
      </c>
      <c r="H92" s="25" t="str">
        <f>PROPER(TRIM(Raw_Data!G83))</f>
        <v>Robotics</v>
      </c>
      <c r="I92" s="25" t="str">
        <f>PROPER(TRIM(Raw_Data!H83))</f>
        <v>Hyderabad Hub</v>
      </c>
      <c r="J92" s="26">
        <f>IF(LEN(TRIM(Raw_Data!I83))=4,VALUE(TRIM(Raw_Data!I83)),IF(ISNUMBER(IFERROR(VALUE(MID(TRIM(Raw_Data!I83),1,4)),"NA")),VALUE(MID(TRIM(Raw_Data!I83),1,4)),VALUE(RIGHT(TRIM(Raw_Data!I83),4))))</f>
        <v>2022</v>
      </c>
      <c r="K92" s="25" t="str">
        <f>PROPER(TRIM(Raw_Data!J83))</f>
        <v>Government Employee</v>
      </c>
      <c r="L92" s="25" t="str">
        <f t="shared" si="3"/>
        <v>20+</v>
      </c>
      <c r="M92" s="25" t="str">
        <f t="shared" si="4"/>
        <v>Adult Learners</v>
      </c>
      <c r="N92" s="25" t="str">
        <f>IF(ISNUMBER(SEARCH("NON",UPPER(Raw_Data!M83))),"Non-Premium Learner","Premium Learner")</f>
        <v>Non-Premium Learner</v>
      </c>
      <c r="O92" s="25" t="str">
        <f>PROPER(TRIM(Raw_Data!N83))</f>
        <v>Both App &amp; Web</v>
      </c>
      <c r="P92" s="26">
        <f>IF(Raw_Data!O83="",$C$7,Raw_Data!O83)</f>
        <v>8902.84</v>
      </c>
      <c r="Q92" s="25" t="str">
        <f>IF(Raw_Data!O83="","Missing-Imputed","Original")</f>
        <v>Original</v>
      </c>
      <c r="R92" s="26">
        <f>Raw_Data!P83</f>
        <v>75.7</v>
      </c>
      <c r="S92" s="26">
        <f>Raw_Data!Q83</f>
        <v>12578.9</v>
      </c>
      <c r="T92" s="25" t="str">
        <f>IF(Raw_Data!R83="","Unknown",IF(ISNUMBER(SEARCH("ACT",UPPER(Raw_Data!R83))),"Active",IF(ISNUMBER(SEARCH("CLOS",UPPER(Raw_Data!R83))),"Closed","None")))</f>
        <v>Closed</v>
      </c>
      <c r="U92" s="26">
        <f>IF(Raw_Data!S83="",$C$8,VALUE(Raw_Data!S83))</f>
        <v>370</v>
      </c>
      <c r="V92" s="25" t="str">
        <f>IF(Raw_Data!S83="","Missing-Imputed","Original")</f>
        <v>Original</v>
      </c>
      <c r="W92" s="26">
        <f>Raw_Data!T83</f>
        <v>104</v>
      </c>
      <c r="X92" s="25" t="str">
        <f>IF(ISNUMBER(SEARCH("Y",UPPER(TRIM(Raw_Data!U83)))),"Yes","No")</f>
        <v>No</v>
      </c>
      <c r="Y92" s="25" t="str">
        <f>IF(ISNUMBER(SEARCH("Y",UPPER(TRIM(Raw_Data!V83)))),"Yes","No")</f>
        <v>No</v>
      </c>
      <c r="Z92" s="26">
        <f>Raw_Data!W83</f>
        <v>3</v>
      </c>
      <c r="AA92" s="26">
        <f>Raw_Data!X83</f>
        <v>6.1</v>
      </c>
      <c r="AB92" s="25" t="str">
        <f>IF(COUNTIFS(Raw_Data!$A$2:$A$616,Raw_Data!A83)&gt;1,"Duplicate","Unique")</f>
        <v>Unique</v>
      </c>
      <c r="AC92" s="25" t="str">
        <f t="shared" si="5"/>
        <v>Clean</v>
      </c>
    </row>
    <row r="93" spans="1:29" ht="15" customHeight="1">
      <c r="A93" s="23" t="str">
        <f>Raw_Data!A84</f>
        <v>BYJ1083</v>
      </c>
      <c r="B93" s="23" t="str">
        <f>Raw_Data!B84</f>
        <v>Neha Merchant</v>
      </c>
      <c r="C93" s="24">
        <f>IF(OR(Raw_Data!C84="",Raw_Data!C84&lt;$C$5,Raw_Data!C84&gt;$C$6),$C$4,Raw_Data!C84)</f>
        <v>10</v>
      </c>
      <c r="D93" s="23" t="str">
        <f>IF(Raw_Data!C84="","Missing-Imputed",IF(OR(Raw_Data!C84&lt;$C$5,Raw_Data!C84&gt;$C$6),"Outlier-Imputed","Original"))</f>
        <v>Original</v>
      </c>
      <c r="E93" s="23" t="str">
        <f>IF(OR(UPPER(TRIM(Raw_Data!D84))="M",UPPER(TRIM(Raw_Data!D84))="MALE"),"Male","Female")</f>
        <v>Female</v>
      </c>
      <c r="F93" s="23" t="str">
        <f>PROPER(TRIM(Raw_Data!E84))</f>
        <v>Nellore</v>
      </c>
      <c r="G93" s="23" t="str">
        <f>PROPER(TRIM(Raw_Data!F84))</f>
        <v>West Bengal</v>
      </c>
      <c r="H93" s="23" t="str">
        <f>PROPER(TRIM(Raw_Data!G84))</f>
        <v>Robotics</v>
      </c>
      <c r="I93" s="23" t="str">
        <f>PROPER(TRIM(Raw_Data!H84))</f>
        <v>Jaipur Center</v>
      </c>
      <c r="J93" s="24">
        <f>IF(LEN(TRIM(Raw_Data!I84))=4,VALUE(TRIM(Raw_Data!I84)),IF(ISNUMBER(IFERROR(VALUE(MID(TRIM(Raw_Data!I84),1,4)),"NA")),VALUE(MID(TRIM(Raw_Data!I84),1,4)),VALUE(RIGHT(TRIM(Raw_Data!I84),4))))</f>
        <v>2016</v>
      </c>
      <c r="K93" s="23" t="str">
        <f>PROPER(TRIM(Raw_Data!J84))</f>
        <v>Salaried</v>
      </c>
      <c r="L93" s="23" t="str">
        <f t="shared" si="3"/>
        <v>10-13</v>
      </c>
      <c r="M93" s="23" t="str">
        <f t="shared" si="4"/>
        <v>Kids</v>
      </c>
      <c r="N93" s="23" t="str">
        <f>IF(ISNUMBER(SEARCH("NON",UPPER(Raw_Data!M84))),"Non-Premium Learner","Premium Learner")</f>
        <v>Non-Premium Learner</v>
      </c>
      <c r="O93" s="23" t="str">
        <f>PROPER(TRIM(Raw_Data!N84))</f>
        <v>Web Only</v>
      </c>
      <c r="P93" s="24">
        <f>IF(Raw_Data!O84="",$C$7,Raw_Data!O84)</f>
        <v>29119.08</v>
      </c>
      <c r="Q93" s="23" t="str">
        <f>IF(Raw_Data!O84="","Missing-Imputed","Original")</f>
        <v>Original</v>
      </c>
      <c r="R93" s="24">
        <f>Raw_Data!P84</f>
        <v>47.2</v>
      </c>
      <c r="S93" s="24">
        <f>Raw_Data!Q84</f>
        <v>38701.870000000003</v>
      </c>
      <c r="T93" s="23" t="str">
        <f>IF(Raw_Data!R84="","Unknown",IF(ISNUMBER(SEARCH("ACT",UPPER(Raw_Data!R84))),"Active",IF(ISNUMBER(SEARCH("CLOS",UPPER(Raw_Data!R84))),"Closed","None")))</f>
        <v>None</v>
      </c>
      <c r="U93" s="24">
        <f>IF(Raw_Data!S84="",$C$8,VALUE(Raw_Data!S84))</f>
        <v>639</v>
      </c>
      <c r="V93" s="23" t="str">
        <f>IF(Raw_Data!S84="","Missing-Imputed","Original")</f>
        <v>Original</v>
      </c>
      <c r="W93" s="24">
        <f>Raw_Data!T84</f>
        <v>110</v>
      </c>
      <c r="X93" s="23" t="str">
        <f>IF(ISNUMBER(SEARCH("Y",UPPER(TRIM(Raw_Data!U84)))),"Yes","No")</f>
        <v>Yes</v>
      </c>
      <c r="Y93" s="23" t="str">
        <f>IF(ISNUMBER(SEARCH("Y",UPPER(TRIM(Raw_Data!V84)))),"Yes","No")</f>
        <v>Yes</v>
      </c>
      <c r="Z93" s="24">
        <f>Raw_Data!W84</f>
        <v>2</v>
      </c>
      <c r="AA93" s="24">
        <f>Raw_Data!X84</f>
        <v>4.8</v>
      </c>
      <c r="AB93" s="23" t="str">
        <f>IF(COUNTIFS(Raw_Data!$A$2:$A$616,Raw_Data!A84)&gt;1,"Duplicate","Unique")</f>
        <v>Unique</v>
      </c>
      <c r="AC93" s="23" t="str">
        <f t="shared" si="5"/>
        <v>Clean</v>
      </c>
    </row>
    <row r="94" spans="1:29" ht="15" customHeight="1">
      <c r="A94" s="25" t="str">
        <f>Raw_Data!A85</f>
        <v>BYJ1084</v>
      </c>
      <c r="B94" s="25" t="str">
        <f>Raw_Data!B85</f>
        <v>Ladli Ghosh</v>
      </c>
      <c r="C94" s="26">
        <f>IF(OR(Raw_Data!C85="",Raw_Data!C85&lt;$C$5,Raw_Data!C85&gt;$C$6),$C$4,Raw_Data!C85)</f>
        <v>42</v>
      </c>
      <c r="D94" s="25" t="str">
        <f>IF(Raw_Data!C85="","Missing-Imputed",IF(OR(Raw_Data!C85&lt;$C$5,Raw_Data!C85&gt;$C$6),"Outlier-Imputed","Original"))</f>
        <v>Original</v>
      </c>
      <c r="E94" s="25" t="str">
        <f>IF(OR(UPPER(TRIM(Raw_Data!D85))="M",UPPER(TRIM(Raw_Data!D85))="MALE"),"Male","Female")</f>
        <v>Male</v>
      </c>
      <c r="F94" s="25" t="str">
        <f>PROPER(TRIM(Raw_Data!E85))</f>
        <v>Machilipatnam</v>
      </c>
      <c r="G94" s="25" t="str">
        <f>PROPER(TRIM(Raw_Data!F85))</f>
        <v>Rajasthan</v>
      </c>
      <c r="H94" s="25" t="str">
        <f>PROPER(TRIM(Raw_Data!G85))</f>
        <v>Science</v>
      </c>
      <c r="I94" s="25" t="str">
        <f>PROPER(TRIM(Raw_Data!H85))</f>
        <v>Pune East</v>
      </c>
      <c r="J94" s="26">
        <f>IF(LEN(TRIM(Raw_Data!I85))=4,VALUE(TRIM(Raw_Data!I85)),IF(ISNUMBER(IFERROR(VALUE(MID(TRIM(Raw_Data!I85),1,4)),"NA")),VALUE(MID(TRIM(Raw_Data!I85),1,4)),VALUE(RIGHT(TRIM(Raw_Data!I85),4))))</f>
        <v>2016</v>
      </c>
      <c r="K94" s="25" t="str">
        <f>PROPER(TRIM(Raw_Data!J85))</f>
        <v>Self-Employed</v>
      </c>
      <c r="L94" s="25" t="str">
        <f t="shared" si="3"/>
        <v>20+</v>
      </c>
      <c r="M94" s="25" t="str">
        <f t="shared" si="4"/>
        <v>Adult Learners</v>
      </c>
      <c r="N94" s="25" t="str">
        <f>IF(ISNUMBER(SEARCH("NON",UPPER(Raw_Data!M85))),"Non-Premium Learner","Premium Learner")</f>
        <v>Non-Premium Learner</v>
      </c>
      <c r="O94" s="25" t="str">
        <f>PROPER(TRIM(Raw_Data!N85))</f>
        <v>Both App &amp; Web</v>
      </c>
      <c r="P94" s="26">
        <f>IF(Raw_Data!O85="",$C$7,Raw_Data!O85)</f>
        <v>25542.9</v>
      </c>
      <c r="Q94" s="25" t="str">
        <f>IF(Raw_Data!O85="","Missing-Imputed","Original")</f>
        <v>Original</v>
      </c>
      <c r="R94" s="26">
        <f>Raw_Data!P85</f>
        <v>39.1</v>
      </c>
      <c r="S94" s="26">
        <f>Raw_Data!Q85</f>
        <v>12412.04</v>
      </c>
      <c r="T94" s="25" t="str">
        <f>IF(Raw_Data!R85="","Unknown",IF(ISNUMBER(SEARCH("ACT",UPPER(Raw_Data!R85))),"Active",IF(ISNUMBER(SEARCH("CLOS",UPPER(Raw_Data!R85))),"Closed","None")))</f>
        <v>Closed</v>
      </c>
      <c r="U94" s="26">
        <f>IF(Raw_Data!S85="",$C$8,VALUE(Raw_Data!S85))</f>
        <v>787</v>
      </c>
      <c r="V94" s="25" t="str">
        <f>IF(Raw_Data!S85="","Missing-Imputed","Original")</f>
        <v>Original</v>
      </c>
      <c r="W94" s="26">
        <f>Raw_Data!T85</f>
        <v>184</v>
      </c>
      <c r="X94" s="25" t="str">
        <f>IF(ISNUMBER(SEARCH("Y",UPPER(TRIM(Raw_Data!U85)))),"Yes","No")</f>
        <v>No</v>
      </c>
      <c r="Y94" s="25" t="str">
        <f>IF(ISNUMBER(SEARCH("Y",UPPER(TRIM(Raw_Data!V85)))),"Yes","No")</f>
        <v>Yes</v>
      </c>
      <c r="Z94" s="26">
        <f>Raw_Data!W85</f>
        <v>1</v>
      </c>
      <c r="AA94" s="26">
        <f>Raw_Data!X85</f>
        <v>7.4</v>
      </c>
      <c r="AB94" s="25" t="str">
        <f>IF(COUNTIFS(Raw_Data!$A$2:$A$616,Raw_Data!A85)&gt;1,"Duplicate","Unique")</f>
        <v>Unique</v>
      </c>
      <c r="AC94" s="25" t="str">
        <f t="shared" si="5"/>
        <v>Clean</v>
      </c>
    </row>
    <row r="95" spans="1:29" ht="15" customHeight="1">
      <c r="A95" s="23" t="str">
        <f>Raw_Data!A86</f>
        <v>BYJ1085</v>
      </c>
      <c r="B95" s="23" t="str">
        <f>Raw_Data!B86</f>
        <v>Daksha Mangat</v>
      </c>
      <c r="C95" s="24">
        <f>IF(OR(Raw_Data!C86="",Raw_Data!C86&lt;$C$5,Raw_Data!C86&gt;$C$6),$C$4,Raw_Data!C86)</f>
        <v>12</v>
      </c>
      <c r="D95" s="23" t="str">
        <f>IF(Raw_Data!C86="","Missing-Imputed",IF(OR(Raw_Data!C86&lt;$C$5,Raw_Data!C86&gt;$C$6),"Outlier-Imputed","Original"))</f>
        <v>Original</v>
      </c>
      <c r="E95" s="23" t="str">
        <f>IF(OR(UPPER(TRIM(Raw_Data!D86))="M",UPPER(TRIM(Raw_Data!D86))="MALE"),"Male","Female")</f>
        <v>Male</v>
      </c>
      <c r="F95" s="23" t="str">
        <f>PROPER(TRIM(Raw_Data!E86))</f>
        <v>Chinsurah</v>
      </c>
      <c r="G95" s="23" t="str">
        <f>PROPER(TRIM(Raw_Data!F86))</f>
        <v>Uttar Pradesh</v>
      </c>
      <c r="H95" s="23" t="str">
        <f>PROPER(TRIM(Raw_Data!G86))</f>
        <v>Science</v>
      </c>
      <c r="I95" s="23" t="str">
        <f>PROPER(TRIM(Raw_Data!H86))</f>
        <v>Pune East</v>
      </c>
      <c r="J95" s="24">
        <f>IF(LEN(TRIM(Raw_Data!I86))=4,VALUE(TRIM(Raw_Data!I86)),IF(ISNUMBER(IFERROR(VALUE(MID(TRIM(Raw_Data!I86),1,4)),"NA")),VALUE(MID(TRIM(Raw_Data!I86),1,4)),VALUE(RIGHT(TRIM(Raw_Data!I86),4))))</f>
        <v>2024</v>
      </c>
      <c r="K95" s="23" t="str">
        <f>PROPER(TRIM(Raw_Data!J86))</f>
        <v>Self-Employed</v>
      </c>
      <c r="L95" s="23" t="str">
        <f t="shared" si="3"/>
        <v>10-13</v>
      </c>
      <c r="M95" s="23" t="str">
        <f t="shared" si="4"/>
        <v>Kids</v>
      </c>
      <c r="N95" s="23" t="str">
        <f>IF(ISNUMBER(SEARCH("NON",UPPER(Raw_Data!M86))),"Non-Premium Learner","Premium Learner")</f>
        <v>Non-Premium Learner</v>
      </c>
      <c r="O95" s="23" t="str">
        <f>PROPER(TRIM(Raw_Data!N86))</f>
        <v>Both App &amp; Web</v>
      </c>
      <c r="P95" s="24">
        <f>IF(Raw_Data!O86="",$C$7,Raw_Data!O86)</f>
        <v>67659.5</v>
      </c>
      <c r="Q95" s="23" t="str">
        <f>IF(Raw_Data!O86="","Missing-Imputed","Original")</f>
        <v>Original</v>
      </c>
      <c r="R95" s="24">
        <f>Raw_Data!P86</f>
        <v>51.1</v>
      </c>
      <c r="S95" s="24">
        <f>Raw_Data!Q86</f>
        <v>11839.47</v>
      </c>
      <c r="T95" s="23" t="str">
        <f>IF(Raw_Data!R86="","Unknown",IF(ISNUMBER(SEARCH("ACT",UPPER(Raw_Data!R86))),"Active",IF(ISNUMBER(SEARCH("CLOS",UPPER(Raw_Data!R86))),"Closed","None")))</f>
        <v>None</v>
      </c>
      <c r="U95" s="24" t="e">
        <f>IF(Raw_Data!S86="",$C$8,VALUE(Raw_Data!S86))</f>
        <v>#VALUE!</v>
      </c>
      <c r="V95" s="23" t="str">
        <f>IF(Raw_Data!S86="","Missing-Imputed","Original")</f>
        <v>Original</v>
      </c>
      <c r="W95" s="24">
        <f>Raw_Data!T86</f>
        <v>54</v>
      </c>
      <c r="X95" s="23" t="str">
        <f>IF(ISNUMBER(SEARCH("Y",UPPER(TRIM(Raw_Data!U86)))),"Yes","No")</f>
        <v>Yes</v>
      </c>
      <c r="Y95" s="23" t="str">
        <f>IF(ISNUMBER(SEARCH("Y",UPPER(TRIM(Raw_Data!V86)))),"Yes","No")</f>
        <v>Yes</v>
      </c>
      <c r="Z95" s="24">
        <f>Raw_Data!W86</f>
        <v>5</v>
      </c>
      <c r="AA95" s="24">
        <f>Raw_Data!X86</f>
        <v>2.1</v>
      </c>
      <c r="AB95" s="23" t="str">
        <f>IF(COUNTIFS(Raw_Data!$A$2:$A$616,Raw_Data!A86)&gt;1,"Duplicate","Unique")</f>
        <v>Unique</v>
      </c>
      <c r="AC95" s="23" t="str">
        <f t="shared" si="5"/>
        <v>Clean</v>
      </c>
    </row>
    <row r="96" spans="1:29" ht="15" customHeight="1">
      <c r="A96" s="25" t="str">
        <f>Raw_Data!A87</f>
        <v>BYJ1086</v>
      </c>
      <c r="B96" s="25" t="str">
        <f>Raw_Data!B87</f>
        <v>Udyati Sathe</v>
      </c>
      <c r="C96" s="26">
        <f>IF(OR(Raw_Data!C87="",Raw_Data!C87&lt;$C$5,Raw_Data!C87&gt;$C$6),$C$4,Raw_Data!C87)</f>
        <v>22</v>
      </c>
      <c r="D96" s="25" t="str">
        <f>IF(Raw_Data!C87="","Missing-Imputed",IF(OR(Raw_Data!C87&lt;$C$5,Raw_Data!C87&gt;$C$6),"Outlier-Imputed","Original"))</f>
        <v>Original</v>
      </c>
      <c r="E96" s="25" t="str">
        <f>IF(OR(UPPER(TRIM(Raw_Data!D87))="M",UPPER(TRIM(Raw_Data!D87))="MALE"),"Male","Female")</f>
        <v>Female</v>
      </c>
      <c r="F96" s="25" t="str">
        <f>PROPER(TRIM(Raw_Data!E87))</f>
        <v>Kakinada</v>
      </c>
      <c r="G96" s="25" t="str">
        <f>PROPER(TRIM(Raw_Data!F87))</f>
        <v>Gujarat</v>
      </c>
      <c r="H96" s="25" t="str">
        <f>PROPER(TRIM(Raw_Data!G87))</f>
        <v>Robotics</v>
      </c>
      <c r="I96" s="25" t="str">
        <f>PROPER(TRIM(Raw_Data!H87))</f>
        <v>Lucknow Hub</v>
      </c>
      <c r="J96" s="26">
        <f>IF(LEN(TRIM(Raw_Data!I87))=4,VALUE(TRIM(Raw_Data!I87)),IF(ISNUMBER(IFERROR(VALUE(MID(TRIM(Raw_Data!I87),1,4)),"NA")),VALUE(MID(TRIM(Raw_Data!I87),1,4)),VALUE(RIGHT(TRIM(Raw_Data!I87),4))))</f>
        <v>46026</v>
      </c>
      <c r="K96" s="25" t="str">
        <f>PROPER(TRIM(Raw_Data!J87))</f>
        <v>Homemaker</v>
      </c>
      <c r="L96" s="25" t="str">
        <f t="shared" si="3"/>
        <v>20+</v>
      </c>
      <c r="M96" s="25" t="str">
        <f t="shared" si="4"/>
        <v>Adult Learners</v>
      </c>
      <c r="N96" s="25" t="str">
        <f>IF(ISNUMBER(SEARCH("NON",UPPER(Raw_Data!M87))),"Non-Premium Learner","Premium Learner")</f>
        <v>Non-Premium Learner</v>
      </c>
      <c r="O96" s="25" t="str">
        <f>PROPER(TRIM(Raw_Data!N87))</f>
        <v>Both App &amp; Web</v>
      </c>
      <c r="P96" s="26">
        <f>IF(Raw_Data!O87="",$C$7,Raw_Data!O87)</f>
        <v>107368.31</v>
      </c>
      <c r="Q96" s="25" t="str">
        <f>IF(Raw_Data!O87="","Missing-Imputed","Original")</f>
        <v>Original</v>
      </c>
      <c r="R96" s="26">
        <f>Raw_Data!P87</f>
        <v>51.1</v>
      </c>
      <c r="S96" s="26">
        <f>Raw_Data!Q87</f>
        <v>5085.12</v>
      </c>
      <c r="T96" s="25" t="str">
        <f>IF(Raw_Data!R87="","Unknown",IF(ISNUMBER(SEARCH("ACT",UPPER(Raw_Data!R87))),"Active",IF(ISNUMBER(SEARCH("CLOS",UPPER(Raw_Data!R87))),"Closed","None")))</f>
        <v>Active</v>
      </c>
      <c r="U96" s="26">
        <f>IF(Raw_Data!S87="",$C$8,VALUE(Raw_Data!S87))</f>
        <v>420</v>
      </c>
      <c r="V96" s="25" t="str">
        <f>IF(Raw_Data!S87="","Missing-Imputed","Original")</f>
        <v>Original</v>
      </c>
      <c r="W96" s="26">
        <f>Raw_Data!T87</f>
        <v>29</v>
      </c>
      <c r="X96" s="25" t="str">
        <f>IF(ISNUMBER(SEARCH("Y",UPPER(TRIM(Raw_Data!U87)))),"Yes","No")</f>
        <v>Yes</v>
      </c>
      <c r="Y96" s="25" t="str">
        <f>IF(ISNUMBER(SEARCH("Y",UPPER(TRIM(Raw_Data!V87)))),"Yes","No")</f>
        <v>Yes</v>
      </c>
      <c r="Z96" s="26">
        <f>Raw_Data!W87</f>
        <v>4</v>
      </c>
      <c r="AA96" s="26">
        <f>Raw_Data!X87</f>
        <v>5.6</v>
      </c>
      <c r="AB96" s="25" t="str">
        <f>IF(COUNTIFS(Raw_Data!$A$2:$A$616,Raw_Data!A87)&gt;1,"Duplicate","Unique")</f>
        <v>Duplicate</v>
      </c>
      <c r="AC96" s="25" t="str">
        <f t="shared" si="5"/>
        <v>Review-Duplicate</v>
      </c>
    </row>
    <row r="97" spans="1:29" ht="15" customHeight="1">
      <c r="A97" s="23" t="str">
        <f>Raw_Data!A88</f>
        <v>BYJ1087</v>
      </c>
      <c r="B97" s="23" t="str">
        <f>Raw_Data!B88</f>
        <v>Omkaar Chad</v>
      </c>
      <c r="C97" s="24">
        <f>IF(OR(Raw_Data!C88="",Raw_Data!C88&lt;$C$5,Raw_Data!C88&gt;$C$6),$C$4,Raw_Data!C88)</f>
        <v>37</v>
      </c>
      <c r="D97" s="23" t="str">
        <f>IF(Raw_Data!C88="","Missing-Imputed",IF(OR(Raw_Data!C88&lt;$C$5,Raw_Data!C88&gt;$C$6),"Outlier-Imputed","Original"))</f>
        <v>Original</v>
      </c>
      <c r="E97" s="23" t="str">
        <f>IF(OR(UPPER(TRIM(Raw_Data!D88))="M",UPPER(TRIM(Raw_Data!D88))="MALE"),"Male","Female")</f>
        <v>Male</v>
      </c>
      <c r="F97" s="23" t="str">
        <f>PROPER(TRIM(Raw_Data!E88))</f>
        <v>Kottayam</v>
      </c>
      <c r="G97" s="23" t="str">
        <f>PROPER(TRIM(Raw_Data!F88))</f>
        <v>Telangana</v>
      </c>
      <c r="H97" s="23" t="str">
        <f>PROPER(TRIM(Raw_Data!G88))</f>
        <v>Science</v>
      </c>
      <c r="I97" s="23" t="str">
        <f>PROPER(TRIM(Raw_Data!H88))</f>
        <v>Mumbai West</v>
      </c>
      <c r="J97" s="24">
        <f>IF(LEN(TRIM(Raw_Data!I88))=4,VALUE(TRIM(Raw_Data!I88)),IF(ISNUMBER(IFERROR(VALUE(MID(TRIM(Raw_Data!I88),1,4)),"NA")),VALUE(MID(TRIM(Raw_Data!I88),1,4)),VALUE(RIGHT(TRIM(Raw_Data!I88),4))))</f>
        <v>2021</v>
      </c>
      <c r="K97" s="23" t="str">
        <f>PROPER(TRIM(Raw_Data!J88))</f>
        <v>Homemaker</v>
      </c>
      <c r="L97" s="23" t="str">
        <f t="shared" si="3"/>
        <v>20+</v>
      </c>
      <c r="M97" s="23" t="str">
        <f t="shared" si="4"/>
        <v>Adult Learners</v>
      </c>
      <c r="N97" s="23" t="str">
        <f>IF(ISNUMBER(SEARCH("NON",UPPER(Raw_Data!M88))),"Non-Premium Learner","Premium Learner")</f>
        <v>Non-Premium Learner</v>
      </c>
      <c r="O97" s="23" t="str">
        <f>PROPER(TRIM(Raw_Data!N88))</f>
        <v>App Only</v>
      </c>
      <c r="P97" s="24">
        <f>IF(Raw_Data!O88="",$C$7,Raw_Data!O88)</f>
        <v>123206.31</v>
      </c>
      <c r="Q97" s="23" t="str">
        <f>IF(Raw_Data!O88="","Missing-Imputed","Original")</f>
        <v>Original</v>
      </c>
      <c r="R97" s="24">
        <f>Raw_Data!P88</f>
        <v>42.9</v>
      </c>
      <c r="S97" s="24">
        <f>Raw_Data!Q88</f>
        <v>29698.19</v>
      </c>
      <c r="T97" s="23" t="str">
        <f>IF(Raw_Data!R88="","Unknown",IF(ISNUMBER(SEARCH("ACT",UPPER(Raw_Data!R88))),"Active",IF(ISNUMBER(SEARCH("CLOS",UPPER(Raw_Data!R88))),"Closed","None")))</f>
        <v>None</v>
      </c>
      <c r="U97" s="24">
        <f>IF(Raw_Data!S88="",$C$8,VALUE(Raw_Data!S88))</f>
        <v>725</v>
      </c>
      <c r="V97" s="23" t="str">
        <f>IF(Raw_Data!S88="","Missing-Imputed","Original")</f>
        <v>Original</v>
      </c>
      <c r="W97" s="24">
        <f>Raw_Data!T88</f>
        <v>113</v>
      </c>
      <c r="X97" s="23" t="str">
        <f>IF(ISNUMBER(SEARCH("Y",UPPER(TRIM(Raw_Data!U88)))),"Yes","No")</f>
        <v>No</v>
      </c>
      <c r="Y97" s="23" t="str">
        <f>IF(ISNUMBER(SEARCH("Y",UPPER(TRIM(Raw_Data!V88)))),"Yes","No")</f>
        <v>Yes</v>
      </c>
      <c r="Z97" s="24">
        <f>Raw_Data!W88</f>
        <v>2</v>
      </c>
      <c r="AA97" s="24">
        <f>Raw_Data!X88</f>
        <v>3</v>
      </c>
      <c r="AB97" s="23" t="str">
        <f>IF(COUNTIFS(Raw_Data!$A$2:$A$616,Raw_Data!A88)&gt;1,"Duplicate","Unique")</f>
        <v>Unique</v>
      </c>
      <c r="AC97" s="23" t="str">
        <f t="shared" si="5"/>
        <v>Clean</v>
      </c>
    </row>
    <row r="98" spans="1:29" ht="15" customHeight="1">
      <c r="A98" s="25" t="str">
        <f>Raw_Data!A89</f>
        <v>BYJ1088</v>
      </c>
      <c r="B98" s="25" t="str">
        <f>Raw_Data!B89</f>
        <v>Girik Keer</v>
      </c>
      <c r="C98" s="26">
        <f>IF(OR(Raw_Data!C89="",Raw_Data!C89&lt;$C$5,Raw_Data!C89&gt;$C$6),$C$4,Raw_Data!C89)</f>
        <v>16</v>
      </c>
      <c r="D98" s="25" t="str">
        <f>IF(Raw_Data!C89="","Missing-Imputed",IF(OR(Raw_Data!C89&lt;$C$5,Raw_Data!C89&gt;$C$6),"Outlier-Imputed","Original"))</f>
        <v>Original</v>
      </c>
      <c r="E98" s="25" t="str">
        <f>IF(OR(UPPER(TRIM(Raw_Data!D89))="M",UPPER(TRIM(Raw_Data!D89))="MALE"),"Male","Female")</f>
        <v>Female</v>
      </c>
      <c r="F98" s="25" t="str">
        <f>PROPER(TRIM(Raw_Data!E89))</f>
        <v>Kamarhati</v>
      </c>
      <c r="G98" s="25" t="str">
        <f>PROPER(TRIM(Raw_Data!F89))</f>
        <v>Rajasthan</v>
      </c>
      <c r="H98" s="25" t="str">
        <f>PROPER(TRIM(Raw_Data!G89))</f>
        <v>Mathematics</v>
      </c>
      <c r="I98" s="25" t="str">
        <f>PROPER(TRIM(Raw_Data!H89))</f>
        <v>Lucknow Hub</v>
      </c>
      <c r="J98" s="26">
        <f>IF(LEN(TRIM(Raw_Data!I89))=4,VALUE(TRIM(Raw_Data!I89)),IF(ISNUMBER(IFERROR(VALUE(MID(TRIM(Raw_Data!I89),1,4)),"NA")),VALUE(MID(TRIM(Raw_Data!I89),1,4)),VALUE(RIGHT(TRIM(Raw_Data!I89),4))))</f>
        <v>2017</v>
      </c>
      <c r="K98" s="25" t="str">
        <f>PROPER(TRIM(Raw_Data!J89))</f>
        <v>Government Employee</v>
      </c>
      <c r="L98" s="25" t="str">
        <f t="shared" si="3"/>
        <v>14-16</v>
      </c>
      <c r="M98" s="25" t="str">
        <f t="shared" si="4"/>
        <v>Teens</v>
      </c>
      <c r="N98" s="25" t="str">
        <f>IF(ISNUMBER(SEARCH("NON",UPPER(Raw_Data!M89))),"Non-Premium Learner","Premium Learner")</f>
        <v>Non-Premium Learner</v>
      </c>
      <c r="O98" s="25" t="str">
        <f>PROPER(TRIM(Raw_Data!N89))</f>
        <v>Both App &amp; Web</v>
      </c>
      <c r="P98" s="26">
        <f>IF(Raw_Data!O89="",$C$7,Raw_Data!O89)</f>
        <v>68998.149999999994</v>
      </c>
      <c r="Q98" s="25" t="str">
        <f>IF(Raw_Data!O89="","Missing-Imputed","Original")</f>
        <v>Original</v>
      </c>
      <c r="R98" s="26">
        <f>Raw_Data!P89</f>
        <v>36.9</v>
      </c>
      <c r="S98" s="26">
        <f>Raw_Data!Q89</f>
        <v>44159.32</v>
      </c>
      <c r="T98" s="25" t="str">
        <f>IF(Raw_Data!R89="","Unknown",IF(ISNUMBER(SEARCH("ACT",UPPER(Raw_Data!R89))),"Active",IF(ISNUMBER(SEARCH("CLOS",UPPER(Raw_Data!R89))),"Closed","None")))</f>
        <v>None</v>
      </c>
      <c r="U98" s="26">
        <f>IF(Raw_Data!S89="",$C$8,VALUE(Raw_Data!S89))</f>
        <v>604</v>
      </c>
      <c r="V98" s="25" t="str">
        <f>IF(Raw_Data!S89="","Missing-Imputed","Original")</f>
        <v>Original</v>
      </c>
      <c r="W98" s="26">
        <f>Raw_Data!T89</f>
        <v>8</v>
      </c>
      <c r="X98" s="25" t="str">
        <f>IF(ISNUMBER(SEARCH("Y",UPPER(TRIM(Raw_Data!U89)))),"Yes","No")</f>
        <v>No</v>
      </c>
      <c r="Y98" s="25" t="str">
        <f>IF(ISNUMBER(SEARCH("Y",UPPER(TRIM(Raw_Data!V89)))),"Yes","No")</f>
        <v>No</v>
      </c>
      <c r="Z98" s="26">
        <f>Raw_Data!W89</f>
        <v>4</v>
      </c>
      <c r="AA98" s="26">
        <f>Raw_Data!X89</f>
        <v>7.9</v>
      </c>
      <c r="AB98" s="25" t="str">
        <f>IF(COUNTIFS(Raw_Data!$A$2:$A$616,Raw_Data!A89)&gt;1,"Duplicate","Unique")</f>
        <v>Unique</v>
      </c>
      <c r="AC98" s="25" t="str">
        <f t="shared" si="5"/>
        <v>Clean</v>
      </c>
    </row>
    <row r="99" spans="1:29" ht="15" customHeight="1">
      <c r="A99" s="23" t="str">
        <f>Raw_Data!A90</f>
        <v>BYJ1089</v>
      </c>
      <c r="B99" s="23" t="str">
        <f>Raw_Data!B90</f>
        <v>Manan Bakshi</v>
      </c>
      <c r="C99" s="24">
        <f>IF(OR(Raw_Data!C90="",Raw_Data!C90&lt;$C$5,Raw_Data!C90&gt;$C$6),$C$4,Raw_Data!C90)</f>
        <v>19</v>
      </c>
      <c r="D99" s="23" t="str">
        <f>IF(Raw_Data!C90="","Missing-Imputed",IF(OR(Raw_Data!C90&lt;$C$5,Raw_Data!C90&gt;$C$6),"Outlier-Imputed","Original"))</f>
        <v>Original</v>
      </c>
      <c r="E99" s="23" t="str">
        <f>IF(OR(UPPER(TRIM(Raw_Data!D90))="M",UPPER(TRIM(Raw_Data!D90))="MALE"),"Male","Female")</f>
        <v>Female</v>
      </c>
      <c r="F99" s="23" t="str">
        <f>PROPER(TRIM(Raw_Data!E90))</f>
        <v>Sambalpur</v>
      </c>
      <c r="G99" s="23" t="str">
        <f>PROPER(TRIM(Raw_Data!F90))</f>
        <v>Maharashtra</v>
      </c>
      <c r="H99" s="23" t="str">
        <f>PROPER(TRIM(Raw_Data!G90))</f>
        <v>Science</v>
      </c>
      <c r="I99" s="23" t="str">
        <f>PROPER(TRIM(Raw_Data!H90))</f>
        <v>Delhi North</v>
      </c>
      <c r="J99" s="24">
        <f>IF(LEN(TRIM(Raw_Data!I90))=4,VALUE(TRIM(Raw_Data!I90)),IF(ISNUMBER(IFERROR(VALUE(MID(TRIM(Raw_Data!I90),1,4)),"NA")),VALUE(MID(TRIM(Raw_Data!I90),1,4)),VALUE(RIGHT(TRIM(Raw_Data!I90),4))))</f>
        <v>2019</v>
      </c>
      <c r="K99" s="23" t="str">
        <f>PROPER(TRIM(Raw_Data!J90))</f>
        <v>Government Employee</v>
      </c>
      <c r="L99" s="23" t="str">
        <f t="shared" si="3"/>
        <v>17-19</v>
      </c>
      <c r="M99" s="23" t="str">
        <f t="shared" si="4"/>
        <v>Teens</v>
      </c>
      <c r="N99" s="23" t="str">
        <f>IF(ISNUMBER(SEARCH("NON",UPPER(Raw_Data!M90))),"Non-Premium Learner","Premium Learner")</f>
        <v>Premium Learner</v>
      </c>
      <c r="O99" s="23" t="str">
        <f>PROPER(TRIM(Raw_Data!N90))</f>
        <v>Web Only</v>
      </c>
      <c r="P99" s="24">
        <f>IF(Raw_Data!O90="",$C$7,Raw_Data!O90)</f>
        <v>146955.01999999999</v>
      </c>
      <c r="Q99" s="23" t="str">
        <f>IF(Raw_Data!O90="","Missing-Imputed","Original")</f>
        <v>Original</v>
      </c>
      <c r="R99" s="24">
        <f>Raw_Data!P90</f>
        <v>48</v>
      </c>
      <c r="S99" s="24">
        <f>Raw_Data!Q90</f>
        <v>57143.839999999997</v>
      </c>
      <c r="T99" s="23" t="str">
        <f>IF(Raw_Data!R90="","Unknown",IF(ISNUMBER(SEARCH("ACT",UPPER(Raw_Data!R90))),"Active",IF(ISNUMBER(SEARCH("CLOS",UPPER(Raw_Data!R90))),"Closed","None")))</f>
        <v>None</v>
      </c>
      <c r="U99" s="24">
        <f>IF(Raw_Data!S90="",$C$8,VALUE(Raw_Data!S90))</f>
        <v>438</v>
      </c>
      <c r="V99" s="23" t="str">
        <f>IF(Raw_Data!S90="","Missing-Imputed","Original")</f>
        <v>Original</v>
      </c>
      <c r="W99" s="24">
        <f>Raw_Data!T90</f>
        <v>105</v>
      </c>
      <c r="X99" s="23" t="str">
        <f>IF(ISNUMBER(SEARCH("Y",UPPER(TRIM(Raw_Data!U90)))),"Yes","No")</f>
        <v>Yes</v>
      </c>
      <c r="Y99" s="23" t="str">
        <f>IF(ISNUMBER(SEARCH("Y",UPPER(TRIM(Raw_Data!V90)))),"Yes","No")</f>
        <v>Yes</v>
      </c>
      <c r="Z99" s="24">
        <f>Raw_Data!W90</f>
        <v>2</v>
      </c>
      <c r="AA99" s="24">
        <f>Raw_Data!X90</f>
        <v>1.7</v>
      </c>
      <c r="AB99" s="23" t="str">
        <f>IF(COUNTIFS(Raw_Data!$A$2:$A$616,Raw_Data!A90)&gt;1,"Duplicate","Unique")</f>
        <v>Unique</v>
      </c>
      <c r="AC99" s="23" t="str">
        <f t="shared" si="5"/>
        <v>Clean</v>
      </c>
    </row>
    <row r="100" spans="1:29" ht="15" customHeight="1">
      <c r="A100" s="25" t="str">
        <f>Raw_Data!A91</f>
        <v>BYJ1090</v>
      </c>
      <c r="B100" s="25" t="str">
        <f>Raw_Data!B91</f>
        <v>Elijah Shah</v>
      </c>
      <c r="C100" s="26">
        <f>IF(OR(Raw_Data!C91="",Raw_Data!C91&lt;$C$5,Raw_Data!C91&gt;$C$6),$C$4,Raw_Data!C91)</f>
        <v>31</v>
      </c>
      <c r="D100" s="25" t="str">
        <f>IF(Raw_Data!C91="","Missing-Imputed",IF(OR(Raw_Data!C91&lt;$C$5,Raw_Data!C91&gt;$C$6),"Outlier-Imputed","Original"))</f>
        <v>Original</v>
      </c>
      <c r="E100" s="25" t="str">
        <f>IF(OR(UPPER(TRIM(Raw_Data!D91))="M",UPPER(TRIM(Raw_Data!D91))="MALE"),"Male","Female")</f>
        <v>Female</v>
      </c>
      <c r="F100" s="25" t="str">
        <f>PROPER(TRIM(Raw_Data!E91))</f>
        <v>Ramgarh</v>
      </c>
      <c r="G100" s="25" t="str">
        <f>PROPER(TRIM(Raw_Data!F91))</f>
        <v>Telangana</v>
      </c>
      <c r="H100" s="25" t="str">
        <f>PROPER(TRIM(Raw_Data!G91))</f>
        <v>Robotics</v>
      </c>
      <c r="I100" s="25" t="str">
        <f>PROPER(TRIM(Raw_Data!H91))</f>
        <v>Kolkata Main</v>
      </c>
      <c r="J100" s="26">
        <f>IF(LEN(TRIM(Raw_Data!I91))=4,VALUE(TRIM(Raw_Data!I91)),IF(ISNUMBER(IFERROR(VALUE(MID(TRIM(Raw_Data!I91),1,4)),"NA")),VALUE(MID(TRIM(Raw_Data!I91),1,4)),VALUE(RIGHT(TRIM(Raw_Data!I91),4))))</f>
        <v>2023</v>
      </c>
      <c r="K100" s="25" t="str">
        <f>PROPER(TRIM(Raw_Data!J91))</f>
        <v>Self-Employed</v>
      </c>
      <c r="L100" s="25" t="str">
        <f t="shared" si="3"/>
        <v>20+</v>
      </c>
      <c r="M100" s="25" t="str">
        <f t="shared" si="4"/>
        <v>Adult Learners</v>
      </c>
      <c r="N100" s="25" t="str">
        <f>IF(ISNUMBER(SEARCH("NON",UPPER(Raw_Data!M91))),"Non-Premium Learner","Premium Learner")</f>
        <v>Non-Premium Learner</v>
      </c>
      <c r="O100" s="25" t="str">
        <f>PROPER(TRIM(Raw_Data!N91))</f>
        <v>Web Only</v>
      </c>
      <c r="P100" s="26">
        <f>IF(Raw_Data!O91="",$C$7,Raw_Data!O91)</f>
        <v>70930.87</v>
      </c>
      <c r="Q100" s="25" t="str">
        <f>IF(Raw_Data!O91="","Missing-Imputed","Original")</f>
        <v>Original</v>
      </c>
      <c r="R100" s="26">
        <f>Raw_Data!P91</f>
        <v>48.6</v>
      </c>
      <c r="S100" s="26">
        <f>Raw_Data!Q91</f>
        <v>52134.47</v>
      </c>
      <c r="T100" s="25" t="str">
        <f>IF(Raw_Data!R91="","Unknown",IF(ISNUMBER(SEARCH("ACT",UPPER(Raw_Data!R91))),"Active",IF(ISNUMBER(SEARCH("CLOS",UPPER(Raw_Data!R91))),"Closed","None")))</f>
        <v>None</v>
      </c>
      <c r="U100" s="26">
        <f>IF(Raw_Data!S91="",$C$8,VALUE(Raw_Data!S91))</f>
        <v>769</v>
      </c>
      <c r="V100" s="25" t="str">
        <f>IF(Raw_Data!S91="","Missing-Imputed","Original")</f>
        <v>Original</v>
      </c>
      <c r="W100" s="26">
        <f>Raw_Data!T91</f>
        <v>178</v>
      </c>
      <c r="X100" s="25" t="str">
        <f>IF(ISNUMBER(SEARCH("Y",UPPER(TRIM(Raw_Data!U91)))),"Yes","No")</f>
        <v>No</v>
      </c>
      <c r="Y100" s="25" t="str">
        <f>IF(ISNUMBER(SEARCH("Y",UPPER(TRIM(Raw_Data!V91)))),"Yes","No")</f>
        <v>No</v>
      </c>
      <c r="Z100" s="26">
        <f>Raw_Data!W91</f>
        <v>4</v>
      </c>
      <c r="AA100" s="26">
        <f>Raw_Data!X91</f>
        <v>7.5</v>
      </c>
      <c r="AB100" s="25" t="str">
        <f>IF(COUNTIFS(Raw_Data!$A$2:$A$616,Raw_Data!A91)&gt;1,"Duplicate","Unique")</f>
        <v>Unique</v>
      </c>
      <c r="AC100" s="25" t="str">
        <f t="shared" si="5"/>
        <v>Clean</v>
      </c>
    </row>
    <row r="101" spans="1:29" ht="15" customHeight="1">
      <c r="A101" s="23" t="str">
        <f>Raw_Data!A92</f>
        <v>BYJ1091</v>
      </c>
      <c r="B101" s="23" t="str">
        <f>Raw_Data!B92</f>
        <v>Leena Talwar</v>
      </c>
      <c r="C101" s="24">
        <f>IF(OR(Raw_Data!C92="",Raw_Data!C92&lt;$C$5,Raw_Data!C92&gt;$C$6),$C$4,Raw_Data!C92)</f>
        <v>24</v>
      </c>
      <c r="D101" s="23" t="str">
        <f>IF(Raw_Data!C92="","Missing-Imputed",IF(OR(Raw_Data!C92&lt;$C$5,Raw_Data!C92&gt;$C$6),"Outlier-Imputed","Original"))</f>
        <v>Original</v>
      </c>
      <c r="E101" s="23" t="str">
        <f>IF(OR(UPPER(TRIM(Raw_Data!D92))="M",UPPER(TRIM(Raw_Data!D92))="MALE"),"Male","Female")</f>
        <v>Female</v>
      </c>
      <c r="F101" s="23" t="str">
        <f>PROPER(TRIM(Raw_Data!E92))</f>
        <v>Latur</v>
      </c>
      <c r="G101" s="23" t="str">
        <f>PROPER(TRIM(Raw_Data!F92))</f>
        <v>Kerala</v>
      </c>
      <c r="H101" s="23" t="str">
        <f>PROPER(TRIM(Raw_Data!G92))</f>
        <v>Spoken English</v>
      </c>
      <c r="I101" s="23" t="str">
        <f>PROPER(TRIM(Raw_Data!H92))</f>
        <v>Pune East</v>
      </c>
      <c r="J101" s="24">
        <f>IF(LEN(TRIM(Raw_Data!I92))=4,VALUE(TRIM(Raw_Data!I92)),IF(ISNUMBER(IFERROR(VALUE(MID(TRIM(Raw_Data!I92),1,4)),"NA")),VALUE(MID(TRIM(Raw_Data!I92),1,4)),VALUE(RIGHT(TRIM(Raw_Data!I92),4))))</f>
        <v>2016</v>
      </c>
      <c r="K101" s="23" t="str">
        <f>PROPER(TRIM(Raw_Data!J92))</f>
        <v>Salaried</v>
      </c>
      <c r="L101" s="23" t="str">
        <f t="shared" si="3"/>
        <v>20+</v>
      </c>
      <c r="M101" s="23" t="str">
        <f t="shared" si="4"/>
        <v>Adult Learners</v>
      </c>
      <c r="N101" s="23" t="str">
        <f>IF(ISNUMBER(SEARCH("NON",UPPER(Raw_Data!M92))),"Non-Premium Learner","Premium Learner")</f>
        <v>Premium Learner</v>
      </c>
      <c r="O101" s="23" t="str">
        <f>PROPER(TRIM(Raw_Data!N92))</f>
        <v>Web Only</v>
      </c>
      <c r="P101" s="24">
        <f>IF(Raw_Data!O92="",$C$7,Raw_Data!O92)</f>
        <v>71195.13</v>
      </c>
      <c r="Q101" s="23" t="str">
        <f>IF(Raw_Data!O92="","Missing-Imputed","Original")</f>
        <v>Original</v>
      </c>
      <c r="R101" s="24">
        <f>Raw_Data!P92</f>
        <v>37.1</v>
      </c>
      <c r="S101" s="24">
        <f>Raw_Data!Q92</f>
        <v>59741.64</v>
      </c>
      <c r="T101" s="23" t="str">
        <f>IF(Raw_Data!R92="","Unknown",IF(ISNUMBER(SEARCH("ACT",UPPER(Raw_Data!R92))),"Active",IF(ISNUMBER(SEARCH("CLOS",UPPER(Raw_Data!R92))),"Closed","None")))</f>
        <v>Active</v>
      </c>
      <c r="U101" s="24">
        <f>IF(Raw_Data!S92="",$C$8,VALUE(Raw_Data!S92))</f>
        <v>462</v>
      </c>
      <c r="V101" s="23" t="str">
        <f>IF(Raw_Data!S92="","Missing-Imputed","Original")</f>
        <v>Original</v>
      </c>
      <c r="W101" s="24">
        <f>Raw_Data!T92</f>
        <v>70</v>
      </c>
      <c r="X101" s="23" t="str">
        <f>IF(ISNUMBER(SEARCH("Y",UPPER(TRIM(Raw_Data!U92)))),"Yes","No")</f>
        <v>Yes</v>
      </c>
      <c r="Y101" s="23" t="str">
        <f>IF(ISNUMBER(SEARCH("Y",UPPER(TRIM(Raw_Data!V92)))),"Yes","No")</f>
        <v>No</v>
      </c>
      <c r="Z101" s="24">
        <f>Raw_Data!W92</f>
        <v>3</v>
      </c>
      <c r="AA101" s="24">
        <f>Raw_Data!X92</f>
        <v>6.1</v>
      </c>
      <c r="AB101" s="23" t="str">
        <f>IF(COUNTIFS(Raw_Data!$A$2:$A$616,Raw_Data!A92)&gt;1,"Duplicate","Unique")</f>
        <v>Unique</v>
      </c>
      <c r="AC101" s="23" t="str">
        <f t="shared" si="5"/>
        <v>Clean</v>
      </c>
    </row>
    <row r="102" spans="1:29" ht="15" customHeight="1">
      <c r="A102" s="25" t="str">
        <f>Raw_Data!A93</f>
        <v>BYJ1092</v>
      </c>
      <c r="B102" s="25" t="str">
        <f>Raw_Data!B93</f>
        <v>Abdul Chhabra</v>
      </c>
      <c r="C102" s="26">
        <f>IF(OR(Raw_Data!C93="",Raw_Data!C93&lt;$C$5,Raw_Data!C93&gt;$C$6),$C$4,Raw_Data!C93)</f>
        <v>25</v>
      </c>
      <c r="D102" s="25" t="str">
        <f>IF(Raw_Data!C93="","Missing-Imputed",IF(OR(Raw_Data!C93&lt;$C$5,Raw_Data!C93&gt;$C$6),"Outlier-Imputed","Original"))</f>
        <v>Original</v>
      </c>
      <c r="E102" s="25" t="str">
        <f>IF(OR(UPPER(TRIM(Raw_Data!D93))="M",UPPER(TRIM(Raw_Data!D93))="MALE"),"Male","Female")</f>
        <v>Male</v>
      </c>
      <c r="F102" s="25" t="str">
        <f>PROPER(TRIM(Raw_Data!E93))</f>
        <v>Muzaffarnagar</v>
      </c>
      <c r="G102" s="25" t="str">
        <f>PROPER(TRIM(Raw_Data!F93))</f>
        <v>Karnataka</v>
      </c>
      <c r="H102" s="25" t="str">
        <f>PROPER(TRIM(Raw_Data!G93))</f>
        <v>Coding</v>
      </c>
      <c r="I102" s="25" t="str">
        <f>PROPER(TRIM(Raw_Data!H93))</f>
        <v>Delhi North</v>
      </c>
      <c r="J102" s="26">
        <f>IF(LEN(TRIM(Raw_Data!I93))=4,VALUE(TRIM(Raw_Data!I93)),IF(ISNUMBER(IFERROR(VALUE(MID(TRIM(Raw_Data!I93),1,4)),"NA")),VALUE(MID(TRIM(Raw_Data!I93),1,4)),VALUE(RIGHT(TRIM(Raw_Data!I93),4))))</f>
        <v>2023</v>
      </c>
      <c r="K102" s="25" t="str">
        <f>PROPER(TRIM(Raw_Data!J93))</f>
        <v>Government Employee</v>
      </c>
      <c r="L102" s="25" t="str">
        <f t="shared" si="3"/>
        <v>20+</v>
      </c>
      <c r="M102" s="25" t="str">
        <f t="shared" si="4"/>
        <v>Adult Learners</v>
      </c>
      <c r="N102" s="25" t="str">
        <f>IF(ISNUMBER(SEARCH("NON",UPPER(Raw_Data!M93))),"Non-Premium Learner","Premium Learner")</f>
        <v>Non-Premium Learner</v>
      </c>
      <c r="O102" s="25" t="str">
        <f>PROPER(TRIM(Raw_Data!N93))</f>
        <v>Both App &amp; Web</v>
      </c>
      <c r="P102" s="26">
        <f>IF(Raw_Data!O93="",$C$7,Raw_Data!O93)</f>
        <v>54818.25</v>
      </c>
      <c r="Q102" s="25" t="str">
        <f>IF(Raw_Data!O93="","Missing-Imputed","Original")</f>
        <v>Original</v>
      </c>
      <c r="R102" s="26">
        <f>Raw_Data!P93</f>
        <v>69.5</v>
      </c>
      <c r="S102" s="26">
        <f>Raw_Data!Q93</f>
        <v>41641.86</v>
      </c>
      <c r="T102" s="25" t="str">
        <f>IF(Raw_Data!R93="","Unknown",IF(ISNUMBER(SEARCH("ACT",UPPER(Raw_Data!R93))),"Active",IF(ISNUMBER(SEARCH("CLOS",UPPER(Raw_Data!R93))),"Closed","None")))</f>
        <v>Closed</v>
      </c>
      <c r="U102" s="26">
        <f>IF(Raw_Data!S93="",$C$8,VALUE(Raw_Data!S93))</f>
        <v>534</v>
      </c>
      <c r="V102" s="25" t="str">
        <f>IF(Raw_Data!S93="","Missing-Imputed","Original")</f>
        <v>Original</v>
      </c>
      <c r="W102" s="26">
        <f>Raw_Data!T93</f>
        <v>187</v>
      </c>
      <c r="X102" s="25" t="str">
        <f>IF(ISNUMBER(SEARCH("Y",UPPER(TRIM(Raw_Data!U93)))),"Yes","No")</f>
        <v>Yes</v>
      </c>
      <c r="Y102" s="25" t="str">
        <f>IF(ISNUMBER(SEARCH("Y",UPPER(TRIM(Raw_Data!V93)))),"Yes","No")</f>
        <v>No</v>
      </c>
      <c r="Z102" s="26">
        <f>Raw_Data!W93</f>
        <v>3</v>
      </c>
      <c r="AA102" s="26">
        <f>Raw_Data!X93</f>
        <v>1.7</v>
      </c>
      <c r="AB102" s="25" t="str">
        <f>IF(COUNTIFS(Raw_Data!$A$2:$A$616,Raw_Data!A93)&gt;1,"Duplicate","Unique")</f>
        <v>Unique</v>
      </c>
      <c r="AC102" s="25" t="str">
        <f t="shared" si="5"/>
        <v>Clean</v>
      </c>
    </row>
    <row r="103" spans="1:29" ht="15" customHeight="1">
      <c r="A103" s="23" t="str">
        <f>Raw_Data!A94</f>
        <v>BYJ1093</v>
      </c>
      <c r="B103" s="23" t="str">
        <f>Raw_Data!B94</f>
        <v>Zarna Shetty</v>
      </c>
      <c r="C103" s="24">
        <f>IF(OR(Raw_Data!C94="",Raw_Data!C94&lt;$C$5,Raw_Data!C94&gt;$C$6),$C$4,Raw_Data!C94)</f>
        <v>14</v>
      </c>
      <c r="D103" s="23" t="str">
        <f>IF(Raw_Data!C94="","Missing-Imputed",IF(OR(Raw_Data!C94&lt;$C$5,Raw_Data!C94&gt;$C$6),"Outlier-Imputed","Original"))</f>
        <v>Original</v>
      </c>
      <c r="E103" s="23" t="str">
        <f>IF(OR(UPPER(TRIM(Raw_Data!D94))="M",UPPER(TRIM(Raw_Data!D94))="MALE"),"Male","Female")</f>
        <v>Male</v>
      </c>
      <c r="F103" s="23" t="str">
        <f>PROPER(TRIM(Raw_Data!E94))</f>
        <v>Proddatur</v>
      </c>
      <c r="G103" s="23" t="str">
        <f>PROPER(TRIM(Raw_Data!F94))</f>
        <v>Tamil Nadu</v>
      </c>
      <c r="H103" s="23" t="str">
        <f>PROPER(TRIM(Raw_Data!G94))</f>
        <v>Science</v>
      </c>
      <c r="I103" s="23" t="str">
        <f>PROPER(TRIM(Raw_Data!H94))</f>
        <v>Ahmedabad Center</v>
      </c>
      <c r="J103" s="24">
        <f>IF(LEN(TRIM(Raw_Data!I94))=4,VALUE(TRIM(Raw_Data!I94)),IF(ISNUMBER(IFERROR(VALUE(MID(TRIM(Raw_Data!I94),1,4)),"NA")),VALUE(MID(TRIM(Raw_Data!I94),1,4)),VALUE(RIGHT(TRIM(Raw_Data!I94),4))))</f>
        <v>2021</v>
      </c>
      <c r="K103" s="23" t="str">
        <f>PROPER(TRIM(Raw_Data!J94))</f>
        <v>Self-Employed</v>
      </c>
      <c r="L103" s="23" t="str">
        <f t="shared" si="3"/>
        <v>14-16</v>
      </c>
      <c r="M103" s="23" t="str">
        <f t="shared" si="4"/>
        <v>Teens</v>
      </c>
      <c r="N103" s="23" t="str">
        <f>IF(ISNUMBER(SEARCH("NON",UPPER(Raw_Data!M94))),"Non-Premium Learner","Premium Learner")</f>
        <v>Non-Premium Learner</v>
      </c>
      <c r="O103" s="23" t="str">
        <f>PROPER(TRIM(Raw_Data!N94))</f>
        <v>App Only</v>
      </c>
      <c r="P103" s="24">
        <f>IF(Raw_Data!O94="",$C$7,Raw_Data!O94)</f>
        <v>17569.759999999998</v>
      </c>
      <c r="Q103" s="23" t="str">
        <f>IF(Raw_Data!O94="","Missing-Imputed","Original")</f>
        <v>Original</v>
      </c>
      <c r="R103" s="24">
        <f>Raw_Data!P94</f>
        <v>61.4</v>
      </c>
      <c r="S103" s="24">
        <f>Raw_Data!Q94</f>
        <v>35374.44</v>
      </c>
      <c r="T103" s="23" t="str">
        <f>IF(Raw_Data!R94="","Unknown",IF(ISNUMBER(SEARCH("ACT",UPPER(Raw_Data!R94))),"Active",IF(ISNUMBER(SEARCH("CLOS",UPPER(Raw_Data!R94))),"Closed","None")))</f>
        <v>Closed</v>
      </c>
      <c r="U103" s="24">
        <f>IF(Raw_Data!S94="",$C$8,VALUE(Raw_Data!S94))</f>
        <v>739</v>
      </c>
      <c r="V103" s="23" t="str">
        <f>IF(Raw_Data!S94="","Missing-Imputed","Original")</f>
        <v>Original</v>
      </c>
      <c r="W103" s="24">
        <f>Raw_Data!T94</f>
        <v>35</v>
      </c>
      <c r="X103" s="23" t="str">
        <f>IF(ISNUMBER(SEARCH("Y",UPPER(TRIM(Raw_Data!U94)))),"Yes","No")</f>
        <v>Yes</v>
      </c>
      <c r="Y103" s="23" t="str">
        <f>IF(ISNUMBER(SEARCH("Y",UPPER(TRIM(Raw_Data!V94)))),"Yes","No")</f>
        <v>Yes</v>
      </c>
      <c r="Z103" s="24">
        <f>Raw_Data!W94</f>
        <v>5</v>
      </c>
      <c r="AA103" s="24">
        <f>Raw_Data!X94</f>
        <v>5.6</v>
      </c>
      <c r="AB103" s="23" t="str">
        <f>IF(COUNTIFS(Raw_Data!$A$2:$A$616,Raw_Data!A94)&gt;1,"Duplicate","Unique")</f>
        <v>Unique</v>
      </c>
      <c r="AC103" s="23" t="str">
        <f t="shared" si="5"/>
        <v>Clean</v>
      </c>
    </row>
    <row r="104" spans="1:29" ht="15" customHeight="1">
      <c r="A104" s="25" t="str">
        <f>Raw_Data!A95</f>
        <v>BYJ1094</v>
      </c>
      <c r="B104" s="25" t="str">
        <f>Raw_Data!B95</f>
        <v>Jairaj Shan</v>
      </c>
      <c r="C104" s="26">
        <f>IF(OR(Raw_Data!C95="",Raw_Data!C95&lt;$C$5,Raw_Data!C95&gt;$C$6),$C$4,Raw_Data!C95)</f>
        <v>7</v>
      </c>
      <c r="D104" s="25" t="str">
        <f>IF(Raw_Data!C95="","Missing-Imputed",IF(OR(Raw_Data!C95&lt;$C$5,Raw_Data!C95&gt;$C$6),"Outlier-Imputed","Original"))</f>
        <v>Original</v>
      </c>
      <c r="E104" s="25" t="str">
        <f>IF(OR(UPPER(TRIM(Raw_Data!D95))="M",UPPER(TRIM(Raw_Data!D95))="MALE"),"Male","Female")</f>
        <v>Female</v>
      </c>
      <c r="F104" s="25" t="str">
        <f>PROPER(TRIM(Raw_Data!E95))</f>
        <v>Madhyamgram</v>
      </c>
      <c r="G104" s="25" t="str">
        <f>PROPER(TRIM(Raw_Data!F95))</f>
        <v>Uttar Pradesh</v>
      </c>
      <c r="H104" s="25" t="str">
        <f>PROPER(TRIM(Raw_Data!G95))</f>
        <v>English</v>
      </c>
      <c r="I104" s="25" t="str">
        <f>PROPER(TRIM(Raw_Data!H95))</f>
        <v>Kolkata Main</v>
      </c>
      <c r="J104" s="26">
        <f>IF(LEN(TRIM(Raw_Data!I95))=4,VALUE(TRIM(Raw_Data!I95)),IF(ISNUMBER(IFERROR(VALUE(MID(TRIM(Raw_Data!I95),1,4)),"NA")),VALUE(MID(TRIM(Raw_Data!I95),1,4)),VALUE(RIGHT(TRIM(Raw_Data!I95),4))))</f>
        <v>2020</v>
      </c>
      <c r="K104" s="25" t="str">
        <f>PROPER(TRIM(Raw_Data!J95))</f>
        <v>Self-Employed</v>
      </c>
      <c r="L104" s="25" t="str">
        <f t="shared" si="3"/>
        <v>Under 10</v>
      </c>
      <c r="M104" s="25" t="str">
        <f t="shared" si="4"/>
        <v>Kids</v>
      </c>
      <c r="N104" s="25" t="str">
        <f>IF(ISNUMBER(SEARCH("NON",UPPER(Raw_Data!M95))),"Non-Premium Learner","Premium Learner")</f>
        <v>Non-Premium Learner</v>
      </c>
      <c r="O104" s="25" t="str">
        <f>PROPER(TRIM(Raw_Data!N95))</f>
        <v>Both App &amp; Web</v>
      </c>
      <c r="P104" s="26">
        <f>IF(Raw_Data!O95="",$C$7,Raw_Data!O95)</f>
        <v>91119.82</v>
      </c>
      <c r="Q104" s="25" t="str">
        <f>IF(Raw_Data!O95="","Missing-Imputed","Original")</f>
        <v>Original</v>
      </c>
      <c r="R104" s="26">
        <f>Raw_Data!P95</f>
        <v>78.3</v>
      </c>
      <c r="S104" s="26">
        <f>Raw_Data!Q95</f>
        <v>59212.95</v>
      </c>
      <c r="T104" s="25" t="str">
        <f>IF(Raw_Data!R95="","Unknown",IF(ISNUMBER(SEARCH("ACT",UPPER(Raw_Data!R95))),"Active",IF(ISNUMBER(SEARCH("CLOS",UPPER(Raw_Data!R95))),"Closed","None")))</f>
        <v>Closed</v>
      </c>
      <c r="U104" s="26">
        <f>IF(Raw_Data!S95="",$C$8,VALUE(Raw_Data!S95))</f>
        <v>696</v>
      </c>
      <c r="V104" s="25" t="str">
        <f>IF(Raw_Data!S95="","Missing-Imputed","Original")</f>
        <v>Original</v>
      </c>
      <c r="W104" s="26">
        <f>Raw_Data!T95</f>
        <v>145</v>
      </c>
      <c r="X104" s="25" t="str">
        <f>IF(ISNUMBER(SEARCH("Y",UPPER(TRIM(Raw_Data!U95)))),"Yes","No")</f>
        <v>No</v>
      </c>
      <c r="Y104" s="25" t="str">
        <f>IF(ISNUMBER(SEARCH("Y",UPPER(TRIM(Raw_Data!V95)))),"Yes","No")</f>
        <v>Yes</v>
      </c>
      <c r="Z104" s="26">
        <f>Raw_Data!W95</f>
        <v>1</v>
      </c>
      <c r="AA104" s="26">
        <f>Raw_Data!X95</f>
        <v>0.6</v>
      </c>
      <c r="AB104" s="25" t="str">
        <f>IF(COUNTIFS(Raw_Data!$A$2:$A$616,Raw_Data!A95)&gt;1,"Duplicate","Unique")</f>
        <v>Unique</v>
      </c>
      <c r="AC104" s="25" t="str">
        <f t="shared" si="5"/>
        <v>Clean</v>
      </c>
    </row>
    <row r="105" spans="1:29" ht="15" customHeight="1">
      <c r="A105" s="23" t="str">
        <f>Raw_Data!A96</f>
        <v>BYJ1095</v>
      </c>
      <c r="B105" s="23" t="str">
        <f>Raw_Data!B96</f>
        <v xml:space="preserve">  Saanvi Thaman  </v>
      </c>
      <c r="C105" s="24">
        <f>IF(OR(Raw_Data!C96="",Raw_Data!C96&lt;$C$5,Raw_Data!C96&gt;$C$6),$C$4,Raw_Data!C96)</f>
        <v>8</v>
      </c>
      <c r="D105" s="23" t="str">
        <f>IF(Raw_Data!C96="","Missing-Imputed",IF(OR(Raw_Data!C96&lt;$C$5,Raw_Data!C96&gt;$C$6),"Outlier-Imputed","Original"))</f>
        <v>Original</v>
      </c>
      <c r="E105" s="23" t="str">
        <f>IF(OR(UPPER(TRIM(Raw_Data!D96))="M",UPPER(TRIM(Raw_Data!D96))="MALE"),"Male","Female")</f>
        <v>Male</v>
      </c>
      <c r="F105" s="23" t="str">
        <f>PROPER(TRIM(Raw_Data!E96))</f>
        <v>Motihari</v>
      </c>
      <c r="G105" s="23" t="str">
        <f>PROPER(TRIM(Raw_Data!F96))</f>
        <v>Uttar Pradesh</v>
      </c>
      <c r="H105" s="23" t="str">
        <f>PROPER(TRIM(Raw_Data!G96))</f>
        <v>Robotics</v>
      </c>
      <c r="I105" s="23" t="str">
        <f>PROPER(TRIM(Raw_Data!H96))</f>
        <v>Kolkata Main</v>
      </c>
      <c r="J105" s="24">
        <f>IF(LEN(TRIM(Raw_Data!I96))=4,VALUE(TRIM(Raw_Data!I96)),IF(ISNUMBER(IFERROR(VALUE(MID(TRIM(Raw_Data!I96),1,4)),"NA")),VALUE(MID(TRIM(Raw_Data!I96),1,4)),VALUE(RIGHT(TRIM(Raw_Data!I96),4))))</f>
        <v>2022</v>
      </c>
      <c r="K105" s="23" t="str">
        <f>PROPER(TRIM(Raw_Data!J96))</f>
        <v>Homemaker</v>
      </c>
      <c r="L105" s="23" t="str">
        <f t="shared" si="3"/>
        <v>Under 10</v>
      </c>
      <c r="M105" s="23" t="str">
        <f t="shared" si="4"/>
        <v>Kids</v>
      </c>
      <c r="N105" s="23" t="str">
        <f>IF(ISNUMBER(SEARCH("NON",UPPER(Raw_Data!M96))),"Non-Premium Learner","Premium Learner")</f>
        <v>Premium Learner</v>
      </c>
      <c r="O105" s="23" t="str">
        <f>PROPER(TRIM(Raw_Data!N96))</f>
        <v>App Only</v>
      </c>
      <c r="P105" s="24">
        <f>IF(Raw_Data!O96="",$C$7,Raw_Data!O96)</f>
        <v>146275.44</v>
      </c>
      <c r="Q105" s="23" t="str">
        <f>IF(Raw_Data!O96="","Missing-Imputed","Original")</f>
        <v>Original</v>
      </c>
      <c r="R105" s="24">
        <f>Raw_Data!P96</f>
        <v>29.5</v>
      </c>
      <c r="S105" s="24">
        <f>Raw_Data!Q96</f>
        <v>35186.230000000003</v>
      </c>
      <c r="T105" s="23" t="str">
        <f>IF(Raw_Data!R96="","Unknown",IF(ISNUMBER(SEARCH("ACT",UPPER(Raw_Data!R96))),"Active",IF(ISNUMBER(SEARCH("CLOS",UPPER(Raw_Data!R96))),"Closed","None")))</f>
        <v>None</v>
      </c>
      <c r="U105" s="24">
        <f>IF(Raw_Data!S96="",$C$8,VALUE(Raw_Data!S96))</f>
        <v>617</v>
      </c>
      <c r="V105" s="23" t="str">
        <f>IF(Raw_Data!S96="","Missing-Imputed","Original")</f>
        <v>Original</v>
      </c>
      <c r="W105" s="24">
        <f>Raw_Data!T96</f>
        <v>186</v>
      </c>
      <c r="X105" s="23" t="str">
        <f>IF(ISNUMBER(SEARCH("Y",UPPER(TRIM(Raw_Data!U96)))),"Yes","No")</f>
        <v>Yes</v>
      </c>
      <c r="Y105" s="23" t="str">
        <f>IF(ISNUMBER(SEARCH("Y",UPPER(TRIM(Raw_Data!V96)))),"Yes","No")</f>
        <v>Yes</v>
      </c>
      <c r="Z105" s="24">
        <f>Raw_Data!W96</f>
        <v>4</v>
      </c>
      <c r="AA105" s="24">
        <f>Raw_Data!X96</f>
        <v>1.5</v>
      </c>
      <c r="AB105" s="23" t="str">
        <f>IF(COUNTIFS(Raw_Data!$A$2:$A$616,Raw_Data!A96)&gt;1,"Duplicate","Unique")</f>
        <v>Unique</v>
      </c>
      <c r="AC105" s="23" t="str">
        <f t="shared" si="5"/>
        <v>Clean</v>
      </c>
    </row>
    <row r="106" spans="1:29" ht="15" customHeight="1">
      <c r="A106" s="25" t="str">
        <f>Raw_Data!A97</f>
        <v>BYJ1096</v>
      </c>
      <c r="B106" s="25" t="str">
        <f>Raw_Data!B97</f>
        <v>Nathan Soman</v>
      </c>
      <c r="C106" s="26">
        <f>IF(OR(Raw_Data!C97="",Raw_Data!C97&lt;$C$5,Raw_Data!C97&gt;$C$6),$C$4,Raw_Data!C97)</f>
        <v>17</v>
      </c>
      <c r="D106" s="25" t="str">
        <f>IF(Raw_Data!C97="","Missing-Imputed",IF(OR(Raw_Data!C97&lt;$C$5,Raw_Data!C97&gt;$C$6),"Outlier-Imputed","Original"))</f>
        <v>Original</v>
      </c>
      <c r="E106" s="25" t="str">
        <f>IF(OR(UPPER(TRIM(Raw_Data!D97))="M",UPPER(TRIM(Raw_Data!D97))="MALE"),"Male","Female")</f>
        <v>Male</v>
      </c>
      <c r="F106" s="25" t="str">
        <f>PROPER(TRIM(Raw_Data!E97))</f>
        <v>Rampur</v>
      </c>
      <c r="G106" s="25" t="str">
        <f>PROPER(TRIM(Raw_Data!F97))</f>
        <v>Tamil Nadu</v>
      </c>
      <c r="H106" s="25" t="str">
        <f>PROPER(TRIM(Raw_Data!G97))</f>
        <v>Science</v>
      </c>
      <c r="I106" s="25" t="str">
        <f>PROPER(TRIM(Raw_Data!H97))</f>
        <v>Ahmedabad Center</v>
      </c>
      <c r="J106" s="26">
        <f>IF(LEN(TRIM(Raw_Data!I97))=4,VALUE(TRIM(Raw_Data!I97)),IF(ISNUMBER(IFERROR(VALUE(MID(TRIM(Raw_Data!I97),1,4)),"NA")),VALUE(MID(TRIM(Raw_Data!I97),1,4)),VALUE(RIGHT(TRIM(Raw_Data!I97),4))))</f>
        <v>2021</v>
      </c>
      <c r="K106" s="25" t="str">
        <f>PROPER(TRIM(Raw_Data!J97))</f>
        <v>Business</v>
      </c>
      <c r="L106" s="25" t="str">
        <f t="shared" si="3"/>
        <v>17-19</v>
      </c>
      <c r="M106" s="25" t="str">
        <f t="shared" si="4"/>
        <v>Teens</v>
      </c>
      <c r="N106" s="25" t="str">
        <f>IF(ISNUMBER(SEARCH("NON",UPPER(Raw_Data!M97))),"Non-Premium Learner","Premium Learner")</f>
        <v>Non-Premium Learner</v>
      </c>
      <c r="O106" s="25" t="str">
        <f>PROPER(TRIM(Raw_Data!N97))</f>
        <v>Web Only</v>
      </c>
      <c r="P106" s="26">
        <f>IF(Raw_Data!O97="",$C$7,Raw_Data!O97)</f>
        <v>111275.7</v>
      </c>
      <c r="Q106" s="25" t="str">
        <f>IF(Raw_Data!O97="","Missing-Imputed","Original")</f>
        <v>Original</v>
      </c>
      <c r="R106" s="26">
        <f>Raw_Data!P97</f>
        <v>72.5</v>
      </c>
      <c r="S106" s="26">
        <f>Raw_Data!Q97</f>
        <v>20100.66</v>
      </c>
      <c r="T106" s="25" t="str">
        <f>IF(Raw_Data!R97="","Unknown",IF(ISNUMBER(SEARCH("ACT",UPPER(Raw_Data!R97))),"Active",IF(ISNUMBER(SEARCH("CLOS",UPPER(Raw_Data!R97))),"Closed","None")))</f>
        <v>Closed</v>
      </c>
      <c r="U106" s="26">
        <f>IF(Raw_Data!S97="",$C$8,VALUE(Raw_Data!S97))</f>
        <v>836</v>
      </c>
      <c r="V106" s="25" t="str">
        <f>IF(Raw_Data!S97="","Missing-Imputed","Original")</f>
        <v>Original</v>
      </c>
      <c r="W106" s="26">
        <f>Raw_Data!T97</f>
        <v>182</v>
      </c>
      <c r="X106" s="25" t="str">
        <f>IF(ISNUMBER(SEARCH("Y",UPPER(TRIM(Raw_Data!U97)))),"Yes","No")</f>
        <v>Yes</v>
      </c>
      <c r="Y106" s="25" t="str">
        <f>IF(ISNUMBER(SEARCH("Y",UPPER(TRIM(Raw_Data!V97)))),"Yes","No")</f>
        <v>No</v>
      </c>
      <c r="Z106" s="26">
        <f>Raw_Data!W97</f>
        <v>1</v>
      </c>
      <c r="AA106" s="26">
        <f>Raw_Data!X97</f>
        <v>4.7</v>
      </c>
      <c r="AB106" s="25" t="str">
        <f>IF(COUNTIFS(Raw_Data!$A$2:$A$616,Raw_Data!A97)&gt;1,"Duplicate","Unique")</f>
        <v>Unique</v>
      </c>
      <c r="AC106" s="25" t="str">
        <f t="shared" si="5"/>
        <v>Clean</v>
      </c>
    </row>
    <row r="107" spans="1:29" ht="15" customHeight="1">
      <c r="A107" s="23" t="str">
        <f>Raw_Data!A98</f>
        <v>BYJ1097</v>
      </c>
      <c r="B107" s="23" t="str">
        <f>Raw_Data!B98</f>
        <v>Aradhana Verma</v>
      </c>
      <c r="C107" s="24">
        <f>IF(OR(Raw_Data!C98="",Raw_Data!C98&lt;$C$5,Raw_Data!C98&gt;$C$6),$C$4,Raw_Data!C98)</f>
        <v>22</v>
      </c>
      <c r="D107" s="23" t="str">
        <f>IF(Raw_Data!C98="","Missing-Imputed",IF(OR(Raw_Data!C98&lt;$C$5,Raw_Data!C98&gt;$C$6),"Outlier-Imputed","Original"))</f>
        <v>Original</v>
      </c>
      <c r="E107" s="23" t="str">
        <f>IF(OR(UPPER(TRIM(Raw_Data!D98))="M",UPPER(TRIM(Raw_Data!D98))="MALE"),"Male","Female")</f>
        <v>Male</v>
      </c>
      <c r="F107" s="23" t="str">
        <f>PROPER(TRIM(Raw_Data!E98))</f>
        <v>Mathura</v>
      </c>
      <c r="G107" s="23" t="str">
        <f>PROPER(TRIM(Raw_Data!F98))</f>
        <v>Karnataka</v>
      </c>
      <c r="H107" s="23" t="str">
        <f>PROPER(TRIM(Raw_Data!G98))</f>
        <v>English</v>
      </c>
      <c r="I107" s="23" t="str">
        <f>PROPER(TRIM(Raw_Data!H98))</f>
        <v>Jaipur Center</v>
      </c>
      <c r="J107" s="24">
        <f>IF(LEN(TRIM(Raw_Data!I98))=4,VALUE(TRIM(Raw_Data!I98)),IF(ISNUMBER(IFERROR(VALUE(MID(TRIM(Raw_Data!I98),1,4)),"NA")),VALUE(MID(TRIM(Raw_Data!I98),1,4)),VALUE(RIGHT(TRIM(Raw_Data!I98),4))))</f>
        <v>2016</v>
      </c>
      <c r="K107" s="23" t="str">
        <f>PROPER(TRIM(Raw_Data!J98))</f>
        <v>Business</v>
      </c>
      <c r="L107" s="23" t="str">
        <f t="shared" si="3"/>
        <v>20+</v>
      </c>
      <c r="M107" s="23" t="str">
        <f t="shared" si="4"/>
        <v>Adult Learners</v>
      </c>
      <c r="N107" s="23" t="str">
        <f>IF(ISNUMBER(SEARCH("NON",UPPER(Raw_Data!M98))),"Non-Premium Learner","Premium Learner")</f>
        <v>Premium Learner</v>
      </c>
      <c r="O107" s="23" t="str">
        <f>PROPER(TRIM(Raw_Data!N98))</f>
        <v>App Only</v>
      </c>
      <c r="P107" s="24">
        <f>IF(Raw_Data!O98="",$C$7,Raw_Data!O98)</f>
        <v>30949.34</v>
      </c>
      <c r="Q107" s="23" t="str">
        <f>IF(Raw_Data!O98="","Missing-Imputed","Original")</f>
        <v>Original</v>
      </c>
      <c r="R107" s="24">
        <f>Raw_Data!P98</f>
        <v>7.7</v>
      </c>
      <c r="S107" s="24">
        <f>Raw_Data!Q98</f>
        <v>48186.93</v>
      </c>
      <c r="T107" s="23" t="str">
        <f>IF(Raw_Data!R98="","Unknown",IF(ISNUMBER(SEARCH("ACT",UPPER(Raw_Data!R98))),"Active",IF(ISNUMBER(SEARCH("CLOS",UPPER(Raw_Data!R98))),"Closed","None")))</f>
        <v>None</v>
      </c>
      <c r="U107" s="24">
        <f>IF(Raw_Data!S98="",$C$8,VALUE(Raw_Data!S98))</f>
        <v>529</v>
      </c>
      <c r="V107" s="23" t="str">
        <f>IF(Raw_Data!S98="","Missing-Imputed","Original")</f>
        <v>Original</v>
      </c>
      <c r="W107" s="24">
        <f>Raw_Data!T98</f>
        <v>106</v>
      </c>
      <c r="X107" s="23" t="str">
        <f>IF(ISNUMBER(SEARCH("Y",UPPER(TRIM(Raw_Data!U98)))),"Yes","No")</f>
        <v>No</v>
      </c>
      <c r="Y107" s="23" t="str">
        <f>IF(ISNUMBER(SEARCH("Y",UPPER(TRIM(Raw_Data!V98)))),"Yes","No")</f>
        <v>Yes</v>
      </c>
      <c r="Z107" s="24">
        <f>Raw_Data!W98</f>
        <v>1</v>
      </c>
      <c r="AA107" s="24">
        <f>Raw_Data!X98</f>
        <v>4.8</v>
      </c>
      <c r="AB107" s="23" t="str">
        <f>IF(COUNTIFS(Raw_Data!$A$2:$A$616,Raw_Data!A98)&gt;1,"Duplicate","Unique")</f>
        <v>Unique</v>
      </c>
      <c r="AC107" s="23" t="str">
        <f t="shared" si="5"/>
        <v>Clean</v>
      </c>
    </row>
    <row r="108" spans="1:29" ht="15" customHeight="1">
      <c r="A108" s="25" t="str">
        <f>Raw_Data!A99</f>
        <v>BYJ1098</v>
      </c>
      <c r="B108" s="25" t="str">
        <f>Raw_Data!B99</f>
        <v>Ria Brahmbhatt</v>
      </c>
      <c r="C108" s="26">
        <f>IF(OR(Raw_Data!C99="",Raw_Data!C99&lt;$C$5,Raw_Data!C99&gt;$C$6),$C$4,Raw_Data!C99)</f>
        <v>39</v>
      </c>
      <c r="D108" s="25" t="str">
        <f>IF(Raw_Data!C99="","Missing-Imputed",IF(OR(Raw_Data!C99&lt;$C$5,Raw_Data!C99&gt;$C$6),"Outlier-Imputed","Original"))</f>
        <v>Original</v>
      </c>
      <c r="E108" s="25" t="str">
        <f>IF(OR(UPPER(TRIM(Raw_Data!D99))="M",UPPER(TRIM(Raw_Data!D99))="MALE"),"Male","Female")</f>
        <v>Male</v>
      </c>
      <c r="F108" s="25" t="str">
        <f>PROPER(TRIM(Raw_Data!E99))</f>
        <v>Noida</v>
      </c>
      <c r="G108" s="25" t="str">
        <f>PROPER(TRIM(Raw_Data!F99))</f>
        <v>Rajasthan</v>
      </c>
      <c r="H108" s="25" t="str">
        <f>PROPER(TRIM(Raw_Data!G99))</f>
        <v>Jee Prep</v>
      </c>
      <c r="I108" s="25" t="str">
        <f>PROPER(TRIM(Raw_Data!H99))</f>
        <v>Hyderabad Hub</v>
      </c>
      <c r="J108" s="26">
        <f>IF(LEN(TRIM(Raw_Data!I99))=4,VALUE(TRIM(Raw_Data!I99)),IF(ISNUMBER(IFERROR(VALUE(MID(TRIM(Raw_Data!I99),1,4)),"NA")),VALUE(MID(TRIM(Raw_Data!I99),1,4)),VALUE(RIGHT(TRIM(Raw_Data!I99),4))))</f>
        <v>2021</v>
      </c>
      <c r="K108" s="25" t="str">
        <f>PROPER(TRIM(Raw_Data!J99))</f>
        <v>Salaried</v>
      </c>
      <c r="L108" s="25" t="str">
        <f t="shared" si="3"/>
        <v>20+</v>
      </c>
      <c r="M108" s="25" t="str">
        <f t="shared" si="4"/>
        <v>Adult Learners</v>
      </c>
      <c r="N108" s="25" t="str">
        <f>IF(ISNUMBER(SEARCH("NON",UPPER(Raw_Data!M99))),"Non-Premium Learner","Premium Learner")</f>
        <v>Non-Premium Learner</v>
      </c>
      <c r="O108" s="25" t="str">
        <f>PROPER(TRIM(Raw_Data!N99))</f>
        <v>Web Only</v>
      </c>
      <c r="P108" s="26">
        <f>IF(Raw_Data!O99="",$C$7,Raw_Data!O99)</f>
        <v>112238.52</v>
      </c>
      <c r="Q108" s="25" t="str">
        <f>IF(Raw_Data!O99="","Missing-Imputed","Original")</f>
        <v>Original</v>
      </c>
      <c r="R108" s="26">
        <f>Raw_Data!P99</f>
        <v>32.6</v>
      </c>
      <c r="S108" s="26">
        <f>Raw_Data!Q99</f>
        <v>58311.46</v>
      </c>
      <c r="T108" s="25" t="str">
        <f>IF(Raw_Data!R99="","Unknown",IF(ISNUMBER(SEARCH("ACT",UPPER(Raw_Data!R99))),"Active",IF(ISNUMBER(SEARCH("CLOS",UPPER(Raw_Data!R99))),"Closed","None")))</f>
        <v>Active</v>
      </c>
      <c r="U108" s="26" t="e">
        <f>IF(Raw_Data!S99="",$C$8,VALUE(Raw_Data!S99))</f>
        <v>#VALUE!</v>
      </c>
      <c r="V108" s="25" t="str">
        <f>IF(Raw_Data!S99="","Missing-Imputed","Original")</f>
        <v>Original</v>
      </c>
      <c r="W108" s="26">
        <f>Raw_Data!T99</f>
        <v>104</v>
      </c>
      <c r="X108" s="25" t="str">
        <f>IF(ISNUMBER(SEARCH("Y",UPPER(TRIM(Raw_Data!U99)))),"Yes","No")</f>
        <v>Yes</v>
      </c>
      <c r="Y108" s="25" t="str">
        <f>IF(ISNUMBER(SEARCH("Y",UPPER(TRIM(Raw_Data!V99)))),"Yes","No")</f>
        <v>No</v>
      </c>
      <c r="Z108" s="26">
        <f>Raw_Data!W99</f>
        <v>3</v>
      </c>
      <c r="AA108" s="26">
        <f>Raw_Data!X99</f>
        <v>0.5</v>
      </c>
      <c r="AB108" s="25" t="str">
        <f>IF(COUNTIFS(Raw_Data!$A$2:$A$616,Raw_Data!A99)&gt;1,"Duplicate","Unique")</f>
        <v>Unique</v>
      </c>
      <c r="AC108" s="25" t="str">
        <f t="shared" si="5"/>
        <v>Clean</v>
      </c>
    </row>
    <row r="109" spans="1:29" ht="15" customHeight="1">
      <c r="A109" s="23" t="str">
        <f>Raw_Data!A100</f>
        <v>BYJ1099</v>
      </c>
      <c r="B109" s="23" t="str">
        <f>Raw_Data!B100</f>
        <v>Gautami Nagarajan</v>
      </c>
      <c r="C109" s="24">
        <f>IF(OR(Raw_Data!C100="",Raw_Data!C100&lt;$C$5,Raw_Data!C100&gt;$C$6),$C$4,Raw_Data!C100)</f>
        <v>25</v>
      </c>
      <c r="D109" s="23" t="str">
        <f>IF(Raw_Data!C100="","Missing-Imputed",IF(OR(Raw_Data!C100&lt;$C$5,Raw_Data!C100&gt;$C$6),"Outlier-Imputed","Original"))</f>
        <v>Original</v>
      </c>
      <c r="E109" s="23" t="str">
        <f>IF(OR(UPPER(TRIM(Raw_Data!D100))="M",UPPER(TRIM(Raw_Data!D100))="MALE"),"Male","Female")</f>
        <v>Male</v>
      </c>
      <c r="F109" s="23" t="str">
        <f>PROPER(TRIM(Raw_Data!E100))</f>
        <v>Durgapur</v>
      </c>
      <c r="G109" s="23" t="str">
        <f>PROPER(TRIM(Raw_Data!F100))</f>
        <v>Delhi</v>
      </c>
      <c r="H109" s="23" t="str">
        <f>PROPER(TRIM(Raw_Data!G100))</f>
        <v>Robotics</v>
      </c>
      <c r="I109" s="23" t="str">
        <f>PROPER(TRIM(Raw_Data!H100))</f>
        <v>Ahmedabad Center</v>
      </c>
      <c r="J109" s="24">
        <f>IF(LEN(TRIM(Raw_Data!I100))=4,VALUE(TRIM(Raw_Data!I100)),IF(ISNUMBER(IFERROR(VALUE(MID(TRIM(Raw_Data!I100),1,4)),"NA")),VALUE(MID(TRIM(Raw_Data!I100),1,4)),VALUE(RIGHT(TRIM(Raw_Data!I100),4))))</f>
        <v>2016</v>
      </c>
      <c r="K109" s="23" t="str">
        <f>PROPER(TRIM(Raw_Data!J100))</f>
        <v>Salaried</v>
      </c>
      <c r="L109" s="23" t="str">
        <f t="shared" si="3"/>
        <v>20+</v>
      </c>
      <c r="M109" s="23" t="str">
        <f t="shared" si="4"/>
        <v>Adult Learners</v>
      </c>
      <c r="N109" s="23" t="str">
        <f>IF(ISNUMBER(SEARCH("NON",UPPER(Raw_Data!M100))),"Non-Premium Learner","Premium Learner")</f>
        <v>Premium Learner</v>
      </c>
      <c r="O109" s="23" t="str">
        <f>PROPER(TRIM(Raw_Data!N100))</f>
        <v>Both App &amp; Web</v>
      </c>
      <c r="P109" s="24">
        <f>IF(Raw_Data!O100="",$C$7,Raw_Data!O100)</f>
        <v>64893.24</v>
      </c>
      <c r="Q109" s="23" t="str">
        <f>IF(Raw_Data!O100="","Missing-Imputed","Original")</f>
        <v>Original</v>
      </c>
      <c r="R109" s="24">
        <f>Raw_Data!P100</f>
        <v>39.4</v>
      </c>
      <c r="S109" s="24">
        <f>Raw_Data!Q100</f>
        <v>44873.96</v>
      </c>
      <c r="T109" s="23" t="str">
        <f>IF(Raw_Data!R100="","Unknown",IF(ISNUMBER(SEARCH("ACT",UPPER(Raw_Data!R100))),"Active",IF(ISNUMBER(SEARCH("CLOS",UPPER(Raw_Data!R100))),"Closed","None")))</f>
        <v>None</v>
      </c>
      <c r="U109" s="24">
        <f>IF(Raw_Data!S100="",$C$8,VALUE(Raw_Data!S100))</f>
        <v>817</v>
      </c>
      <c r="V109" s="23" t="str">
        <f>IF(Raw_Data!S100="","Missing-Imputed","Original")</f>
        <v>Original</v>
      </c>
      <c r="W109" s="24">
        <f>Raw_Data!T100</f>
        <v>100</v>
      </c>
      <c r="X109" s="23" t="str">
        <f>IF(ISNUMBER(SEARCH("Y",UPPER(TRIM(Raw_Data!U100)))),"Yes","No")</f>
        <v>Yes</v>
      </c>
      <c r="Y109" s="23" t="str">
        <f>IF(ISNUMBER(SEARCH("Y",UPPER(TRIM(Raw_Data!V100)))),"Yes","No")</f>
        <v>No</v>
      </c>
      <c r="Z109" s="24">
        <f>Raw_Data!W100</f>
        <v>2</v>
      </c>
      <c r="AA109" s="24">
        <f>Raw_Data!X100</f>
        <v>3</v>
      </c>
      <c r="AB109" s="23" t="str">
        <f>IF(COUNTIFS(Raw_Data!$A$2:$A$616,Raw_Data!A100)&gt;1,"Duplicate","Unique")</f>
        <v>Unique</v>
      </c>
      <c r="AC109" s="23" t="str">
        <f t="shared" si="5"/>
        <v>Clean</v>
      </c>
    </row>
    <row r="110" spans="1:29" ht="15" customHeight="1">
      <c r="A110" s="25" t="str">
        <f>Raw_Data!A101</f>
        <v>BYJ1100</v>
      </c>
      <c r="B110" s="25" t="str">
        <f>Raw_Data!B101</f>
        <v>Vihaan Rajagopal</v>
      </c>
      <c r="C110" s="26">
        <f>IF(OR(Raw_Data!C101="",Raw_Data!C101&lt;$C$5,Raw_Data!C101&gt;$C$6),$C$4,Raw_Data!C101)</f>
        <v>31</v>
      </c>
      <c r="D110" s="25" t="str">
        <f>IF(Raw_Data!C101="","Missing-Imputed",IF(OR(Raw_Data!C101&lt;$C$5,Raw_Data!C101&gt;$C$6),"Outlier-Imputed","Original"))</f>
        <v>Original</v>
      </c>
      <c r="E110" s="25" t="str">
        <f>IF(OR(UPPER(TRIM(Raw_Data!D101))="M",UPPER(TRIM(Raw_Data!D101))="MALE"),"Male","Female")</f>
        <v>Female</v>
      </c>
      <c r="F110" s="25" t="str">
        <f>PROPER(TRIM(Raw_Data!E101))</f>
        <v>Kakinada</v>
      </c>
      <c r="G110" s="25" t="str">
        <f>PROPER(TRIM(Raw_Data!F101))</f>
        <v>Delhi</v>
      </c>
      <c r="H110" s="25" t="str">
        <f>PROPER(TRIM(Raw_Data!G101))</f>
        <v>Mathematics</v>
      </c>
      <c r="I110" s="25" t="str">
        <f>PROPER(TRIM(Raw_Data!H101))</f>
        <v>Delhi North</v>
      </c>
      <c r="J110" s="26">
        <f>IF(LEN(TRIM(Raw_Data!I101))=4,VALUE(TRIM(Raw_Data!I101)),IF(ISNUMBER(IFERROR(VALUE(MID(TRIM(Raw_Data!I101),1,4)),"NA")),VALUE(MID(TRIM(Raw_Data!I101),1,4)),VALUE(RIGHT(TRIM(Raw_Data!I101),4))))</f>
        <v>2018</v>
      </c>
      <c r="K110" s="25" t="str">
        <f>PROPER(TRIM(Raw_Data!J101))</f>
        <v>Salaried</v>
      </c>
      <c r="L110" s="25" t="str">
        <f t="shared" si="3"/>
        <v>20+</v>
      </c>
      <c r="M110" s="25" t="str">
        <f t="shared" si="4"/>
        <v>Adult Learners</v>
      </c>
      <c r="N110" s="25" t="str">
        <f>IF(ISNUMBER(SEARCH("NON",UPPER(Raw_Data!M101))),"Non-Premium Learner","Premium Learner")</f>
        <v>Premium Learner</v>
      </c>
      <c r="O110" s="25" t="str">
        <f>PROPER(TRIM(Raw_Data!N101))</f>
        <v>Web Only</v>
      </c>
      <c r="P110" s="26">
        <f>IF(Raw_Data!O101="",$C$7,Raw_Data!O101)</f>
        <v>22506.83</v>
      </c>
      <c r="Q110" s="25" t="str">
        <f>IF(Raw_Data!O101="","Missing-Imputed","Original")</f>
        <v>Original</v>
      </c>
      <c r="R110" s="26">
        <f>Raw_Data!P101</f>
        <v>62.8</v>
      </c>
      <c r="S110" s="26">
        <f>Raw_Data!Q101</f>
        <v>27115.02</v>
      </c>
      <c r="T110" s="25" t="str">
        <f>IF(Raw_Data!R101="","Unknown",IF(ISNUMBER(SEARCH("ACT",UPPER(Raw_Data!R101))),"Active",IF(ISNUMBER(SEARCH("CLOS",UPPER(Raw_Data!R101))),"Closed","None")))</f>
        <v>Closed</v>
      </c>
      <c r="U110" s="26">
        <f>IF(Raw_Data!S101="",$C$8,VALUE(Raw_Data!S101))</f>
        <v>422</v>
      </c>
      <c r="V110" s="25" t="str">
        <f>IF(Raw_Data!S101="","Missing-Imputed","Original")</f>
        <v>Original</v>
      </c>
      <c r="W110" s="26">
        <f>Raw_Data!T101</f>
        <v>175</v>
      </c>
      <c r="X110" s="25" t="str">
        <f>IF(ISNUMBER(SEARCH("Y",UPPER(TRIM(Raw_Data!U101)))),"Yes","No")</f>
        <v>No</v>
      </c>
      <c r="Y110" s="25" t="str">
        <f>IF(ISNUMBER(SEARCH("Y",UPPER(TRIM(Raw_Data!V101)))),"Yes","No")</f>
        <v>Yes</v>
      </c>
      <c r="Z110" s="26">
        <f>Raw_Data!W101</f>
        <v>2</v>
      </c>
      <c r="AA110" s="26">
        <f>Raw_Data!X101</f>
        <v>1.3</v>
      </c>
      <c r="AB110" s="25" t="str">
        <f>IF(COUNTIFS(Raw_Data!$A$2:$A$616,Raw_Data!A101)&gt;1,"Duplicate","Unique")</f>
        <v>Unique</v>
      </c>
      <c r="AC110" s="25" t="str">
        <f t="shared" si="5"/>
        <v>Clean</v>
      </c>
    </row>
    <row r="111" spans="1:29" ht="15" customHeight="1">
      <c r="A111" s="23" t="str">
        <f>Raw_Data!A102</f>
        <v>BYJ1101</v>
      </c>
      <c r="B111" s="23" t="str">
        <f>Raw_Data!B102</f>
        <v>Oeshi Reddy</v>
      </c>
      <c r="C111" s="24">
        <f>IF(OR(Raw_Data!C102="",Raw_Data!C102&lt;$C$5,Raw_Data!C102&gt;$C$6),$C$4,Raw_Data!C102)</f>
        <v>38</v>
      </c>
      <c r="D111" s="23" t="str">
        <f>IF(Raw_Data!C102="","Missing-Imputed",IF(OR(Raw_Data!C102&lt;$C$5,Raw_Data!C102&gt;$C$6),"Outlier-Imputed","Original"))</f>
        <v>Original</v>
      </c>
      <c r="E111" s="23" t="str">
        <f>IF(OR(UPPER(TRIM(Raw_Data!D102))="M",UPPER(TRIM(Raw_Data!D102))="MALE"),"Male","Female")</f>
        <v>Male</v>
      </c>
      <c r="F111" s="23" t="str">
        <f>PROPER(TRIM(Raw_Data!E102))</f>
        <v>Hosur</v>
      </c>
      <c r="G111" s="23" t="str">
        <f>PROPER(TRIM(Raw_Data!F102))</f>
        <v>Maharashtra</v>
      </c>
      <c r="H111" s="23" t="str">
        <f>PROPER(TRIM(Raw_Data!G102))</f>
        <v>Coding</v>
      </c>
      <c r="I111" s="23" t="str">
        <f>PROPER(TRIM(Raw_Data!H102))</f>
        <v>Kolkata Main</v>
      </c>
      <c r="J111" s="24">
        <f>IF(LEN(TRIM(Raw_Data!I102))=4,VALUE(TRIM(Raw_Data!I102)),IF(ISNUMBER(IFERROR(VALUE(MID(TRIM(Raw_Data!I102),1,4)),"NA")),VALUE(MID(TRIM(Raw_Data!I102),1,4)),VALUE(RIGHT(TRIM(Raw_Data!I102),4))))</f>
        <v>2023</v>
      </c>
      <c r="K111" s="23" t="str">
        <f>PROPER(TRIM(Raw_Data!J102))</f>
        <v>Salaried</v>
      </c>
      <c r="L111" s="23" t="str">
        <f t="shared" si="3"/>
        <v>20+</v>
      </c>
      <c r="M111" s="23" t="str">
        <f t="shared" si="4"/>
        <v>Adult Learners</v>
      </c>
      <c r="N111" s="23" t="str">
        <f>IF(ISNUMBER(SEARCH("NON",UPPER(Raw_Data!M102))),"Non-Premium Learner","Premium Learner")</f>
        <v>Non-Premium Learner</v>
      </c>
      <c r="O111" s="23" t="str">
        <f>PROPER(TRIM(Raw_Data!N102))</f>
        <v>App Only</v>
      </c>
      <c r="P111" s="24">
        <f>IF(Raw_Data!O102="",$C$7,Raw_Data!O102)</f>
        <v>22610.720000000001</v>
      </c>
      <c r="Q111" s="23" t="str">
        <f>IF(Raw_Data!O102="","Missing-Imputed","Original")</f>
        <v>Original</v>
      </c>
      <c r="R111" s="24">
        <f>Raw_Data!P102</f>
        <v>63.6</v>
      </c>
      <c r="S111" s="24">
        <f>Raw_Data!Q102</f>
        <v>13337.29</v>
      </c>
      <c r="T111" s="23" t="str">
        <f>IF(Raw_Data!R102="","Unknown",IF(ISNUMBER(SEARCH("ACT",UPPER(Raw_Data!R102))),"Active",IF(ISNUMBER(SEARCH("CLOS",UPPER(Raw_Data!R102))),"Closed","None")))</f>
        <v>Active</v>
      </c>
      <c r="U111" s="24">
        <f>IF(Raw_Data!S102="",$C$8,VALUE(Raw_Data!S102))</f>
        <v>681</v>
      </c>
      <c r="V111" s="23" t="str">
        <f>IF(Raw_Data!S102="","Missing-Imputed","Original")</f>
        <v>Original</v>
      </c>
      <c r="W111" s="24">
        <f>Raw_Data!T102</f>
        <v>165</v>
      </c>
      <c r="X111" s="23" t="str">
        <f>IF(ISNUMBER(SEARCH("Y",UPPER(TRIM(Raw_Data!U102)))),"Yes","No")</f>
        <v>Yes</v>
      </c>
      <c r="Y111" s="23" t="str">
        <f>IF(ISNUMBER(SEARCH("Y",UPPER(TRIM(Raw_Data!V102)))),"Yes","No")</f>
        <v>Yes</v>
      </c>
      <c r="Z111" s="24">
        <f>Raw_Data!W102</f>
        <v>1</v>
      </c>
      <c r="AA111" s="24">
        <f>Raw_Data!X102</f>
        <v>2.2000000000000002</v>
      </c>
      <c r="AB111" s="23" t="str">
        <f>IF(COUNTIFS(Raw_Data!$A$2:$A$616,Raw_Data!A102)&gt;1,"Duplicate","Unique")</f>
        <v>Unique</v>
      </c>
      <c r="AC111" s="23" t="str">
        <f t="shared" si="5"/>
        <v>Clean</v>
      </c>
    </row>
    <row r="112" spans="1:29" ht="15" customHeight="1">
      <c r="A112" s="25" t="str">
        <f>Raw_Data!A103</f>
        <v>BYJ1102</v>
      </c>
      <c r="B112" s="25" t="str">
        <f>Raw_Data!B103</f>
        <v>Ojasvi Bhatia</v>
      </c>
      <c r="C112" s="26">
        <f>IF(OR(Raw_Data!C103="",Raw_Data!C103&lt;$C$5,Raw_Data!C103&gt;$C$6),$C$4,Raw_Data!C103)</f>
        <v>11</v>
      </c>
      <c r="D112" s="25" t="str">
        <f>IF(Raw_Data!C103="","Missing-Imputed",IF(OR(Raw_Data!C103&lt;$C$5,Raw_Data!C103&gt;$C$6),"Outlier-Imputed","Original"))</f>
        <v>Original</v>
      </c>
      <c r="E112" s="25" t="str">
        <f>IF(OR(UPPER(TRIM(Raw_Data!D103))="M",UPPER(TRIM(Raw_Data!D103))="MALE"),"Male","Female")</f>
        <v>Female</v>
      </c>
      <c r="F112" s="25" t="str">
        <f>PROPER(TRIM(Raw_Data!E103))</f>
        <v>Bidar</v>
      </c>
      <c r="G112" s="25" t="str">
        <f>PROPER(TRIM(Raw_Data!F103))</f>
        <v>Rajasthan</v>
      </c>
      <c r="H112" s="25" t="str">
        <f>PROPER(TRIM(Raw_Data!G103))</f>
        <v>Coding</v>
      </c>
      <c r="I112" s="25" t="str">
        <f>PROPER(TRIM(Raw_Data!H103))</f>
        <v>Mumbai West</v>
      </c>
      <c r="J112" s="26">
        <f>IF(LEN(TRIM(Raw_Data!I103))=4,VALUE(TRIM(Raw_Data!I103)),IF(ISNUMBER(IFERROR(VALUE(MID(TRIM(Raw_Data!I103),1,4)),"NA")),VALUE(MID(TRIM(Raw_Data!I103),1,4)),VALUE(RIGHT(TRIM(Raw_Data!I103),4))))</f>
        <v>2025</v>
      </c>
      <c r="K112" s="25" t="str">
        <f>PROPER(TRIM(Raw_Data!J103))</f>
        <v>Self-Employed</v>
      </c>
      <c r="L112" s="25" t="str">
        <f t="shared" si="3"/>
        <v>10-13</v>
      </c>
      <c r="M112" s="25" t="str">
        <f t="shared" si="4"/>
        <v>Kids</v>
      </c>
      <c r="N112" s="25" t="str">
        <f>IF(ISNUMBER(SEARCH("NON",UPPER(Raw_Data!M103))),"Non-Premium Learner","Premium Learner")</f>
        <v>Premium Learner</v>
      </c>
      <c r="O112" s="25" t="str">
        <f>PROPER(TRIM(Raw_Data!N103))</f>
        <v>App Only</v>
      </c>
      <c r="P112" s="26">
        <f>IF(Raw_Data!O103="",$C$7,Raw_Data!O103)</f>
        <v>56321.77</v>
      </c>
      <c r="Q112" s="25" t="str">
        <f>IF(Raw_Data!O103="","Missing-Imputed","Original")</f>
        <v>Original</v>
      </c>
      <c r="R112" s="26">
        <f>Raw_Data!P103</f>
        <v>25.6</v>
      </c>
      <c r="S112" s="26">
        <f>Raw_Data!Q103</f>
        <v>26760.69</v>
      </c>
      <c r="T112" s="25" t="str">
        <f>IF(Raw_Data!R103="","Unknown",IF(ISNUMBER(SEARCH("ACT",UPPER(Raw_Data!R103))),"Active",IF(ISNUMBER(SEARCH("CLOS",UPPER(Raw_Data!R103))),"Closed","None")))</f>
        <v>Active</v>
      </c>
      <c r="U112" s="26">
        <f>IF(Raw_Data!S103="",$C$8,VALUE(Raw_Data!S103))</f>
        <v>551</v>
      </c>
      <c r="V112" s="25" t="str">
        <f>IF(Raw_Data!S103="","Missing-Imputed","Original")</f>
        <v>Original</v>
      </c>
      <c r="W112" s="26">
        <f>Raw_Data!T103</f>
        <v>127</v>
      </c>
      <c r="X112" s="25" t="str">
        <f>IF(ISNUMBER(SEARCH("Y",UPPER(TRIM(Raw_Data!U103)))),"Yes","No")</f>
        <v>No</v>
      </c>
      <c r="Y112" s="25" t="str">
        <f>IF(ISNUMBER(SEARCH("Y",UPPER(TRIM(Raw_Data!V103)))),"Yes","No")</f>
        <v>Yes</v>
      </c>
      <c r="Z112" s="26">
        <f>Raw_Data!W103</f>
        <v>3</v>
      </c>
      <c r="AA112" s="26">
        <f>Raw_Data!X103</f>
        <v>3.8</v>
      </c>
      <c r="AB112" s="25" t="str">
        <f>IF(COUNTIFS(Raw_Data!$A$2:$A$616,Raw_Data!A103)&gt;1,"Duplicate","Unique")</f>
        <v>Unique</v>
      </c>
      <c r="AC112" s="25" t="str">
        <f t="shared" si="5"/>
        <v>Clean</v>
      </c>
    </row>
    <row r="113" spans="1:29" ht="15" customHeight="1">
      <c r="A113" s="23" t="str">
        <f>Raw_Data!A104</f>
        <v>BYJ1103</v>
      </c>
      <c r="B113" s="23" t="str">
        <f>Raw_Data!B104</f>
        <v>Anmol Rai</v>
      </c>
      <c r="C113" s="24">
        <f>IF(OR(Raw_Data!C104="",Raw_Data!C104&lt;$C$5,Raw_Data!C104&gt;$C$6),$C$4,Raw_Data!C104)</f>
        <v>39</v>
      </c>
      <c r="D113" s="23" t="str">
        <f>IF(Raw_Data!C104="","Missing-Imputed",IF(OR(Raw_Data!C104&lt;$C$5,Raw_Data!C104&gt;$C$6),"Outlier-Imputed","Original"))</f>
        <v>Original</v>
      </c>
      <c r="E113" s="23" t="str">
        <f>IF(OR(UPPER(TRIM(Raw_Data!D104))="M",UPPER(TRIM(Raw_Data!D104))="MALE"),"Male","Female")</f>
        <v>Male</v>
      </c>
      <c r="F113" s="23" t="str">
        <f>PROPER(TRIM(Raw_Data!E104))</f>
        <v>Chennai</v>
      </c>
      <c r="G113" s="23" t="str">
        <f>PROPER(TRIM(Raw_Data!F104))</f>
        <v>West Bengal</v>
      </c>
      <c r="H113" s="23" t="str">
        <f>PROPER(TRIM(Raw_Data!G104))</f>
        <v>Neet Prep</v>
      </c>
      <c r="I113" s="23" t="str">
        <f>PROPER(TRIM(Raw_Data!H104))</f>
        <v>Ahmedabad Center</v>
      </c>
      <c r="J113" s="24">
        <f>IF(LEN(TRIM(Raw_Data!I104))=4,VALUE(TRIM(Raw_Data!I104)),IF(ISNUMBER(IFERROR(VALUE(MID(TRIM(Raw_Data!I104),1,4)),"NA")),VALUE(MID(TRIM(Raw_Data!I104),1,4)),VALUE(RIGHT(TRIM(Raw_Data!I104),4))))</f>
        <v>2024</v>
      </c>
      <c r="K113" s="23" t="str">
        <f>PROPER(TRIM(Raw_Data!J104))</f>
        <v>Self-Employed</v>
      </c>
      <c r="L113" s="23" t="str">
        <f t="shared" si="3"/>
        <v>20+</v>
      </c>
      <c r="M113" s="23" t="str">
        <f t="shared" si="4"/>
        <v>Adult Learners</v>
      </c>
      <c r="N113" s="23" t="str">
        <f>IF(ISNUMBER(SEARCH("NON",UPPER(Raw_Data!M104))),"Non-Premium Learner","Premium Learner")</f>
        <v>Premium Learner</v>
      </c>
      <c r="O113" s="23" t="str">
        <f>PROPER(TRIM(Raw_Data!N104))</f>
        <v>Both App &amp; Web</v>
      </c>
      <c r="P113" s="24">
        <f>IF(Raw_Data!O104="",$C$7,Raw_Data!O104)</f>
        <v>36757.93</v>
      </c>
      <c r="Q113" s="23" t="str">
        <f>IF(Raw_Data!O104="","Missing-Imputed","Original")</f>
        <v>Original</v>
      </c>
      <c r="R113" s="24">
        <f>Raw_Data!P104</f>
        <v>63.4</v>
      </c>
      <c r="S113" s="24">
        <f>Raw_Data!Q104</f>
        <v>3515.47</v>
      </c>
      <c r="T113" s="23" t="str">
        <f>IF(Raw_Data!R104="","Unknown",IF(ISNUMBER(SEARCH("ACT",UPPER(Raw_Data!R104))),"Active",IF(ISNUMBER(SEARCH("CLOS",UPPER(Raw_Data!R104))),"Closed","None")))</f>
        <v>Closed</v>
      </c>
      <c r="U113" s="24">
        <f>IF(Raw_Data!S104="",$C$8,VALUE(Raw_Data!S104))</f>
        <v>666</v>
      </c>
      <c r="V113" s="23" t="str">
        <f>IF(Raw_Data!S104="","Missing-Imputed","Original")</f>
        <v>Original</v>
      </c>
      <c r="W113" s="24">
        <f>Raw_Data!T104</f>
        <v>59</v>
      </c>
      <c r="X113" s="23" t="str">
        <f>IF(ISNUMBER(SEARCH("Y",UPPER(TRIM(Raw_Data!U104)))),"Yes","No")</f>
        <v>Yes</v>
      </c>
      <c r="Y113" s="23" t="str">
        <f>IF(ISNUMBER(SEARCH("Y",UPPER(TRIM(Raw_Data!V104)))),"Yes","No")</f>
        <v>Yes</v>
      </c>
      <c r="Z113" s="24">
        <f>Raw_Data!W104</f>
        <v>3</v>
      </c>
      <c r="AA113" s="24">
        <f>Raw_Data!X104</f>
        <v>5</v>
      </c>
      <c r="AB113" s="23" t="str">
        <f>IF(COUNTIFS(Raw_Data!$A$2:$A$616,Raw_Data!A104)&gt;1,"Duplicate","Unique")</f>
        <v>Duplicate</v>
      </c>
      <c r="AC113" s="23" t="str">
        <f t="shared" si="5"/>
        <v>Review-Duplicate</v>
      </c>
    </row>
    <row r="114" spans="1:29" ht="15" customHeight="1">
      <c r="A114" s="25" t="str">
        <f>Raw_Data!A105</f>
        <v>BYJ1104</v>
      </c>
      <c r="B114" s="25" t="str">
        <f>Raw_Data!B105</f>
        <v>Chanchal Ramakrishnan</v>
      </c>
      <c r="C114" s="26">
        <f>IF(OR(Raw_Data!C105="",Raw_Data!C105&lt;$C$5,Raw_Data!C105&gt;$C$6),$C$4,Raw_Data!C105)</f>
        <v>20</v>
      </c>
      <c r="D114" s="25" t="str">
        <f>IF(Raw_Data!C105="","Missing-Imputed",IF(OR(Raw_Data!C105&lt;$C$5,Raw_Data!C105&gt;$C$6),"Outlier-Imputed","Original"))</f>
        <v>Original</v>
      </c>
      <c r="E114" s="25" t="str">
        <f>IF(OR(UPPER(TRIM(Raw_Data!D105))="M",UPPER(TRIM(Raw_Data!D105))="MALE"),"Male","Female")</f>
        <v>Female</v>
      </c>
      <c r="F114" s="25" t="str">
        <f>PROPER(TRIM(Raw_Data!E105))</f>
        <v>Siwan</v>
      </c>
      <c r="G114" s="25" t="str">
        <f>PROPER(TRIM(Raw_Data!F105))</f>
        <v>Maharashtra</v>
      </c>
      <c r="H114" s="25" t="str">
        <f>PROPER(TRIM(Raw_Data!G105))</f>
        <v>Science</v>
      </c>
      <c r="I114" s="25" t="str">
        <f>PROPER(TRIM(Raw_Data!H105))</f>
        <v>Delhi North</v>
      </c>
      <c r="J114" s="26">
        <f>IF(LEN(TRIM(Raw_Data!I105))=4,VALUE(TRIM(Raw_Data!I105)),IF(ISNUMBER(IFERROR(VALUE(MID(TRIM(Raw_Data!I105),1,4)),"NA")),VALUE(MID(TRIM(Raw_Data!I105),1,4)),VALUE(RIGHT(TRIM(Raw_Data!I105),4))))</f>
        <v>2025</v>
      </c>
      <c r="K114" s="25" t="str">
        <f>PROPER(TRIM(Raw_Data!J105))</f>
        <v>Government Employee</v>
      </c>
      <c r="L114" s="25" t="str">
        <f t="shared" si="3"/>
        <v>20+</v>
      </c>
      <c r="M114" s="25" t="str">
        <f t="shared" si="4"/>
        <v>Adult Learners</v>
      </c>
      <c r="N114" s="25" t="str">
        <f>IF(ISNUMBER(SEARCH("NON",UPPER(Raw_Data!M105))),"Non-Premium Learner","Premium Learner")</f>
        <v>Premium Learner</v>
      </c>
      <c r="O114" s="25" t="str">
        <f>PROPER(TRIM(Raw_Data!N105))</f>
        <v>Both App &amp; Web</v>
      </c>
      <c r="P114" s="26">
        <f>IF(Raw_Data!O105="",$C$7,Raw_Data!O105)</f>
        <v>86722.94</v>
      </c>
      <c r="Q114" s="25" t="str">
        <f>IF(Raw_Data!O105="","Missing-Imputed","Original")</f>
        <v>Original</v>
      </c>
      <c r="R114" s="26">
        <f>Raw_Data!P105</f>
        <v>19.100000000000001</v>
      </c>
      <c r="S114" s="26">
        <f>Raw_Data!Q105</f>
        <v>59280.37</v>
      </c>
      <c r="T114" s="25" t="str">
        <f>IF(Raw_Data!R105="","Unknown",IF(ISNUMBER(SEARCH("ACT",UPPER(Raw_Data!R105))),"Active",IF(ISNUMBER(SEARCH("CLOS",UPPER(Raw_Data!R105))),"Closed","None")))</f>
        <v>Closed</v>
      </c>
      <c r="U114" s="26">
        <f>IF(Raw_Data!S105="",$C$8,VALUE(Raw_Data!S105))</f>
        <v>616</v>
      </c>
      <c r="V114" s="25" t="str">
        <f>IF(Raw_Data!S105="","Missing-Imputed","Original")</f>
        <v>Original</v>
      </c>
      <c r="W114" s="26">
        <f>Raw_Data!T105</f>
        <v>9</v>
      </c>
      <c r="X114" s="25" t="str">
        <f>IF(ISNUMBER(SEARCH("Y",UPPER(TRIM(Raw_Data!U105)))),"Yes","No")</f>
        <v>Yes</v>
      </c>
      <c r="Y114" s="25" t="str">
        <f>IF(ISNUMBER(SEARCH("Y",UPPER(TRIM(Raw_Data!V105)))),"Yes","No")</f>
        <v>Yes</v>
      </c>
      <c r="Z114" s="26">
        <f>Raw_Data!W105</f>
        <v>1</v>
      </c>
      <c r="AA114" s="26">
        <f>Raw_Data!X105</f>
        <v>5</v>
      </c>
      <c r="AB114" s="25" t="str">
        <f>IF(COUNTIFS(Raw_Data!$A$2:$A$616,Raw_Data!A105)&gt;1,"Duplicate","Unique")</f>
        <v>Unique</v>
      </c>
      <c r="AC114" s="25" t="str">
        <f t="shared" si="5"/>
        <v>Clean</v>
      </c>
    </row>
    <row r="115" spans="1:29" ht="15" customHeight="1">
      <c r="A115" s="23" t="str">
        <f>Raw_Data!A106</f>
        <v>BYJ1105</v>
      </c>
      <c r="B115" s="23" t="str">
        <f>Raw_Data!B106</f>
        <v xml:space="preserve">  Vinaya Kanda  </v>
      </c>
      <c r="C115" s="24">
        <f>IF(OR(Raw_Data!C106="",Raw_Data!C106&lt;$C$5,Raw_Data!C106&gt;$C$6),$C$4,Raw_Data!C106)</f>
        <v>18</v>
      </c>
      <c r="D115" s="23" t="str">
        <f>IF(Raw_Data!C106="","Missing-Imputed",IF(OR(Raw_Data!C106&lt;$C$5,Raw_Data!C106&gt;$C$6),"Outlier-Imputed","Original"))</f>
        <v>Original</v>
      </c>
      <c r="E115" s="23" t="str">
        <f>IF(OR(UPPER(TRIM(Raw_Data!D106))="M",UPPER(TRIM(Raw_Data!D106))="MALE"),"Male","Female")</f>
        <v>Male</v>
      </c>
      <c r="F115" s="23" t="str">
        <f>PROPER(TRIM(Raw_Data!E106))</f>
        <v>Junagadh</v>
      </c>
      <c r="G115" s="23" t="str">
        <f>PROPER(TRIM(Raw_Data!F106))</f>
        <v>Gujarat</v>
      </c>
      <c r="H115" s="23" t="str">
        <f>PROPER(TRIM(Raw_Data!G106))</f>
        <v>Coding</v>
      </c>
      <c r="I115" s="23" t="str">
        <f>PROPER(TRIM(Raw_Data!H106))</f>
        <v>Chennai Central</v>
      </c>
      <c r="J115" s="24">
        <f>IF(LEN(TRIM(Raw_Data!I106))=4,VALUE(TRIM(Raw_Data!I106)),IF(ISNUMBER(IFERROR(VALUE(MID(TRIM(Raw_Data!I106),1,4)),"NA")),VALUE(MID(TRIM(Raw_Data!I106),1,4)),VALUE(RIGHT(TRIM(Raw_Data!I106),4))))</f>
        <v>2018</v>
      </c>
      <c r="K115" s="23" t="str">
        <f>PROPER(TRIM(Raw_Data!J106))</f>
        <v>Salaried</v>
      </c>
      <c r="L115" s="23" t="str">
        <f t="shared" si="3"/>
        <v>17-19</v>
      </c>
      <c r="M115" s="23" t="str">
        <f t="shared" si="4"/>
        <v>Teens</v>
      </c>
      <c r="N115" s="23" t="str">
        <f>IF(ISNUMBER(SEARCH("NON",UPPER(Raw_Data!M106))),"Non-Premium Learner","Premium Learner")</f>
        <v>Non-Premium Learner</v>
      </c>
      <c r="O115" s="23" t="str">
        <f>PROPER(TRIM(Raw_Data!N106))</f>
        <v>App Only</v>
      </c>
      <c r="P115" s="24">
        <f>IF(Raw_Data!O106="",$C$7,Raw_Data!O106)</f>
        <v>59170.66</v>
      </c>
      <c r="Q115" s="23" t="str">
        <f>IF(Raw_Data!O106="","Missing-Imputed","Original")</f>
        <v>Original</v>
      </c>
      <c r="R115" s="24">
        <f>Raw_Data!P106</f>
        <v>34.700000000000003</v>
      </c>
      <c r="S115" s="24">
        <f>Raw_Data!Q106</f>
        <v>6061.93</v>
      </c>
      <c r="T115" s="23" t="str">
        <f>IF(Raw_Data!R106="","Unknown",IF(ISNUMBER(SEARCH("ACT",UPPER(Raw_Data!R106))),"Active",IF(ISNUMBER(SEARCH("CLOS",UPPER(Raw_Data!R106))),"Closed","None")))</f>
        <v>Closed</v>
      </c>
      <c r="U115" s="24">
        <f>IF(Raw_Data!S106="",$C$8,VALUE(Raw_Data!S106))</f>
        <v>439</v>
      </c>
      <c r="V115" s="23" t="str">
        <f>IF(Raw_Data!S106="","Missing-Imputed","Original")</f>
        <v>Original</v>
      </c>
      <c r="W115" s="24">
        <f>Raw_Data!T106</f>
        <v>187</v>
      </c>
      <c r="X115" s="23" t="str">
        <f>IF(ISNUMBER(SEARCH("Y",UPPER(TRIM(Raw_Data!U106)))),"Yes","No")</f>
        <v>No</v>
      </c>
      <c r="Y115" s="23" t="str">
        <f>IF(ISNUMBER(SEARCH("Y",UPPER(TRIM(Raw_Data!V106)))),"Yes","No")</f>
        <v>No</v>
      </c>
      <c r="Z115" s="24">
        <f>Raw_Data!W106</f>
        <v>5</v>
      </c>
      <c r="AA115" s="24">
        <f>Raw_Data!X106</f>
        <v>6.4</v>
      </c>
      <c r="AB115" s="23" t="str">
        <f>IF(COUNTIFS(Raw_Data!$A$2:$A$616,Raw_Data!A106)&gt;1,"Duplicate","Unique")</f>
        <v>Duplicate</v>
      </c>
      <c r="AC115" s="23" t="str">
        <f t="shared" si="5"/>
        <v>Review-Duplicate</v>
      </c>
    </row>
    <row r="116" spans="1:29" ht="15" customHeight="1">
      <c r="A116" s="25" t="str">
        <f>Raw_Data!A107</f>
        <v>BYJ1106</v>
      </c>
      <c r="B116" s="25" t="str">
        <f>Raw_Data!B107</f>
        <v>Ayush Ramachandran</v>
      </c>
      <c r="C116" s="26">
        <f>IF(OR(Raw_Data!C107="",Raw_Data!C107&lt;$C$5,Raw_Data!C107&gt;$C$6),$C$4,Raw_Data!C107)</f>
        <v>20</v>
      </c>
      <c r="D116" s="25" t="str">
        <f>IF(Raw_Data!C107="","Missing-Imputed",IF(OR(Raw_Data!C107&lt;$C$5,Raw_Data!C107&gt;$C$6),"Outlier-Imputed","Original"))</f>
        <v>Original</v>
      </c>
      <c r="E116" s="25" t="str">
        <f>IF(OR(UPPER(TRIM(Raw_Data!D107))="M",UPPER(TRIM(Raw_Data!D107))="MALE"),"Male","Female")</f>
        <v>Male</v>
      </c>
      <c r="F116" s="25" t="str">
        <f>PROPER(TRIM(Raw_Data!E107))</f>
        <v>Machilipatnam</v>
      </c>
      <c r="G116" s="25" t="str">
        <f>PROPER(TRIM(Raw_Data!F107))</f>
        <v>Telangana</v>
      </c>
      <c r="H116" s="25" t="str">
        <f>PROPER(TRIM(Raw_Data!G107))</f>
        <v>Science</v>
      </c>
      <c r="I116" s="25" t="str">
        <f>PROPER(TRIM(Raw_Data!H107))</f>
        <v>Mumbai West</v>
      </c>
      <c r="J116" s="26">
        <f>IF(LEN(TRIM(Raw_Data!I107))=4,VALUE(TRIM(Raw_Data!I107)),IF(ISNUMBER(IFERROR(VALUE(MID(TRIM(Raw_Data!I107),1,4)),"NA")),VALUE(MID(TRIM(Raw_Data!I107),1,4)),VALUE(RIGHT(TRIM(Raw_Data!I107),4))))</f>
        <v>2016</v>
      </c>
      <c r="K116" s="25" t="str">
        <f>PROPER(TRIM(Raw_Data!J107))</f>
        <v>Government Employee</v>
      </c>
      <c r="L116" s="25" t="str">
        <f t="shared" si="3"/>
        <v>20+</v>
      </c>
      <c r="M116" s="25" t="str">
        <f t="shared" si="4"/>
        <v>Adult Learners</v>
      </c>
      <c r="N116" s="25" t="str">
        <f>IF(ISNUMBER(SEARCH("NON",UPPER(Raw_Data!M107))),"Non-Premium Learner","Premium Learner")</f>
        <v>Premium Learner</v>
      </c>
      <c r="O116" s="25" t="str">
        <f>PROPER(TRIM(Raw_Data!N107))</f>
        <v>Both App &amp; Web</v>
      </c>
      <c r="P116" s="26">
        <f>IF(Raw_Data!O107="",$C$7,Raw_Data!O107)</f>
        <v>37029.81</v>
      </c>
      <c r="Q116" s="25" t="str">
        <f>IF(Raw_Data!O107="","Missing-Imputed","Original")</f>
        <v>Original</v>
      </c>
      <c r="R116" s="26">
        <f>Raw_Data!P107</f>
        <v>75.3</v>
      </c>
      <c r="S116" s="26">
        <f>Raw_Data!Q107</f>
        <v>8438.6</v>
      </c>
      <c r="T116" s="25" t="str">
        <f>IF(Raw_Data!R107="","Unknown",IF(ISNUMBER(SEARCH("ACT",UPPER(Raw_Data!R107))),"Active",IF(ISNUMBER(SEARCH("CLOS",UPPER(Raw_Data!R107))),"Closed","None")))</f>
        <v>None</v>
      </c>
      <c r="U116" s="26">
        <f>IF(Raw_Data!S107="",$C$8,VALUE(Raw_Data!S107))</f>
        <v>543</v>
      </c>
      <c r="V116" s="25" t="str">
        <f>IF(Raw_Data!S107="","Missing-Imputed","Original")</f>
        <v>Original</v>
      </c>
      <c r="W116" s="26">
        <f>Raw_Data!T107</f>
        <v>81</v>
      </c>
      <c r="X116" s="25" t="str">
        <f>IF(ISNUMBER(SEARCH("Y",UPPER(TRIM(Raw_Data!U107)))),"Yes","No")</f>
        <v>Yes</v>
      </c>
      <c r="Y116" s="25" t="str">
        <f>IF(ISNUMBER(SEARCH("Y",UPPER(TRIM(Raw_Data!V107)))),"Yes","No")</f>
        <v>No</v>
      </c>
      <c r="Z116" s="26">
        <f>Raw_Data!W107</f>
        <v>1</v>
      </c>
      <c r="AA116" s="26">
        <f>Raw_Data!X107</f>
        <v>2.8</v>
      </c>
      <c r="AB116" s="25" t="str">
        <f>IF(COUNTIFS(Raw_Data!$A$2:$A$616,Raw_Data!A107)&gt;1,"Duplicate","Unique")</f>
        <v>Unique</v>
      </c>
      <c r="AC116" s="25" t="str">
        <f t="shared" si="5"/>
        <v>Clean</v>
      </c>
    </row>
    <row r="117" spans="1:29" ht="15" customHeight="1">
      <c r="A117" s="23" t="str">
        <f>Raw_Data!A108</f>
        <v>BYJ1107</v>
      </c>
      <c r="B117" s="23" t="str">
        <f>Raw_Data!B108</f>
        <v>Unni Datta</v>
      </c>
      <c r="C117" s="24">
        <f>IF(OR(Raw_Data!C108="",Raw_Data!C108&lt;$C$5,Raw_Data!C108&gt;$C$6),$C$4,Raw_Data!C108)</f>
        <v>22</v>
      </c>
      <c r="D117" s="23" t="str">
        <f>IF(Raw_Data!C108="","Missing-Imputed",IF(OR(Raw_Data!C108&lt;$C$5,Raw_Data!C108&gt;$C$6),"Outlier-Imputed","Original"))</f>
        <v>Original</v>
      </c>
      <c r="E117" s="23" t="str">
        <f>IF(OR(UPPER(TRIM(Raw_Data!D108))="M",UPPER(TRIM(Raw_Data!D108))="MALE"),"Male","Female")</f>
        <v>Male</v>
      </c>
      <c r="F117" s="23" t="str">
        <f>PROPER(TRIM(Raw_Data!E108))</f>
        <v>Singrauli</v>
      </c>
      <c r="G117" s="23" t="str">
        <f>PROPER(TRIM(Raw_Data!F108))</f>
        <v>Rajasthan</v>
      </c>
      <c r="H117" s="23" t="str">
        <f>PROPER(TRIM(Raw_Data!G108))</f>
        <v>Robotics</v>
      </c>
      <c r="I117" s="23" t="str">
        <f>PROPER(TRIM(Raw_Data!H108))</f>
        <v>Mumbai West</v>
      </c>
      <c r="J117" s="24">
        <f>IF(LEN(TRIM(Raw_Data!I108))=4,VALUE(TRIM(Raw_Data!I108)),IF(ISNUMBER(IFERROR(VALUE(MID(TRIM(Raw_Data!I108),1,4)),"NA")),VALUE(MID(TRIM(Raw_Data!I108),1,4)),VALUE(RIGHT(TRIM(Raw_Data!I108),4))))</f>
        <v>2022</v>
      </c>
      <c r="K117" s="23" t="str">
        <f>PROPER(TRIM(Raw_Data!J108))</f>
        <v>Government Employee</v>
      </c>
      <c r="L117" s="23" t="str">
        <f t="shared" si="3"/>
        <v>20+</v>
      </c>
      <c r="M117" s="23" t="str">
        <f t="shared" si="4"/>
        <v>Adult Learners</v>
      </c>
      <c r="N117" s="23" t="str">
        <f>IF(ISNUMBER(SEARCH("NON",UPPER(Raw_Data!M108))),"Non-Premium Learner","Premium Learner")</f>
        <v>Non-Premium Learner</v>
      </c>
      <c r="O117" s="23" t="str">
        <f>PROPER(TRIM(Raw_Data!N108))</f>
        <v>Both App &amp; Web</v>
      </c>
      <c r="P117" s="24">
        <f>IF(Raw_Data!O108="",$C$7,Raw_Data!O108)</f>
        <v>99390.59</v>
      </c>
      <c r="Q117" s="23" t="str">
        <f>IF(Raw_Data!O108="","Missing-Imputed","Original")</f>
        <v>Original</v>
      </c>
      <c r="R117" s="24">
        <f>Raw_Data!P108</f>
        <v>17.2</v>
      </c>
      <c r="S117" s="24">
        <f>Raw_Data!Q108</f>
        <v>4422.5600000000004</v>
      </c>
      <c r="T117" s="23" t="str">
        <f>IF(Raw_Data!R108="","Unknown",IF(ISNUMBER(SEARCH("ACT",UPPER(Raw_Data!R108))),"Active",IF(ISNUMBER(SEARCH("CLOS",UPPER(Raw_Data!R108))),"Closed","None")))</f>
        <v>Active</v>
      </c>
      <c r="U117" s="24">
        <f>IF(Raw_Data!S108="",$C$8,VALUE(Raw_Data!S108))</f>
        <v>320</v>
      </c>
      <c r="V117" s="23" t="str">
        <f>IF(Raw_Data!S108="","Missing-Imputed","Original")</f>
        <v>Original</v>
      </c>
      <c r="W117" s="24">
        <f>Raw_Data!T108</f>
        <v>26</v>
      </c>
      <c r="X117" s="23" t="str">
        <f>IF(ISNUMBER(SEARCH("Y",UPPER(TRIM(Raw_Data!U108)))),"Yes","No")</f>
        <v>Yes</v>
      </c>
      <c r="Y117" s="23" t="str">
        <f>IF(ISNUMBER(SEARCH("Y",UPPER(TRIM(Raw_Data!V108)))),"Yes","No")</f>
        <v>Yes</v>
      </c>
      <c r="Z117" s="24">
        <f>Raw_Data!W108</f>
        <v>2</v>
      </c>
      <c r="AA117" s="24">
        <f>Raw_Data!X108</f>
        <v>6.7</v>
      </c>
      <c r="AB117" s="23" t="str">
        <f>IF(COUNTIFS(Raw_Data!$A$2:$A$616,Raw_Data!A108)&gt;1,"Duplicate","Unique")</f>
        <v>Unique</v>
      </c>
      <c r="AC117" s="23" t="str">
        <f t="shared" si="5"/>
        <v>Clean</v>
      </c>
    </row>
    <row r="118" spans="1:29" ht="15" customHeight="1">
      <c r="A118" s="25" t="str">
        <f>Raw_Data!A109</f>
        <v>BYJ1108</v>
      </c>
      <c r="B118" s="25" t="str">
        <f>Raw_Data!B109</f>
        <v>Fiyaz Sangha</v>
      </c>
      <c r="C118" s="26">
        <f>IF(OR(Raw_Data!C109="",Raw_Data!C109&lt;$C$5,Raw_Data!C109&gt;$C$6),$C$4,Raw_Data!C109)</f>
        <v>11</v>
      </c>
      <c r="D118" s="25" t="str">
        <f>IF(Raw_Data!C109="","Missing-Imputed",IF(OR(Raw_Data!C109&lt;$C$5,Raw_Data!C109&gt;$C$6),"Outlier-Imputed","Original"))</f>
        <v>Original</v>
      </c>
      <c r="E118" s="25" t="str">
        <f>IF(OR(UPPER(TRIM(Raw_Data!D109))="M",UPPER(TRIM(Raw_Data!D109))="MALE"),"Male","Female")</f>
        <v>Female</v>
      </c>
      <c r="F118" s="25" t="str">
        <f>PROPER(TRIM(Raw_Data!E109))</f>
        <v>Surendranagar Dudhrej</v>
      </c>
      <c r="G118" s="25" t="str">
        <f>PROPER(TRIM(Raw_Data!F109))</f>
        <v>Rajasthan</v>
      </c>
      <c r="H118" s="25" t="str">
        <f>PROPER(TRIM(Raw_Data!G109))</f>
        <v>Coding</v>
      </c>
      <c r="I118" s="25" t="str">
        <f>PROPER(TRIM(Raw_Data!H109))</f>
        <v>Kolkata Main</v>
      </c>
      <c r="J118" s="26">
        <f>IF(LEN(TRIM(Raw_Data!I109))=4,VALUE(TRIM(Raw_Data!I109)),IF(ISNUMBER(IFERROR(VALUE(MID(TRIM(Raw_Data!I109),1,4)),"NA")),VALUE(MID(TRIM(Raw_Data!I109),1,4)),VALUE(RIGHT(TRIM(Raw_Data!I109),4))))</f>
        <v>2018</v>
      </c>
      <c r="K118" s="25" t="str">
        <f>PROPER(TRIM(Raw_Data!J109))</f>
        <v>Salaried</v>
      </c>
      <c r="L118" s="25" t="str">
        <f t="shared" si="3"/>
        <v>10-13</v>
      </c>
      <c r="M118" s="25" t="str">
        <f t="shared" si="4"/>
        <v>Kids</v>
      </c>
      <c r="N118" s="25" t="str">
        <f>IF(ISNUMBER(SEARCH("NON",UPPER(Raw_Data!M109))),"Non-Premium Learner","Premium Learner")</f>
        <v>Premium Learner</v>
      </c>
      <c r="O118" s="25" t="str">
        <f>PROPER(TRIM(Raw_Data!N109))</f>
        <v>App Only</v>
      </c>
      <c r="P118" s="26">
        <f>IF(Raw_Data!O109="",$C$7,Raw_Data!O109)</f>
        <v>64345.58</v>
      </c>
      <c r="Q118" s="25" t="str">
        <f>IF(Raw_Data!O109="","Missing-Imputed","Original")</f>
        <v>Original</v>
      </c>
      <c r="R118" s="26">
        <f>Raw_Data!P109</f>
        <v>74.400000000000006</v>
      </c>
      <c r="S118" s="26">
        <f>Raw_Data!Q109</f>
        <v>32407.53</v>
      </c>
      <c r="T118" s="25" t="str">
        <f>IF(Raw_Data!R109="","Unknown",IF(ISNUMBER(SEARCH("ACT",UPPER(Raw_Data!R109))),"Active",IF(ISNUMBER(SEARCH("CLOS",UPPER(Raw_Data!R109))),"Closed","None")))</f>
        <v>None</v>
      </c>
      <c r="U118" s="26">
        <f>IF(Raw_Data!S109="",$C$8,VALUE(Raw_Data!S109))</f>
        <v>604</v>
      </c>
      <c r="V118" s="25" t="str">
        <f>IF(Raw_Data!S109="","Missing-Imputed","Original")</f>
        <v>Original</v>
      </c>
      <c r="W118" s="26">
        <f>Raw_Data!T109</f>
        <v>12</v>
      </c>
      <c r="X118" s="25" t="str">
        <f>IF(ISNUMBER(SEARCH("Y",UPPER(TRIM(Raw_Data!U109)))),"Yes","No")</f>
        <v>No</v>
      </c>
      <c r="Y118" s="25" t="str">
        <f>IF(ISNUMBER(SEARCH("Y",UPPER(TRIM(Raw_Data!V109)))),"Yes","No")</f>
        <v>Yes</v>
      </c>
      <c r="Z118" s="26">
        <f>Raw_Data!W109</f>
        <v>3</v>
      </c>
      <c r="AA118" s="26">
        <f>Raw_Data!X109</f>
        <v>0.5</v>
      </c>
      <c r="AB118" s="25" t="str">
        <f>IF(COUNTIFS(Raw_Data!$A$2:$A$616,Raw_Data!A109)&gt;1,"Duplicate","Unique")</f>
        <v>Unique</v>
      </c>
      <c r="AC118" s="25" t="str">
        <f t="shared" si="5"/>
        <v>Clean</v>
      </c>
    </row>
    <row r="119" spans="1:29" ht="15" customHeight="1">
      <c r="A119" s="23" t="str">
        <f>Raw_Data!A110</f>
        <v>BYJ1109</v>
      </c>
      <c r="B119" s="23" t="str">
        <f>Raw_Data!B110</f>
        <v>Chandresh Lad</v>
      </c>
      <c r="C119" s="24">
        <f>IF(OR(Raw_Data!C110="",Raw_Data!C110&lt;$C$5,Raw_Data!C110&gt;$C$6),$C$4,Raw_Data!C110)</f>
        <v>44</v>
      </c>
      <c r="D119" s="23" t="str">
        <f>IF(Raw_Data!C110="","Missing-Imputed",IF(OR(Raw_Data!C110&lt;$C$5,Raw_Data!C110&gt;$C$6),"Outlier-Imputed","Original"))</f>
        <v>Original</v>
      </c>
      <c r="E119" s="23" t="str">
        <f>IF(OR(UPPER(TRIM(Raw_Data!D110))="M",UPPER(TRIM(Raw_Data!D110))="MALE"),"Male","Female")</f>
        <v>Female</v>
      </c>
      <c r="F119" s="23" t="str">
        <f>PROPER(TRIM(Raw_Data!E110))</f>
        <v>Khammam</v>
      </c>
      <c r="G119" s="23" t="str">
        <f>PROPER(TRIM(Raw_Data!F110))</f>
        <v>Delhi</v>
      </c>
      <c r="H119" s="23" t="str">
        <f>PROPER(TRIM(Raw_Data!G110))</f>
        <v>Science</v>
      </c>
      <c r="I119" s="23" t="str">
        <f>PROPER(TRIM(Raw_Data!H110))</f>
        <v>Hyderabad Hub</v>
      </c>
      <c r="J119" s="24">
        <f>IF(LEN(TRIM(Raw_Data!I110))=4,VALUE(TRIM(Raw_Data!I110)),IF(ISNUMBER(IFERROR(VALUE(MID(TRIM(Raw_Data!I110),1,4)),"NA")),VALUE(MID(TRIM(Raw_Data!I110),1,4)),VALUE(RIGHT(TRIM(Raw_Data!I110),4))))</f>
        <v>2017</v>
      </c>
      <c r="K119" s="23" t="str">
        <f>PROPER(TRIM(Raw_Data!J110))</f>
        <v>Homemaker</v>
      </c>
      <c r="L119" s="23" t="str">
        <f t="shared" si="3"/>
        <v>20+</v>
      </c>
      <c r="M119" s="23" t="str">
        <f t="shared" si="4"/>
        <v>Adult Learners</v>
      </c>
      <c r="N119" s="23" t="str">
        <f>IF(ISNUMBER(SEARCH("NON",UPPER(Raw_Data!M110))),"Non-Premium Learner","Premium Learner")</f>
        <v>Non-Premium Learner</v>
      </c>
      <c r="O119" s="23" t="str">
        <f>PROPER(TRIM(Raw_Data!N110))</f>
        <v>Both App &amp; Web</v>
      </c>
      <c r="P119" s="24">
        <f>IF(Raw_Data!O110="",$C$7,Raw_Data!O110)</f>
        <v>43425.64</v>
      </c>
      <c r="Q119" s="23" t="str">
        <f>IF(Raw_Data!O110="","Missing-Imputed","Original")</f>
        <v>Original</v>
      </c>
      <c r="R119" s="24">
        <f>Raw_Data!P110</f>
        <v>34.1</v>
      </c>
      <c r="S119" s="24">
        <f>Raw_Data!Q110</f>
        <v>22261.23</v>
      </c>
      <c r="T119" s="23" t="str">
        <f>IF(Raw_Data!R110="","Unknown",IF(ISNUMBER(SEARCH("ACT",UPPER(Raw_Data!R110))),"Active",IF(ISNUMBER(SEARCH("CLOS",UPPER(Raw_Data!R110))),"Closed","None")))</f>
        <v>Closed</v>
      </c>
      <c r="U119" s="24">
        <f>IF(Raw_Data!S110="",$C$8,VALUE(Raw_Data!S110))</f>
        <v>491</v>
      </c>
      <c r="V119" s="23" t="str">
        <f>IF(Raw_Data!S110="","Missing-Imputed","Original")</f>
        <v>Original</v>
      </c>
      <c r="W119" s="24">
        <f>Raw_Data!T110</f>
        <v>67</v>
      </c>
      <c r="X119" s="23" t="str">
        <f>IF(ISNUMBER(SEARCH("Y",UPPER(TRIM(Raw_Data!U110)))),"Yes","No")</f>
        <v>No</v>
      </c>
      <c r="Y119" s="23" t="str">
        <f>IF(ISNUMBER(SEARCH("Y",UPPER(TRIM(Raw_Data!V110)))),"Yes","No")</f>
        <v>No</v>
      </c>
      <c r="Z119" s="24">
        <f>Raw_Data!W110</f>
        <v>3</v>
      </c>
      <c r="AA119" s="24">
        <f>Raw_Data!X110</f>
        <v>5.3</v>
      </c>
      <c r="AB119" s="23" t="str">
        <f>IF(COUNTIFS(Raw_Data!$A$2:$A$616,Raw_Data!A110)&gt;1,"Duplicate","Unique")</f>
        <v>Unique</v>
      </c>
      <c r="AC119" s="23" t="str">
        <f t="shared" si="5"/>
        <v>Clean</v>
      </c>
    </row>
    <row r="120" spans="1:29" ht="15" customHeight="1">
      <c r="A120" s="25" t="str">
        <f>Raw_Data!A111</f>
        <v>BYJ1110</v>
      </c>
      <c r="B120" s="25" t="str">
        <f>Raw_Data!B111</f>
        <v>Suhani Narain</v>
      </c>
      <c r="C120" s="26">
        <f>IF(OR(Raw_Data!C111="",Raw_Data!C111&lt;$C$5,Raw_Data!C111&gt;$C$6),$C$4,Raw_Data!C111)</f>
        <v>12</v>
      </c>
      <c r="D120" s="25" t="str">
        <f>IF(Raw_Data!C111="","Missing-Imputed",IF(OR(Raw_Data!C111&lt;$C$5,Raw_Data!C111&gt;$C$6),"Outlier-Imputed","Original"))</f>
        <v>Original</v>
      </c>
      <c r="E120" s="25" t="str">
        <f>IF(OR(UPPER(TRIM(Raw_Data!D111))="M",UPPER(TRIM(Raw_Data!D111))="MALE"),"Male","Female")</f>
        <v>Male</v>
      </c>
      <c r="F120" s="25" t="str">
        <f>PROPER(TRIM(Raw_Data!E111))</f>
        <v>Nadiad</v>
      </c>
      <c r="G120" s="25" t="str">
        <f>PROPER(TRIM(Raw_Data!F111))</f>
        <v>West Bengal</v>
      </c>
      <c r="H120" s="25" t="str">
        <f>PROPER(TRIM(Raw_Data!G111))</f>
        <v>English</v>
      </c>
      <c r="I120" s="25" t="str">
        <f>PROPER(TRIM(Raw_Data!H111))</f>
        <v>Jaipur Center</v>
      </c>
      <c r="J120" s="26">
        <f>IF(LEN(TRIM(Raw_Data!I111))=4,VALUE(TRIM(Raw_Data!I111)),IF(ISNUMBER(IFERROR(VALUE(MID(TRIM(Raw_Data!I111),1,4)),"NA")),VALUE(MID(TRIM(Raw_Data!I111),1,4)),VALUE(RIGHT(TRIM(Raw_Data!I111),4))))</f>
        <v>2016</v>
      </c>
      <c r="K120" s="25" t="str">
        <f>PROPER(TRIM(Raw_Data!J111))</f>
        <v>Government Employee</v>
      </c>
      <c r="L120" s="25" t="str">
        <f t="shared" si="3"/>
        <v>10-13</v>
      </c>
      <c r="M120" s="25" t="str">
        <f t="shared" si="4"/>
        <v>Kids</v>
      </c>
      <c r="N120" s="25" t="str">
        <f>IF(ISNUMBER(SEARCH("NON",UPPER(Raw_Data!M111))),"Non-Premium Learner","Premium Learner")</f>
        <v>Non-Premium Learner</v>
      </c>
      <c r="O120" s="25" t="str">
        <f>PROPER(TRIM(Raw_Data!N111))</f>
        <v>Both App &amp; Web</v>
      </c>
      <c r="P120" s="26">
        <f>IF(Raw_Data!O111="",$C$7,Raw_Data!O111)</f>
        <v>132839.81</v>
      </c>
      <c r="Q120" s="25" t="str">
        <f>IF(Raw_Data!O111="","Missing-Imputed","Original")</f>
        <v>Original</v>
      </c>
      <c r="R120" s="26">
        <f>Raw_Data!P111</f>
        <v>10.9</v>
      </c>
      <c r="S120" s="26">
        <f>Raw_Data!Q111</f>
        <v>54166.63</v>
      </c>
      <c r="T120" s="25" t="str">
        <f>IF(Raw_Data!R111="","Unknown",IF(ISNUMBER(SEARCH("ACT",UPPER(Raw_Data!R111))),"Active",IF(ISNUMBER(SEARCH("CLOS",UPPER(Raw_Data!R111))),"Closed","None")))</f>
        <v>None</v>
      </c>
      <c r="U120" s="26">
        <f>IF(Raw_Data!S111="",$C$8,VALUE(Raw_Data!S111))</f>
        <v>814</v>
      </c>
      <c r="V120" s="25" t="str">
        <f>IF(Raw_Data!S111="","Missing-Imputed","Original")</f>
        <v>Original</v>
      </c>
      <c r="W120" s="26">
        <f>Raw_Data!T111</f>
        <v>132</v>
      </c>
      <c r="X120" s="25" t="str">
        <f>IF(ISNUMBER(SEARCH("Y",UPPER(TRIM(Raw_Data!U111)))),"Yes","No")</f>
        <v>Yes</v>
      </c>
      <c r="Y120" s="25" t="str">
        <f>IF(ISNUMBER(SEARCH("Y",UPPER(TRIM(Raw_Data!V111)))),"Yes","No")</f>
        <v>No</v>
      </c>
      <c r="Z120" s="26">
        <f>Raw_Data!W111</f>
        <v>2</v>
      </c>
      <c r="AA120" s="26">
        <f>Raw_Data!X111</f>
        <v>8.8000000000000007</v>
      </c>
      <c r="AB120" s="25" t="str">
        <f>IF(COUNTIFS(Raw_Data!$A$2:$A$616,Raw_Data!A111)&gt;1,"Duplicate","Unique")</f>
        <v>Duplicate</v>
      </c>
      <c r="AC120" s="25" t="str">
        <f t="shared" si="5"/>
        <v>Review-Duplicate</v>
      </c>
    </row>
    <row r="121" spans="1:29" ht="15" customHeight="1">
      <c r="A121" s="23" t="str">
        <f>Raw_Data!A112</f>
        <v>BYJ1111</v>
      </c>
      <c r="B121" s="23" t="str">
        <f>Raw_Data!B112</f>
        <v>Oviya Krishnan</v>
      </c>
      <c r="C121" s="24">
        <f>IF(OR(Raw_Data!C112="",Raw_Data!C112&lt;$C$5,Raw_Data!C112&gt;$C$6),$C$4,Raw_Data!C112)</f>
        <v>33</v>
      </c>
      <c r="D121" s="23" t="str">
        <f>IF(Raw_Data!C112="","Missing-Imputed",IF(OR(Raw_Data!C112&lt;$C$5,Raw_Data!C112&gt;$C$6),"Outlier-Imputed","Original"))</f>
        <v>Original</v>
      </c>
      <c r="E121" s="23" t="str">
        <f>IF(OR(UPPER(TRIM(Raw_Data!D112))="M",UPPER(TRIM(Raw_Data!D112))="MALE"),"Male","Female")</f>
        <v>Male</v>
      </c>
      <c r="F121" s="23" t="str">
        <f>PROPER(TRIM(Raw_Data!E112))</f>
        <v>Nandyal</v>
      </c>
      <c r="G121" s="23" t="str">
        <f>PROPER(TRIM(Raw_Data!F112))</f>
        <v>Maharashtra</v>
      </c>
      <c r="H121" s="23" t="str">
        <f>PROPER(TRIM(Raw_Data!G112))</f>
        <v>Jee Prep</v>
      </c>
      <c r="I121" s="23" t="str">
        <f>PROPER(TRIM(Raw_Data!H112))</f>
        <v>Pune East</v>
      </c>
      <c r="J121" s="24">
        <f>IF(LEN(TRIM(Raw_Data!I112))=4,VALUE(TRIM(Raw_Data!I112)),IF(ISNUMBER(IFERROR(VALUE(MID(TRIM(Raw_Data!I112),1,4)),"NA")),VALUE(MID(TRIM(Raw_Data!I112),1,4)),VALUE(RIGHT(TRIM(Raw_Data!I112),4))))</f>
        <v>2017</v>
      </c>
      <c r="K121" s="23" t="str">
        <f>PROPER(TRIM(Raw_Data!J112))</f>
        <v>Government Employee</v>
      </c>
      <c r="L121" s="23" t="str">
        <f t="shared" si="3"/>
        <v>20+</v>
      </c>
      <c r="M121" s="23" t="str">
        <f t="shared" si="4"/>
        <v>Adult Learners</v>
      </c>
      <c r="N121" s="23" t="str">
        <f>IF(ISNUMBER(SEARCH("NON",UPPER(Raw_Data!M112))),"Non-Premium Learner","Premium Learner")</f>
        <v>Non-Premium Learner</v>
      </c>
      <c r="O121" s="23" t="str">
        <f>PROPER(TRIM(Raw_Data!N112))</f>
        <v>Web Only</v>
      </c>
      <c r="P121" s="24">
        <f>IF(Raw_Data!O112="",$C$7,Raw_Data!O112)</f>
        <v>71742.19</v>
      </c>
      <c r="Q121" s="23" t="str">
        <f>IF(Raw_Data!O112="","Missing-Imputed","Original")</f>
        <v>Missing-Imputed</v>
      </c>
      <c r="R121" s="24">
        <f>Raw_Data!P112</f>
        <v>57.5</v>
      </c>
      <c r="S121" s="24">
        <f>Raw_Data!Q112</f>
        <v>35254.57</v>
      </c>
      <c r="T121" s="23" t="str">
        <f>IF(Raw_Data!R112="","Unknown",IF(ISNUMBER(SEARCH("ACT",UPPER(Raw_Data!R112))),"Active",IF(ISNUMBER(SEARCH("CLOS",UPPER(Raw_Data!R112))),"Closed","None")))</f>
        <v>Closed</v>
      </c>
      <c r="U121" s="24">
        <f>IF(Raw_Data!S112="",$C$8,VALUE(Raw_Data!S112))</f>
        <v>724</v>
      </c>
      <c r="V121" s="23" t="str">
        <f>IF(Raw_Data!S112="","Missing-Imputed","Original")</f>
        <v>Original</v>
      </c>
      <c r="W121" s="24">
        <f>Raw_Data!T112</f>
        <v>145</v>
      </c>
      <c r="X121" s="23" t="str">
        <f>IF(ISNUMBER(SEARCH("Y",UPPER(TRIM(Raw_Data!U112)))),"Yes","No")</f>
        <v>Yes</v>
      </c>
      <c r="Y121" s="23" t="str">
        <f>IF(ISNUMBER(SEARCH("Y",UPPER(TRIM(Raw_Data!V112)))),"Yes","No")</f>
        <v>Yes</v>
      </c>
      <c r="Z121" s="24">
        <f>Raw_Data!W112</f>
        <v>5</v>
      </c>
      <c r="AA121" s="24">
        <f>Raw_Data!X112</f>
        <v>8</v>
      </c>
      <c r="AB121" s="23" t="str">
        <f>IF(COUNTIFS(Raw_Data!$A$2:$A$616,Raw_Data!A112)&gt;1,"Duplicate","Unique")</f>
        <v>Unique</v>
      </c>
      <c r="AC121" s="23" t="str">
        <f t="shared" si="5"/>
        <v>Imputed</v>
      </c>
    </row>
    <row r="122" spans="1:29" ht="15" customHeight="1">
      <c r="A122" s="25" t="str">
        <f>Raw_Data!A113</f>
        <v>BYJ1112</v>
      </c>
      <c r="B122" s="25" t="str">
        <f>Raw_Data!B113</f>
        <v>Charles Palla</v>
      </c>
      <c r="C122" s="26">
        <f>IF(OR(Raw_Data!C113="",Raw_Data!C113&lt;$C$5,Raw_Data!C113&gt;$C$6),$C$4,Raw_Data!C113)</f>
        <v>37</v>
      </c>
      <c r="D122" s="25" t="str">
        <f>IF(Raw_Data!C113="","Missing-Imputed",IF(OR(Raw_Data!C113&lt;$C$5,Raw_Data!C113&gt;$C$6),"Outlier-Imputed","Original"))</f>
        <v>Original</v>
      </c>
      <c r="E122" s="25" t="str">
        <f>IF(OR(UPPER(TRIM(Raw_Data!D113))="M",UPPER(TRIM(Raw_Data!D113))="MALE"),"Male","Female")</f>
        <v>Female</v>
      </c>
      <c r="F122" s="25" t="str">
        <f>PROPER(TRIM(Raw_Data!E113))</f>
        <v>Coimbatore</v>
      </c>
      <c r="G122" s="25" t="str">
        <f>PROPER(TRIM(Raw_Data!F113))</f>
        <v>West Bengal</v>
      </c>
      <c r="H122" s="25" t="str">
        <f>PROPER(TRIM(Raw_Data!G113))</f>
        <v>Science</v>
      </c>
      <c r="I122" s="25" t="str">
        <f>PROPER(TRIM(Raw_Data!H113))</f>
        <v>Lucknow Hub</v>
      </c>
      <c r="J122" s="26">
        <f>IF(LEN(TRIM(Raw_Data!I113))=4,VALUE(TRIM(Raw_Data!I113)),IF(ISNUMBER(IFERROR(VALUE(MID(TRIM(Raw_Data!I113),1,4)),"NA")),VALUE(MID(TRIM(Raw_Data!I113),1,4)),VALUE(RIGHT(TRIM(Raw_Data!I113),4))))</f>
        <v>2025</v>
      </c>
      <c r="K122" s="25" t="str">
        <f>PROPER(TRIM(Raw_Data!J113))</f>
        <v>Salaried</v>
      </c>
      <c r="L122" s="25" t="str">
        <f t="shared" si="3"/>
        <v>20+</v>
      </c>
      <c r="M122" s="25" t="str">
        <f t="shared" si="4"/>
        <v>Adult Learners</v>
      </c>
      <c r="N122" s="25" t="str">
        <f>IF(ISNUMBER(SEARCH("NON",UPPER(Raw_Data!M113))),"Non-Premium Learner","Premium Learner")</f>
        <v>Non-Premium Learner</v>
      </c>
      <c r="O122" s="25" t="str">
        <f>PROPER(TRIM(Raw_Data!N113))</f>
        <v>Both App &amp; Web</v>
      </c>
      <c r="P122" s="26">
        <f>IF(Raw_Data!O113="",$C$7,Raw_Data!O113)</f>
        <v>39449</v>
      </c>
      <c r="Q122" s="25" t="str">
        <f>IF(Raw_Data!O113="","Missing-Imputed","Original")</f>
        <v>Original</v>
      </c>
      <c r="R122" s="26">
        <f>Raw_Data!P113</f>
        <v>74.099999999999994</v>
      </c>
      <c r="S122" s="26">
        <f>Raw_Data!Q113</f>
        <v>53821.88</v>
      </c>
      <c r="T122" s="25" t="str">
        <f>IF(Raw_Data!R113="","Unknown",IF(ISNUMBER(SEARCH("ACT",UPPER(Raw_Data!R113))),"Active",IF(ISNUMBER(SEARCH("CLOS",UPPER(Raw_Data!R113))),"Closed","None")))</f>
        <v>Active</v>
      </c>
      <c r="U122" s="26">
        <f>IF(Raw_Data!S113="",$C$8,VALUE(Raw_Data!S113))</f>
        <v>610</v>
      </c>
      <c r="V122" s="25" t="str">
        <f>IF(Raw_Data!S113="","Missing-Imputed","Original")</f>
        <v>Original</v>
      </c>
      <c r="W122" s="26">
        <f>Raw_Data!T113</f>
        <v>125</v>
      </c>
      <c r="X122" s="25" t="str">
        <f>IF(ISNUMBER(SEARCH("Y",UPPER(TRIM(Raw_Data!U113)))),"Yes","No")</f>
        <v>Yes</v>
      </c>
      <c r="Y122" s="25" t="str">
        <f>IF(ISNUMBER(SEARCH("Y",UPPER(TRIM(Raw_Data!V113)))),"Yes","No")</f>
        <v>Yes</v>
      </c>
      <c r="Z122" s="26">
        <f>Raw_Data!W113</f>
        <v>4</v>
      </c>
      <c r="AA122" s="26">
        <f>Raw_Data!X113</f>
        <v>7.1</v>
      </c>
      <c r="AB122" s="25" t="str">
        <f>IF(COUNTIFS(Raw_Data!$A$2:$A$616,Raw_Data!A113)&gt;1,"Duplicate","Unique")</f>
        <v>Unique</v>
      </c>
      <c r="AC122" s="25" t="str">
        <f t="shared" si="5"/>
        <v>Clean</v>
      </c>
    </row>
    <row r="123" spans="1:29" ht="15" customHeight="1">
      <c r="A123" s="23" t="str">
        <f>Raw_Data!A114</f>
        <v>BYJ1113</v>
      </c>
      <c r="B123" s="23" t="str">
        <f>Raw_Data!B114</f>
        <v>Azaan Kota</v>
      </c>
      <c r="C123" s="24">
        <f>IF(OR(Raw_Data!C114="",Raw_Data!C114&lt;$C$5,Raw_Data!C114&gt;$C$6),$C$4,Raw_Data!C114)</f>
        <v>44</v>
      </c>
      <c r="D123" s="23" t="str">
        <f>IF(Raw_Data!C114="","Missing-Imputed",IF(OR(Raw_Data!C114&lt;$C$5,Raw_Data!C114&gt;$C$6),"Outlier-Imputed","Original"))</f>
        <v>Original</v>
      </c>
      <c r="E123" s="23" t="str">
        <f>IF(OR(UPPER(TRIM(Raw_Data!D114))="M",UPPER(TRIM(Raw_Data!D114))="MALE"),"Male","Female")</f>
        <v>Male</v>
      </c>
      <c r="F123" s="23" t="str">
        <f>PROPER(TRIM(Raw_Data!E114))</f>
        <v>Jaipur</v>
      </c>
      <c r="G123" s="23" t="str">
        <f>PROPER(TRIM(Raw_Data!F114))</f>
        <v>West Bengal</v>
      </c>
      <c r="H123" s="23" t="str">
        <f>PROPER(TRIM(Raw_Data!G114))</f>
        <v>Spoken English</v>
      </c>
      <c r="I123" s="23" t="str">
        <f>PROPER(TRIM(Raw_Data!H114))</f>
        <v>Jaipur Center</v>
      </c>
      <c r="J123" s="24">
        <f>IF(LEN(TRIM(Raw_Data!I114))=4,VALUE(TRIM(Raw_Data!I114)),IF(ISNUMBER(IFERROR(VALUE(MID(TRIM(Raw_Data!I114),1,4)),"NA")),VALUE(MID(TRIM(Raw_Data!I114),1,4)),VALUE(RIGHT(TRIM(Raw_Data!I114),4))))</f>
        <v>2021</v>
      </c>
      <c r="K123" s="23" t="str">
        <f>PROPER(TRIM(Raw_Data!J114))</f>
        <v>Salaried</v>
      </c>
      <c r="L123" s="23" t="str">
        <f t="shared" si="3"/>
        <v>20+</v>
      </c>
      <c r="M123" s="23" t="str">
        <f t="shared" si="4"/>
        <v>Adult Learners</v>
      </c>
      <c r="N123" s="23" t="str">
        <f>IF(ISNUMBER(SEARCH("NON",UPPER(Raw_Data!M114))),"Non-Premium Learner","Premium Learner")</f>
        <v>Non-Premium Learner</v>
      </c>
      <c r="O123" s="23" t="str">
        <f>PROPER(TRIM(Raw_Data!N114))</f>
        <v>App Only</v>
      </c>
      <c r="P123" s="24">
        <f>IF(Raw_Data!O114="",$C$7,Raw_Data!O114)</f>
        <v>118174.88</v>
      </c>
      <c r="Q123" s="23" t="str">
        <f>IF(Raw_Data!O114="","Missing-Imputed","Original")</f>
        <v>Original</v>
      </c>
      <c r="R123" s="24">
        <f>Raw_Data!P114</f>
        <v>47.7</v>
      </c>
      <c r="S123" s="24">
        <f>Raw_Data!Q114</f>
        <v>10424.24</v>
      </c>
      <c r="T123" s="23" t="str">
        <f>IF(Raw_Data!R114="","Unknown",IF(ISNUMBER(SEARCH("ACT",UPPER(Raw_Data!R114))),"Active",IF(ISNUMBER(SEARCH("CLOS",UPPER(Raw_Data!R114))),"Closed","None")))</f>
        <v>Active</v>
      </c>
      <c r="U123" s="24">
        <f>IF(Raw_Data!S114="",$C$8,VALUE(Raw_Data!S114))</f>
        <v>555</v>
      </c>
      <c r="V123" s="23" t="str">
        <f>IF(Raw_Data!S114="","Missing-Imputed","Original")</f>
        <v>Original</v>
      </c>
      <c r="W123" s="24">
        <f>Raw_Data!T114</f>
        <v>12</v>
      </c>
      <c r="X123" s="23" t="str">
        <f>IF(ISNUMBER(SEARCH("Y",UPPER(TRIM(Raw_Data!U114)))),"Yes","No")</f>
        <v>No</v>
      </c>
      <c r="Y123" s="23" t="str">
        <f>IF(ISNUMBER(SEARCH("Y",UPPER(TRIM(Raw_Data!V114)))),"Yes","No")</f>
        <v>No</v>
      </c>
      <c r="Z123" s="24">
        <f>Raw_Data!W114</f>
        <v>4</v>
      </c>
      <c r="AA123" s="24">
        <f>Raw_Data!X114</f>
        <v>4.8</v>
      </c>
      <c r="AB123" s="23" t="str">
        <f>IF(COUNTIFS(Raw_Data!$A$2:$A$616,Raw_Data!A114)&gt;1,"Duplicate","Unique")</f>
        <v>Unique</v>
      </c>
      <c r="AC123" s="23" t="str">
        <f t="shared" si="5"/>
        <v>Clean</v>
      </c>
    </row>
    <row r="124" spans="1:29" ht="15" customHeight="1">
      <c r="A124" s="25" t="str">
        <f>Raw_Data!A115</f>
        <v>BYJ1114</v>
      </c>
      <c r="B124" s="25" t="str">
        <f>Raw_Data!B115</f>
        <v>William Date</v>
      </c>
      <c r="C124" s="26">
        <f>IF(OR(Raw_Data!C115="",Raw_Data!C115&lt;$C$5,Raw_Data!C115&gt;$C$6),$C$4,Raw_Data!C115)</f>
        <v>7</v>
      </c>
      <c r="D124" s="25" t="str">
        <f>IF(Raw_Data!C115="","Missing-Imputed",IF(OR(Raw_Data!C115&lt;$C$5,Raw_Data!C115&gt;$C$6),"Outlier-Imputed","Original"))</f>
        <v>Original</v>
      </c>
      <c r="E124" s="25" t="str">
        <f>IF(OR(UPPER(TRIM(Raw_Data!D115))="M",UPPER(TRIM(Raw_Data!D115))="MALE"),"Male","Female")</f>
        <v>Male</v>
      </c>
      <c r="F124" s="25" t="str">
        <f>PROPER(TRIM(Raw_Data!E115))</f>
        <v>Raipur</v>
      </c>
      <c r="G124" s="25" t="str">
        <f>PROPER(TRIM(Raw_Data!F115))</f>
        <v>Rajasthan</v>
      </c>
      <c r="H124" s="25" t="str">
        <f>PROPER(TRIM(Raw_Data!G115))</f>
        <v>Science</v>
      </c>
      <c r="I124" s="25" t="str">
        <f>PROPER(TRIM(Raw_Data!H115))</f>
        <v>Ahmedabad Center</v>
      </c>
      <c r="J124" s="26">
        <f>IF(LEN(TRIM(Raw_Data!I115))=4,VALUE(TRIM(Raw_Data!I115)),IF(ISNUMBER(IFERROR(VALUE(MID(TRIM(Raw_Data!I115),1,4)),"NA")),VALUE(MID(TRIM(Raw_Data!I115),1,4)),VALUE(RIGHT(TRIM(Raw_Data!I115),4))))</f>
        <v>2025</v>
      </c>
      <c r="K124" s="25" t="str">
        <f>PROPER(TRIM(Raw_Data!J115))</f>
        <v>Business</v>
      </c>
      <c r="L124" s="25" t="str">
        <f t="shared" si="3"/>
        <v>Under 10</v>
      </c>
      <c r="M124" s="25" t="str">
        <f t="shared" si="4"/>
        <v>Kids</v>
      </c>
      <c r="N124" s="25" t="str">
        <f>IF(ISNUMBER(SEARCH("NON",UPPER(Raw_Data!M115))),"Non-Premium Learner","Premium Learner")</f>
        <v>Non-Premium Learner</v>
      </c>
      <c r="O124" s="25" t="str">
        <f>PROPER(TRIM(Raw_Data!N115))</f>
        <v>Both App &amp; Web</v>
      </c>
      <c r="P124" s="26">
        <f>IF(Raw_Data!O115="",$C$7,Raw_Data!O115)</f>
        <v>18106.830000000002</v>
      </c>
      <c r="Q124" s="25" t="str">
        <f>IF(Raw_Data!O115="","Missing-Imputed","Original")</f>
        <v>Original</v>
      </c>
      <c r="R124" s="26">
        <f>Raw_Data!P115</f>
        <v>8.6999999999999993</v>
      </c>
      <c r="S124" s="26">
        <f>Raw_Data!Q115</f>
        <v>51229.279999999999</v>
      </c>
      <c r="T124" s="25" t="str">
        <f>IF(Raw_Data!R115="","Unknown",IF(ISNUMBER(SEARCH("ACT",UPPER(Raw_Data!R115))),"Active",IF(ISNUMBER(SEARCH("CLOS",UPPER(Raw_Data!R115))),"Closed","None")))</f>
        <v>Active</v>
      </c>
      <c r="U124" s="26">
        <f>IF(Raw_Data!S115="",$C$8,VALUE(Raw_Data!S115))</f>
        <v>530</v>
      </c>
      <c r="V124" s="25" t="str">
        <f>IF(Raw_Data!S115="","Missing-Imputed","Original")</f>
        <v>Original</v>
      </c>
      <c r="W124" s="26">
        <f>Raw_Data!T115</f>
        <v>68</v>
      </c>
      <c r="X124" s="25" t="str">
        <f>IF(ISNUMBER(SEARCH("Y",UPPER(TRIM(Raw_Data!U115)))),"Yes","No")</f>
        <v>No</v>
      </c>
      <c r="Y124" s="25" t="str">
        <f>IF(ISNUMBER(SEARCH("Y",UPPER(TRIM(Raw_Data!V115)))),"Yes","No")</f>
        <v>Yes</v>
      </c>
      <c r="Z124" s="26">
        <f>Raw_Data!W115</f>
        <v>2</v>
      </c>
      <c r="AA124" s="26">
        <f>Raw_Data!X115</f>
        <v>6</v>
      </c>
      <c r="AB124" s="25" t="str">
        <f>IF(COUNTIFS(Raw_Data!$A$2:$A$616,Raw_Data!A115)&gt;1,"Duplicate","Unique")</f>
        <v>Unique</v>
      </c>
      <c r="AC124" s="25" t="str">
        <f t="shared" si="5"/>
        <v>Clean</v>
      </c>
    </row>
    <row r="125" spans="1:29" ht="15" customHeight="1">
      <c r="A125" s="23" t="str">
        <f>Raw_Data!A116</f>
        <v>BYJ1115</v>
      </c>
      <c r="B125" s="23" t="str">
        <f>Raw_Data!B116</f>
        <v>Udyati Kunda</v>
      </c>
      <c r="C125" s="24">
        <f>IF(OR(Raw_Data!C116="",Raw_Data!C116&lt;$C$5,Raw_Data!C116&gt;$C$6),$C$4,Raw_Data!C116)</f>
        <v>24</v>
      </c>
      <c r="D125" s="23" t="str">
        <f>IF(Raw_Data!C116="","Missing-Imputed",IF(OR(Raw_Data!C116&lt;$C$5,Raw_Data!C116&gt;$C$6),"Outlier-Imputed","Original"))</f>
        <v>Missing-Imputed</v>
      </c>
      <c r="E125" s="23" t="str">
        <f>IF(OR(UPPER(TRIM(Raw_Data!D116))="M",UPPER(TRIM(Raw_Data!D116))="MALE"),"Male","Female")</f>
        <v>Female</v>
      </c>
      <c r="F125" s="23" t="str">
        <f>PROPER(TRIM(Raw_Data!E116))</f>
        <v>Rourkela</v>
      </c>
      <c r="G125" s="23" t="str">
        <f>PROPER(TRIM(Raw_Data!F116))</f>
        <v>Telangana</v>
      </c>
      <c r="H125" s="23" t="str">
        <f>PROPER(TRIM(Raw_Data!G116))</f>
        <v>Jee Prep</v>
      </c>
      <c r="I125" s="23" t="str">
        <f>PROPER(TRIM(Raw_Data!H116))</f>
        <v>Kolkata Main</v>
      </c>
      <c r="J125" s="24">
        <f>IF(LEN(TRIM(Raw_Data!I116))=4,VALUE(TRIM(Raw_Data!I116)),IF(ISNUMBER(IFERROR(VALUE(MID(TRIM(Raw_Data!I116),1,4)),"NA")),VALUE(MID(TRIM(Raw_Data!I116),1,4)),VALUE(RIGHT(TRIM(Raw_Data!I116),4))))</f>
        <v>2022</v>
      </c>
      <c r="K125" s="23" t="str">
        <f>PROPER(TRIM(Raw_Data!J116))</f>
        <v>Business</v>
      </c>
      <c r="L125" s="23" t="str">
        <f t="shared" si="3"/>
        <v>20+</v>
      </c>
      <c r="M125" s="23" t="str">
        <f t="shared" si="4"/>
        <v>Adult Learners</v>
      </c>
      <c r="N125" s="23" t="str">
        <f>IF(ISNUMBER(SEARCH("NON",UPPER(Raw_Data!M116))),"Non-Premium Learner","Premium Learner")</f>
        <v>Non-Premium Learner</v>
      </c>
      <c r="O125" s="23" t="str">
        <f>PROPER(TRIM(Raw_Data!N116))</f>
        <v>Both App &amp; Web</v>
      </c>
      <c r="P125" s="24">
        <f>IF(Raw_Data!O116="",$C$7,Raw_Data!O116)</f>
        <v>62587.12</v>
      </c>
      <c r="Q125" s="23" t="str">
        <f>IF(Raw_Data!O116="","Missing-Imputed","Original")</f>
        <v>Original</v>
      </c>
      <c r="R125" s="24">
        <f>Raw_Data!P116</f>
        <v>43.4</v>
      </c>
      <c r="S125" s="24">
        <f>Raw_Data!Q116</f>
        <v>39741.33</v>
      </c>
      <c r="T125" s="23" t="str">
        <f>IF(Raw_Data!R116="","Unknown",IF(ISNUMBER(SEARCH("ACT",UPPER(Raw_Data!R116))),"Active",IF(ISNUMBER(SEARCH("CLOS",UPPER(Raw_Data!R116))),"Closed","None")))</f>
        <v>Closed</v>
      </c>
      <c r="U125" s="24">
        <f>IF(Raw_Data!S116="",$C$8,VALUE(Raw_Data!S116))</f>
        <v>589</v>
      </c>
      <c r="V125" s="23" t="str">
        <f>IF(Raw_Data!S116="","Missing-Imputed","Original")</f>
        <v>Original</v>
      </c>
      <c r="W125" s="24">
        <f>Raw_Data!T116</f>
        <v>27</v>
      </c>
      <c r="X125" s="23" t="str">
        <f>IF(ISNUMBER(SEARCH("Y",UPPER(TRIM(Raw_Data!U116)))),"Yes","No")</f>
        <v>No</v>
      </c>
      <c r="Y125" s="23" t="str">
        <f>IF(ISNUMBER(SEARCH("Y",UPPER(TRIM(Raw_Data!V116)))),"Yes","No")</f>
        <v>No</v>
      </c>
      <c r="Z125" s="24">
        <f>Raw_Data!W116</f>
        <v>3</v>
      </c>
      <c r="AA125" s="24">
        <f>Raw_Data!X116</f>
        <v>7.8</v>
      </c>
      <c r="AB125" s="23" t="str">
        <f>IF(COUNTIFS(Raw_Data!$A$2:$A$616,Raw_Data!A116)&gt;1,"Duplicate","Unique")</f>
        <v>Unique</v>
      </c>
      <c r="AC125" s="23" t="str">
        <f t="shared" si="5"/>
        <v>Imputed</v>
      </c>
    </row>
    <row r="126" spans="1:29" ht="15" customHeight="1">
      <c r="A126" s="25" t="str">
        <f>Raw_Data!A117</f>
        <v>BYJ1116</v>
      </c>
      <c r="B126" s="25" t="str">
        <f>Raw_Data!B117</f>
        <v>Nihal Mukhopadhyay</v>
      </c>
      <c r="C126" s="26">
        <f>IF(OR(Raw_Data!C117="",Raw_Data!C117&lt;$C$5,Raw_Data!C117&gt;$C$6),$C$4,Raw_Data!C117)</f>
        <v>25</v>
      </c>
      <c r="D126" s="25" t="str">
        <f>IF(Raw_Data!C117="","Missing-Imputed",IF(OR(Raw_Data!C117&lt;$C$5,Raw_Data!C117&gt;$C$6),"Outlier-Imputed","Original"))</f>
        <v>Original</v>
      </c>
      <c r="E126" s="25" t="str">
        <f>IF(OR(UPPER(TRIM(Raw_Data!D117))="M",UPPER(TRIM(Raw_Data!D117))="MALE"),"Male","Female")</f>
        <v>Male</v>
      </c>
      <c r="F126" s="25" t="str">
        <f>PROPER(TRIM(Raw_Data!E117))</f>
        <v>Adoni</v>
      </c>
      <c r="G126" s="25" t="str">
        <f>PROPER(TRIM(Raw_Data!F117))</f>
        <v>Delhi</v>
      </c>
      <c r="H126" s="25" t="str">
        <f>PROPER(TRIM(Raw_Data!G117))</f>
        <v>Coding</v>
      </c>
      <c r="I126" s="25" t="str">
        <f>PROPER(TRIM(Raw_Data!H117))</f>
        <v>Lucknow Hub</v>
      </c>
      <c r="J126" s="26">
        <f>IF(LEN(TRIM(Raw_Data!I117))=4,VALUE(TRIM(Raw_Data!I117)),IF(ISNUMBER(IFERROR(VALUE(MID(TRIM(Raw_Data!I117),1,4)),"NA")),VALUE(MID(TRIM(Raw_Data!I117),1,4)),VALUE(RIGHT(TRIM(Raw_Data!I117),4))))</f>
        <v>2022</v>
      </c>
      <c r="K126" s="25" t="str">
        <f>PROPER(TRIM(Raw_Data!J117))</f>
        <v>Retired</v>
      </c>
      <c r="L126" s="25" t="str">
        <f t="shared" si="3"/>
        <v>20+</v>
      </c>
      <c r="M126" s="25" t="str">
        <f t="shared" si="4"/>
        <v>Adult Learners</v>
      </c>
      <c r="N126" s="25" t="str">
        <f>IF(ISNUMBER(SEARCH("NON",UPPER(Raw_Data!M117))),"Non-Premium Learner","Premium Learner")</f>
        <v>Premium Learner</v>
      </c>
      <c r="O126" s="25" t="str">
        <f>PROPER(TRIM(Raw_Data!N117))</f>
        <v>Web Only</v>
      </c>
      <c r="P126" s="26">
        <f>IF(Raw_Data!O117="",$C$7,Raw_Data!O117)</f>
        <v>42616.81</v>
      </c>
      <c r="Q126" s="25" t="str">
        <f>IF(Raw_Data!O117="","Missing-Imputed","Original")</f>
        <v>Original</v>
      </c>
      <c r="R126" s="26">
        <f>Raw_Data!P117</f>
        <v>34.1</v>
      </c>
      <c r="S126" s="26">
        <f>Raw_Data!Q117</f>
        <v>2119.14</v>
      </c>
      <c r="T126" s="25" t="str">
        <f>IF(Raw_Data!R117="","Unknown",IF(ISNUMBER(SEARCH("ACT",UPPER(Raw_Data!R117))),"Active",IF(ISNUMBER(SEARCH("CLOS",UPPER(Raw_Data!R117))),"Closed","None")))</f>
        <v>Unknown</v>
      </c>
      <c r="U126" s="26">
        <f>IF(Raw_Data!S117="",$C$8,VALUE(Raw_Data!S117))</f>
        <v>494</v>
      </c>
      <c r="V126" s="25" t="str">
        <f>IF(Raw_Data!S117="","Missing-Imputed","Original")</f>
        <v>Original</v>
      </c>
      <c r="W126" s="26">
        <f>Raw_Data!T117</f>
        <v>182</v>
      </c>
      <c r="X126" s="25" t="str">
        <f>IF(ISNUMBER(SEARCH("Y",UPPER(TRIM(Raw_Data!U117)))),"Yes","No")</f>
        <v>Yes</v>
      </c>
      <c r="Y126" s="25" t="str">
        <f>IF(ISNUMBER(SEARCH("Y",UPPER(TRIM(Raw_Data!V117)))),"Yes","No")</f>
        <v>No</v>
      </c>
      <c r="Z126" s="26">
        <f>Raw_Data!W117</f>
        <v>2</v>
      </c>
      <c r="AA126" s="26">
        <f>Raw_Data!X117</f>
        <v>7.6</v>
      </c>
      <c r="AB126" s="25" t="str">
        <f>IF(COUNTIFS(Raw_Data!$A$2:$A$616,Raw_Data!A117)&gt;1,"Duplicate","Unique")</f>
        <v>Unique</v>
      </c>
      <c r="AC126" s="25" t="str">
        <f t="shared" si="5"/>
        <v>Clean</v>
      </c>
    </row>
    <row r="127" spans="1:29" ht="15" customHeight="1">
      <c r="A127" s="23" t="str">
        <f>Raw_Data!A118</f>
        <v>BYJ1117</v>
      </c>
      <c r="B127" s="23" t="str">
        <f>Raw_Data!B118</f>
        <v>Devika Prashad</v>
      </c>
      <c r="C127" s="24">
        <f>IF(OR(Raw_Data!C118="",Raw_Data!C118&lt;$C$5,Raw_Data!C118&gt;$C$6),$C$4,Raw_Data!C118)</f>
        <v>12</v>
      </c>
      <c r="D127" s="23" t="str">
        <f>IF(Raw_Data!C118="","Missing-Imputed",IF(OR(Raw_Data!C118&lt;$C$5,Raw_Data!C118&gt;$C$6),"Outlier-Imputed","Original"))</f>
        <v>Original</v>
      </c>
      <c r="E127" s="23" t="str">
        <f>IF(OR(UPPER(TRIM(Raw_Data!D118))="M",UPPER(TRIM(Raw_Data!D118))="MALE"),"Male","Female")</f>
        <v>Female</v>
      </c>
      <c r="F127" s="23" t="str">
        <f>PROPER(TRIM(Raw_Data!E118))</f>
        <v>Davanagere</v>
      </c>
      <c r="G127" s="23" t="str">
        <f>PROPER(TRIM(Raw_Data!F118))</f>
        <v>Uttar Pradesh</v>
      </c>
      <c r="H127" s="23" t="str">
        <f>PROPER(TRIM(Raw_Data!G118))</f>
        <v>Science</v>
      </c>
      <c r="I127" s="23" t="str">
        <f>PROPER(TRIM(Raw_Data!H118))</f>
        <v>Pune East</v>
      </c>
      <c r="J127" s="24">
        <f>IF(LEN(TRIM(Raw_Data!I118))=4,VALUE(TRIM(Raw_Data!I118)),IF(ISNUMBER(IFERROR(VALUE(MID(TRIM(Raw_Data!I118),1,4)),"NA")),VALUE(MID(TRIM(Raw_Data!I118),1,4)),VALUE(RIGHT(TRIM(Raw_Data!I118),4))))</f>
        <v>2017</v>
      </c>
      <c r="K127" s="23" t="str">
        <f>PROPER(TRIM(Raw_Data!J118))</f>
        <v>Retired</v>
      </c>
      <c r="L127" s="23" t="str">
        <f t="shared" si="3"/>
        <v>10-13</v>
      </c>
      <c r="M127" s="23" t="str">
        <f t="shared" si="4"/>
        <v>Kids</v>
      </c>
      <c r="N127" s="23" t="str">
        <f>IF(ISNUMBER(SEARCH("NON",UPPER(Raw_Data!M118))),"Non-Premium Learner","Premium Learner")</f>
        <v>Non-Premium Learner</v>
      </c>
      <c r="O127" s="23" t="str">
        <f>PROPER(TRIM(Raw_Data!N118))</f>
        <v>Web Only</v>
      </c>
      <c r="P127" s="24">
        <f>IF(Raw_Data!O118="",$C$7,Raw_Data!O118)</f>
        <v>58893.95</v>
      </c>
      <c r="Q127" s="23" t="str">
        <f>IF(Raw_Data!O118="","Missing-Imputed","Original")</f>
        <v>Original</v>
      </c>
      <c r="R127" s="24">
        <f>Raw_Data!P118</f>
        <v>39.799999999999997</v>
      </c>
      <c r="S127" s="24">
        <f>Raw_Data!Q118</f>
        <v>7066.89</v>
      </c>
      <c r="T127" s="23" t="str">
        <f>IF(Raw_Data!R118="","Unknown",IF(ISNUMBER(SEARCH("ACT",UPPER(Raw_Data!R118))),"Active",IF(ISNUMBER(SEARCH("CLOS",UPPER(Raw_Data!R118))),"Closed","None")))</f>
        <v>Active</v>
      </c>
      <c r="U127" s="24">
        <f>IF(Raw_Data!S118="",$C$8,VALUE(Raw_Data!S118))</f>
        <v>783</v>
      </c>
      <c r="V127" s="23" t="str">
        <f>IF(Raw_Data!S118="","Missing-Imputed","Original")</f>
        <v>Original</v>
      </c>
      <c r="W127" s="24">
        <f>Raw_Data!T118</f>
        <v>128</v>
      </c>
      <c r="X127" s="23" t="str">
        <f>IF(ISNUMBER(SEARCH("Y",UPPER(TRIM(Raw_Data!U118)))),"Yes","No")</f>
        <v>Yes</v>
      </c>
      <c r="Y127" s="23" t="str">
        <f>IF(ISNUMBER(SEARCH("Y",UPPER(TRIM(Raw_Data!V118)))),"Yes","No")</f>
        <v>No</v>
      </c>
      <c r="Z127" s="24">
        <f>Raw_Data!W118</f>
        <v>1</v>
      </c>
      <c r="AA127" s="24">
        <f>Raw_Data!X118</f>
        <v>7.9</v>
      </c>
      <c r="AB127" s="23" t="str">
        <f>IF(COUNTIFS(Raw_Data!$A$2:$A$616,Raw_Data!A118)&gt;1,"Duplicate","Unique")</f>
        <v>Unique</v>
      </c>
      <c r="AC127" s="23" t="str">
        <f t="shared" si="5"/>
        <v>Clean</v>
      </c>
    </row>
    <row r="128" spans="1:29" ht="15" customHeight="1">
      <c r="A128" s="25" t="str">
        <f>Raw_Data!A119</f>
        <v>BYJ1118</v>
      </c>
      <c r="B128" s="25" t="str">
        <f>Raw_Data!B119</f>
        <v>Xavier Chaudry</v>
      </c>
      <c r="C128" s="26">
        <f>IF(OR(Raw_Data!C119="",Raw_Data!C119&lt;$C$5,Raw_Data!C119&gt;$C$6),$C$4,Raw_Data!C119)</f>
        <v>27</v>
      </c>
      <c r="D128" s="25" t="str">
        <f>IF(Raw_Data!C119="","Missing-Imputed",IF(OR(Raw_Data!C119&lt;$C$5,Raw_Data!C119&gt;$C$6),"Outlier-Imputed","Original"))</f>
        <v>Original</v>
      </c>
      <c r="E128" s="25" t="str">
        <f>IF(OR(UPPER(TRIM(Raw_Data!D119))="M",UPPER(TRIM(Raw_Data!D119))="MALE"),"Male","Female")</f>
        <v>Female</v>
      </c>
      <c r="F128" s="25" t="str">
        <f>PROPER(TRIM(Raw_Data!E119))</f>
        <v>Ghaziabad</v>
      </c>
      <c r="G128" s="25" t="str">
        <f>PROPER(TRIM(Raw_Data!F119))</f>
        <v>Rajasthan</v>
      </c>
      <c r="H128" s="25" t="str">
        <f>PROPER(TRIM(Raw_Data!G119))</f>
        <v>Science</v>
      </c>
      <c r="I128" s="25" t="str">
        <f>PROPER(TRIM(Raw_Data!H119))</f>
        <v>Pune East</v>
      </c>
      <c r="J128" s="26">
        <f>IF(LEN(TRIM(Raw_Data!I119))=4,VALUE(TRIM(Raw_Data!I119)),IF(ISNUMBER(IFERROR(VALUE(MID(TRIM(Raw_Data!I119),1,4)),"NA")),VALUE(MID(TRIM(Raw_Data!I119),1,4)),VALUE(RIGHT(TRIM(Raw_Data!I119),4))))</f>
        <v>2018</v>
      </c>
      <c r="K128" s="25" t="str">
        <f>PROPER(TRIM(Raw_Data!J119))</f>
        <v>Retired</v>
      </c>
      <c r="L128" s="25" t="str">
        <f t="shared" si="3"/>
        <v>20+</v>
      </c>
      <c r="M128" s="25" t="str">
        <f t="shared" si="4"/>
        <v>Adult Learners</v>
      </c>
      <c r="N128" s="25" t="str">
        <f>IF(ISNUMBER(SEARCH("NON",UPPER(Raw_Data!M119))),"Non-Premium Learner","Premium Learner")</f>
        <v>Non-Premium Learner</v>
      </c>
      <c r="O128" s="25" t="str">
        <f>PROPER(TRIM(Raw_Data!N119))</f>
        <v>App Only</v>
      </c>
      <c r="P128" s="26">
        <f>IF(Raw_Data!O119="",$C$7,Raw_Data!O119)</f>
        <v>5683.46</v>
      </c>
      <c r="Q128" s="25" t="str">
        <f>IF(Raw_Data!O119="","Missing-Imputed","Original")</f>
        <v>Original</v>
      </c>
      <c r="R128" s="26">
        <f>Raw_Data!P119</f>
        <v>62.1</v>
      </c>
      <c r="S128" s="26">
        <f>Raw_Data!Q119</f>
        <v>10116.35</v>
      </c>
      <c r="T128" s="25" t="str">
        <f>IF(Raw_Data!R119="","Unknown",IF(ISNUMBER(SEARCH("ACT",UPPER(Raw_Data!R119))),"Active",IF(ISNUMBER(SEARCH("CLOS",UPPER(Raw_Data!R119))),"Closed","None")))</f>
        <v>Active</v>
      </c>
      <c r="U128" s="26">
        <f>IF(Raw_Data!S119="",$C$8,VALUE(Raw_Data!S119))</f>
        <v>390</v>
      </c>
      <c r="V128" s="25" t="str">
        <f>IF(Raw_Data!S119="","Missing-Imputed","Original")</f>
        <v>Original</v>
      </c>
      <c r="W128" s="26">
        <f>Raw_Data!T119</f>
        <v>111</v>
      </c>
      <c r="X128" s="25" t="str">
        <f>IF(ISNUMBER(SEARCH("Y",UPPER(TRIM(Raw_Data!U119)))),"Yes","No")</f>
        <v>No</v>
      </c>
      <c r="Y128" s="25" t="str">
        <f>IF(ISNUMBER(SEARCH("Y",UPPER(TRIM(Raw_Data!V119)))),"Yes","No")</f>
        <v>No</v>
      </c>
      <c r="Z128" s="26">
        <f>Raw_Data!W119</f>
        <v>4</v>
      </c>
      <c r="AA128" s="26">
        <f>Raw_Data!X119</f>
        <v>0.5</v>
      </c>
      <c r="AB128" s="25" t="str">
        <f>IF(COUNTIFS(Raw_Data!$A$2:$A$616,Raw_Data!A119)&gt;1,"Duplicate","Unique")</f>
        <v>Unique</v>
      </c>
      <c r="AC128" s="25" t="str">
        <f t="shared" si="5"/>
        <v>Clean</v>
      </c>
    </row>
    <row r="129" spans="1:29" ht="15" customHeight="1">
      <c r="A129" s="23" t="str">
        <f>Raw_Data!A120</f>
        <v>BYJ1119</v>
      </c>
      <c r="B129" s="23" t="str">
        <f>Raw_Data!B120</f>
        <v>Benjamin Palan</v>
      </c>
      <c r="C129" s="24">
        <f>IF(OR(Raw_Data!C120="",Raw_Data!C120&lt;$C$5,Raw_Data!C120&gt;$C$6),$C$4,Raw_Data!C120)</f>
        <v>6</v>
      </c>
      <c r="D129" s="23" t="str">
        <f>IF(Raw_Data!C120="","Missing-Imputed",IF(OR(Raw_Data!C120&lt;$C$5,Raw_Data!C120&gt;$C$6),"Outlier-Imputed","Original"))</f>
        <v>Original</v>
      </c>
      <c r="E129" s="23" t="str">
        <f>IF(OR(UPPER(TRIM(Raw_Data!D120))="M",UPPER(TRIM(Raw_Data!D120))="MALE"),"Male","Female")</f>
        <v>Female</v>
      </c>
      <c r="F129" s="23" t="str">
        <f>PROPER(TRIM(Raw_Data!E120))</f>
        <v>Uluberia</v>
      </c>
      <c r="G129" s="23" t="str">
        <f>PROPER(TRIM(Raw_Data!F120))</f>
        <v>Tamil Nadu</v>
      </c>
      <c r="H129" s="23" t="str">
        <f>PROPER(TRIM(Raw_Data!G120))</f>
        <v>English</v>
      </c>
      <c r="I129" s="23" t="str">
        <f>PROPER(TRIM(Raw_Data!H120))</f>
        <v>Delhi North</v>
      </c>
      <c r="J129" s="24">
        <f>IF(LEN(TRIM(Raw_Data!I120))=4,VALUE(TRIM(Raw_Data!I120)),IF(ISNUMBER(IFERROR(VALUE(MID(TRIM(Raw_Data!I120),1,4)),"NA")),VALUE(MID(TRIM(Raw_Data!I120),1,4)),VALUE(RIGHT(TRIM(Raw_Data!I120),4))))</f>
        <v>2021</v>
      </c>
      <c r="K129" s="23" t="str">
        <f>PROPER(TRIM(Raw_Data!J120))</f>
        <v>Self-Employed</v>
      </c>
      <c r="L129" s="23" t="str">
        <f t="shared" si="3"/>
        <v>Under 10</v>
      </c>
      <c r="M129" s="23" t="str">
        <f t="shared" si="4"/>
        <v>Kids</v>
      </c>
      <c r="N129" s="23" t="str">
        <f>IF(ISNUMBER(SEARCH("NON",UPPER(Raw_Data!M120))),"Non-Premium Learner","Premium Learner")</f>
        <v>Non-Premium Learner</v>
      </c>
      <c r="O129" s="23" t="str">
        <f>PROPER(TRIM(Raw_Data!N120))</f>
        <v>App Only</v>
      </c>
      <c r="P129" s="24">
        <f>IF(Raw_Data!O120="",$C$7,Raw_Data!O120)</f>
        <v>124457.36</v>
      </c>
      <c r="Q129" s="23" t="str">
        <f>IF(Raw_Data!O120="","Missing-Imputed","Original")</f>
        <v>Original</v>
      </c>
      <c r="R129" s="24">
        <f>Raw_Data!P120</f>
        <v>26.8</v>
      </c>
      <c r="S129" s="24">
        <f>Raw_Data!Q120</f>
        <v>43669.91</v>
      </c>
      <c r="T129" s="23" t="str">
        <f>IF(Raw_Data!R120="","Unknown",IF(ISNUMBER(SEARCH("ACT",UPPER(Raw_Data!R120))),"Active",IF(ISNUMBER(SEARCH("CLOS",UPPER(Raw_Data!R120))),"Closed","None")))</f>
        <v>Unknown</v>
      </c>
      <c r="U129" s="24">
        <f>IF(Raw_Data!S120="",$C$8,VALUE(Raw_Data!S120))</f>
        <v>645</v>
      </c>
      <c r="V129" s="23" t="str">
        <f>IF(Raw_Data!S120="","Missing-Imputed","Original")</f>
        <v>Original</v>
      </c>
      <c r="W129" s="24">
        <f>Raw_Data!T120</f>
        <v>175</v>
      </c>
      <c r="X129" s="23" t="str">
        <f>IF(ISNUMBER(SEARCH("Y",UPPER(TRIM(Raw_Data!U120)))),"Yes","No")</f>
        <v>Yes</v>
      </c>
      <c r="Y129" s="23" t="str">
        <f>IF(ISNUMBER(SEARCH("Y",UPPER(TRIM(Raw_Data!V120)))),"Yes","No")</f>
        <v>No</v>
      </c>
      <c r="Z129" s="24">
        <f>Raw_Data!W120</f>
        <v>2</v>
      </c>
      <c r="AA129" s="24">
        <f>Raw_Data!X120</f>
        <v>1.9</v>
      </c>
      <c r="AB129" s="23" t="str">
        <f>IF(COUNTIFS(Raw_Data!$A$2:$A$616,Raw_Data!A120)&gt;1,"Duplicate","Unique")</f>
        <v>Unique</v>
      </c>
      <c r="AC129" s="23" t="str">
        <f t="shared" si="5"/>
        <v>Clean</v>
      </c>
    </row>
    <row r="130" spans="1:29" ht="15" customHeight="1">
      <c r="A130" s="25" t="str">
        <f>Raw_Data!A121</f>
        <v>BYJ1120</v>
      </c>
      <c r="B130" s="25" t="str">
        <f>Raw_Data!B121</f>
        <v>Yashawini Om</v>
      </c>
      <c r="C130" s="26">
        <f>IF(OR(Raw_Data!C121="",Raw_Data!C121&lt;$C$5,Raw_Data!C121&gt;$C$6),$C$4,Raw_Data!C121)</f>
        <v>7</v>
      </c>
      <c r="D130" s="25" t="str">
        <f>IF(Raw_Data!C121="","Missing-Imputed",IF(OR(Raw_Data!C121&lt;$C$5,Raw_Data!C121&gt;$C$6),"Outlier-Imputed","Original"))</f>
        <v>Original</v>
      </c>
      <c r="E130" s="25" t="str">
        <f>IF(OR(UPPER(TRIM(Raw_Data!D121))="M",UPPER(TRIM(Raw_Data!D121))="MALE"),"Male","Female")</f>
        <v>Male</v>
      </c>
      <c r="F130" s="25" t="str">
        <f>PROPER(TRIM(Raw_Data!E121))</f>
        <v>Bidar</v>
      </c>
      <c r="G130" s="25" t="str">
        <f>PROPER(TRIM(Raw_Data!F121))</f>
        <v>Maharashtra</v>
      </c>
      <c r="H130" s="25" t="str">
        <f>PROPER(TRIM(Raw_Data!G121))</f>
        <v>English</v>
      </c>
      <c r="I130" s="25" t="str">
        <f>PROPER(TRIM(Raw_Data!H121))</f>
        <v>Chennai Central</v>
      </c>
      <c r="J130" s="26">
        <f>IF(LEN(TRIM(Raw_Data!I121))=4,VALUE(TRIM(Raw_Data!I121)),IF(ISNUMBER(IFERROR(VALUE(MID(TRIM(Raw_Data!I121),1,4)),"NA")),VALUE(MID(TRIM(Raw_Data!I121),1,4)),VALUE(RIGHT(TRIM(Raw_Data!I121),4))))</f>
        <v>2025</v>
      </c>
      <c r="K130" s="25" t="str">
        <f>PROPER(TRIM(Raw_Data!J121))</f>
        <v>Homemaker</v>
      </c>
      <c r="L130" s="25" t="str">
        <f t="shared" si="3"/>
        <v>Under 10</v>
      </c>
      <c r="M130" s="25" t="str">
        <f t="shared" si="4"/>
        <v>Kids</v>
      </c>
      <c r="N130" s="25" t="str">
        <f>IF(ISNUMBER(SEARCH("NON",UPPER(Raw_Data!M121))),"Non-Premium Learner","Premium Learner")</f>
        <v>Non-Premium Learner</v>
      </c>
      <c r="O130" s="25" t="str">
        <f>PROPER(TRIM(Raw_Data!N121))</f>
        <v>Web Only</v>
      </c>
      <c r="P130" s="26">
        <f>IF(Raw_Data!O121="",$C$7,Raw_Data!O121)</f>
        <v>132098.9</v>
      </c>
      <c r="Q130" s="25" t="str">
        <f>IF(Raw_Data!O121="","Missing-Imputed","Original")</f>
        <v>Original</v>
      </c>
      <c r="R130" s="26">
        <f>Raw_Data!P121</f>
        <v>45.1</v>
      </c>
      <c r="S130" s="26">
        <f>Raw_Data!Q121</f>
        <v>2915.22</v>
      </c>
      <c r="T130" s="25" t="str">
        <f>IF(Raw_Data!R121="","Unknown",IF(ISNUMBER(SEARCH("ACT",UPPER(Raw_Data!R121))),"Active",IF(ISNUMBER(SEARCH("CLOS",UPPER(Raw_Data!R121))),"Closed","None")))</f>
        <v>Active</v>
      </c>
      <c r="U130" s="26">
        <f>IF(Raw_Data!S121="",$C$8,VALUE(Raw_Data!S121))</f>
        <v>320</v>
      </c>
      <c r="V130" s="25" t="str">
        <f>IF(Raw_Data!S121="","Missing-Imputed","Original")</f>
        <v>Original</v>
      </c>
      <c r="W130" s="26">
        <f>Raw_Data!T121</f>
        <v>29</v>
      </c>
      <c r="X130" s="25" t="str">
        <f>IF(ISNUMBER(SEARCH("Y",UPPER(TRIM(Raw_Data!U121)))),"Yes","No")</f>
        <v>No</v>
      </c>
      <c r="Y130" s="25" t="str">
        <f>IF(ISNUMBER(SEARCH("Y",UPPER(TRIM(Raw_Data!V121)))),"Yes","No")</f>
        <v>No</v>
      </c>
      <c r="Z130" s="26">
        <f>Raw_Data!W121</f>
        <v>5</v>
      </c>
      <c r="AA130" s="26">
        <f>Raw_Data!X121</f>
        <v>2.6</v>
      </c>
      <c r="AB130" s="25" t="str">
        <f>IF(COUNTIFS(Raw_Data!$A$2:$A$616,Raw_Data!A121)&gt;1,"Duplicate","Unique")</f>
        <v>Unique</v>
      </c>
      <c r="AC130" s="25" t="str">
        <f t="shared" si="5"/>
        <v>Clean</v>
      </c>
    </row>
    <row r="131" spans="1:29" ht="15" customHeight="1">
      <c r="A131" s="23" t="str">
        <f>Raw_Data!A122</f>
        <v>BYJ1121</v>
      </c>
      <c r="B131" s="23" t="str">
        <f>Raw_Data!B122</f>
        <v>Hitesh Sant</v>
      </c>
      <c r="C131" s="24">
        <f>IF(OR(Raw_Data!C122="",Raw_Data!C122&lt;$C$5,Raw_Data!C122&gt;$C$6),$C$4,Raw_Data!C122)</f>
        <v>6</v>
      </c>
      <c r="D131" s="23" t="str">
        <f>IF(Raw_Data!C122="","Missing-Imputed",IF(OR(Raw_Data!C122&lt;$C$5,Raw_Data!C122&gt;$C$6),"Outlier-Imputed","Original"))</f>
        <v>Original</v>
      </c>
      <c r="E131" s="23" t="str">
        <f>IF(OR(UPPER(TRIM(Raw_Data!D122))="M",UPPER(TRIM(Raw_Data!D122))="MALE"),"Male","Female")</f>
        <v>Female</v>
      </c>
      <c r="F131" s="23" t="str">
        <f>PROPER(TRIM(Raw_Data!E122))</f>
        <v>Jaunpur</v>
      </c>
      <c r="G131" s="23" t="str">
        <f>PROPER(TRIM(Raw_Data!F122))</f>
        <v>Uttar Pradesh</v>
      </c>
      <c r="H131" s="23" t="str">
        <f>PROPER(TRIM(Raw_Data!G122))</f>
        <v>Jee Prep</v>
      </c>
      <c r="I131" s="23" t="str">
        <f>PROPER(TRIM(Raw_Data!H122))</f>
        <v>Lucknow Hub</v>
      </c>
      <c r="J131" s="24">
        <f>IF(LEN(TRIM(Raw_Data!I122))=4,VALUE(TRIM(Raw_Data!I122)),IF(ISNUMBER(IFERROR(VALUE(MID(TRIM(Raw_Data!I122),1,4)),"NA")),VALUE(MID(TRIM(Raw_Data!I122),1,4)),VALUE(RIGHT(TRIM(Raw_Data!I122),4))))</f>
        <v>2025</v>
      </c>
      <c r="K131" s="23" t="str">
        <f>PROPER(TRIM(Raw_Data!J122))</f>
        <v>Salaried</v>
      </c>
      <c r="L131" s="23" t="str">
        <f t="shared" si="3"/>
        <v>Under 10</v>
      </c>
      <c r="M131" s="23" t="str">
        <f t="shared" si="4"/>
        <v>Kids</v>
      </c>
      <c r="N131" s="23" t="str">
        <f>IF(ISNUMBER(SEARCH("NON",UPPER(Raw_Data!M122))),"Non-Premium Learner","Premium Learner")</f>
        <v>Non-Premium Learner</v>
      </c>
      <c r="O131" s="23" t="str">
        <f>PROPER(TRIM(Raw_Data!N122))</f>
        <v>Web Only</v>
      </c>
      <c r="P131" s="24">
        <f>IF(Raw_Data!O122="",$C$7,Raw_Data!O122)</f>
        <v>21531.82</v>
      </c>
      <c r="Q131" s="23" t="str">
        <f>IF(Raw_Data!O122="","Missing-Imputed","Original")</f>
        <v>Original</v>
      </c>
      <c r="R131" s="24">
        <f>Raw_Data!P122</f>
        <v>19.899999999999999</v>
      </c>
      <c r="S131" s="24">
        <f>Raw_Data!Q122</f>
        <v>11984.96</v>
      </c>
      <c r="T131" s="23" t="str">
        <f>IF(Raw_Data!R122="","Unknown",IF(ISNUMBER(SEARCH("ACT",UPPER(Raw_Data!R122))),"Active",IF(ISNUMBER(SEARCH("CLOS",UPPER(Raw_Data!R122))),"Closed","None")))</f>
        <v>Closed</v>
      </c>
      <c r="U131" s="24">
        <f>IF(Raw_Data!S122="",$C$8,VALUE(Raw_Data!S122))</f>
        <v>506</v>
      </c>
      <c r="V131" s="23" t="str">
        <f>IF(Raw_Data!S122="","Missing-Imputed","Original")</f>
        <v>Original</v>
      </c>
      <c r="W131" s="24">
        <f>Raw_Data!T122</f>
        <v>104</v>
      </c>
      <c r="X131" s="23" t="str">
        <f>IF(ISNUMBER(SEARCH("Y",UPPER(TRIM(Raw_Data!U122)))),"Yes","No")</f>
        <v>No</v>
      </c>
      <c r="Y131" s="23" t="str">
        <f>IF(ISNUMBER(SEARCH("Y",UPPER(TRIM(Raw_Data!V122)))),"Yes","No")</f>
        <v>Yes</v>
      </c>
      <c r="Z131" s="24">
        <f>Raw_Data!W122</f>
        <v>2</v>
      </c>
      <c r="AA131" s="24">
        <f>Raw_Data!X122</f>
        <v>6.3</v>
      </c>
      <c r="AB131" s="23" t="str">
        <f>IF(COUNTIFS(Raw_Data!$A$2:$A$616,Raw_Data!A122)&gt;1,"Duplicate","Unique")</f>
        <v>Unique</v>
      </c>
      <c r="AC131" s="23" t="str">
        <f t="shared" si="5"/>
        <v>Clean</v>
      </c>
    </row>
    <row r="132" spans="1:29" ht="15" customHeight="1">
      <c r="A132" s="25" t="str">
        <f>Raw_Data!A123</f>
        <v>BYJ1122</v>
      </c>
      <c r="B132" s="25" t="str">
        <f>Raw_Data!B123</f>
        <v>Radhika Goda</v>
      </c>
      <c r="C132" s="26">
        <f>IF(OR(Raw_Data!C123="",Raw_Data!C123&lt;$C$5,Raw_Data!C123&gt;$C$6),$C$4,Raw_Data!C123)</f>
        <v>6</v>
      </c>
      <c r="D132" s="25" t="str">
        <f>IF(Raw_Data!C123="","Missing-Imputed",IF(OR(Raw_Data!C123&lt;$C$5,Raw_Data!C123&gt;$C$6),"Outlier-Imputed","Original"))</f>
        <v>Original</v>
      </c>
      <c r="E132" s="25" t="str">
        <f>IF(OR(UPPER(TRIM(Raw_Data!D123))="M",UPPER(TRIM(Raw_Data!D123))="MALE"),"Male","Female")</f>
        <v>Male</v>
      </c>
      <c r="F132" s="25" t="str">
        <f>PROPER(TRIM(Raw_Data!E123))</f>
        <v>Tadepalligudem</v>
      </c>
      <c r="G132" s="25" t="str">
        <f>PROPER(TRIM(Raw_Data!F123))</f>
        <v>Rajasthan</v>
      </c>
      <c r="H132" s="25" t="str">
        <f>PROPER(TRIM(Raw_Data!G123))</f>
        <v>Science</v>
      </c>
      <c r="I132" s="25" t="str">
        <f>PROPER(TRIM(Raw_Data!H123))</f>
        <v>Bengaluru South</v>
      </c>
      <c r="J132" s="26">
        <f>IF(LEN(TRIM(Raw_Data!I123))=4,VALUE(TRIM(Raw_Data!I123)),IF(ISNUMBER(IFERROR(VALUE(MID(TRIM(Raw_Data!I123),1,4)),"NA")),VALUE(MID(TRIM(Raw_Data!I123),1,4)),VALUE(RIGHT(TRIM(Raw_Data!I123),4))))</f>
        <v>2024</v>
      </c>
      <c r="K132" s="25" t="str">
        <f>PROPER(TRIM(Raw_Data!J123))</f>
        <v>Homemaker</v>
      </c>
      <c r="L132" s="25" t="str">
        <f t="shared" si="3"/>
        <v>Under 10</v>
      </c>
      <c r="M132" s="25" t="str">
        <f t="shared" si="4"/>
        <v>Kids</v>
      </c>
      <c r="N132" s="25" t="str">
        <f>IF(ISNUMBER(SEARCH("NON",UPPER(Raw_Data!M123))),"Non-Premium Learner","Premium Learner")</f>
        <v>Non-Premium Learner</v>
      </c>
      <c r="O132" s="25" t="str">
        <f>PROPER(TRIM(Raw_Data!N123))</f>
        <v>Web Only</v>
      </c>
      <c r="P132" s="26">
        <f>IF(Raw_Data!O123="",$C$7,Raw_Data!O123)</f>
        <v>43298.13</v>
      </c>
      <c r="Q132" s="25" t="str">
        <f>IF(Raw_Data!O123="","Missing-Imputed","Original")</f>
        <v>Original</v>
      </c>
      <c r="R132" s="26">
        <f>Raw_Data!P123</f>
        <v>66</v>
      </c>
      <c r="S132" s="26">
        <f>Raw_Data!Q123</f>
        <v>52448.43</v>
      </c>
      <c r="T132" s="25" t="str">
        <f>IF(Raw_Data!R123="","Unknown",IF(ISNUMBER(SEARCH("ACT",UPPER(Raw_Data!R123))),"Active",IF(ISNUMBER(SEARCH("CLOS",UPPER(Raw_Data!R123))),"Closed","None")))</f>
        <v>Closed</v>
      </c>
      <c r="U132" s="26">
        <f>IF(Raw_Data!S123="",$C$8,VALUE(Raw_Data!S123))</f>
        <v>620</v>
      </c>
      <c r="V132" s="25" t="str">
        <f>IF(Raw_Data!S123="","Missing-Imputed","Original")</f>
        <v>Original</v>
      </c>
      <c r="W132" s="26">
        <f>Raw_Data!T123</f>
        <v>29</v>
      </c>
      <c r="X132" s="25" t="str">
        <f>IF(ISNUMBER(SEARCH("Y",UPPER(TRIM(Raw_Data!U123)))),"Yes","No")</f>
        <v>Yes</v>
      </c>
      <c r="Y132" s="25" t="str">
        <f>IF(ISNUMBER(SEARCH("Y",UPPER(TRIM(Raw_Data!V123)))),"Yes","No")</f>
        <v>Yes</v>
      </c>
      <c r="Z132" s="26">
        <f>Raw_Data!W123</f>
        <v>2</v>
      </c>
      <c r="AA132" s="26">
        <f>Raw_Data!X123</f>
        <v>3.3</v>
      </c>
      <c r="AB132" s="25" t="str">
        <f>IF(COUNTIFS(Raw_Data!$A$2:$A$616,Raw_Data!A123)&gt;1,"Duplicate","Unique")</f>
        <v>Unique</v>
      </c>
      <c r="AC132" s="25" t="str">
        <f t="shared" si="5"/>
        <v>Clean</v>
      </c>
    </row>
    <row r="133" spans="1:29" ht="15" customHeight="1">
      <c r="A133" s="23" t="str">
        <f>Raw_Data!A124</f>
        <v>BYJ1123</v>
      </c>
      <c r="B133" s="23" t="str">
        <f>Raw_Data!B124</f>
        <v>Udyati Sarin</v>
      </c>
      <c r="C133" s="24">
        <f>IF(OR(Raw_Data!C124="",Raw_Data!C124&lt;$C$5,Raw_Data!C124&gt;$C$6),$C$4,Raw_Data!C124)</f>
        <v>23</v>
      </c>
      <c r="D133" s="23" t="str">
        <f>IF(Raw_Data!C124="","Missing-Imputed",IF(OR(Raw_Data!C124&lt;$C$5,Raw_Data!C124&gt;$C$6),"Outlier-Imputed","Original"))</f>
        <v>Original</v>
      </c>
      <c r="E133" s="23" t="str">
        <f>IF(OR(UPPER(TRIM(Raw_Data!D124))="M",UPPER(TRIM(Raw_Data!D124))="MALE"),"Male","Female")</f>
        <v>Male</v>
      </c>
      <c r="F133" s="23" t="str">
        <f>PROPER(TRIM(Raw_Data!E124))</f>
        <v>North Dumdum</v>
      </c>
      <c r="G133" s="23" t="str">
        <f>PROPER(TRIM(Raw_Data!F124))</f>
        <v>Maharashtra</v>
      </c>
      <c r="H133" s="23" t="str">
        <f>PROPER(TRIM(Raw_Data!G124))</f>
        <v>Mathematics</v>
      </c>
      <c r="I133" s="23" t="str">
        <f>PROPER(TRIM(Raw_Data!H124))</f>
        <v>Kolkata Main</v>
      </c>
      <c r="J133" s="24">
        <f>IF(LEN(TRIM(Raw_Data!I124))=4,VALUE(TRIM(Raw_Data!I124)),IF(ISNUMBER(IFERROR(VALUE(MID(TRIM(Raw_Data!I124),1,4)),"NA")),VALUE(MID(TRIM(Raw_Data!I124),1,4)),VALUE(RIGHT(TRIM(Raw_Data!I124),4))))</f>
        <v>2022</v>
      </c>
      <c r="K133" s="23" t="str">
        <f>PROPER(TRIM(Raw_Data!J124))</f>
        <v>Retired</v>
      </c>
      <c r="L133" s="23" t="str">
        <f t="shared" si="3"/>
        <v>20+</v>
      </c>
      <c r="M133" s="23" t="str">
        <f t="shared" si="4"/>
        <v>Adult Learners</v>
      </c>
      <c r="N133" s="23" t="str">
        <f>IF(ISNUMBER(SEARCH("NON",UPPER(Raw_Data!M124))),"Non-Premium Learner","Premium Learner")</f>
        <v>Non-Premium Learner</v>
      </c>
      <c r="O133" s="23" t="str">
        <f>PROPER(TRIM(Raw_Data!N124))</f>
        <v>Both App &amp; Web</v>
      </c>
      <c r="P133" s="24">
        <f>IF(Raw_Data!O124="",$C$7,Raw_Data!O124)</f>
        <v>133487.96</v>
      </c>
      <c r="Q133" s="23" t="str">
        <f>IF(Raw_Data!O124="","Missing-Imputed","Original")</f>
        <v>Original</v>
      </c>
      <c r="R133" s="24">
        <f>Raw_Data!P124</f>
        <v>14.9</v>
      </c>
      <c r="S133" s="24">
        <f>Raw_Data!Q124</f>
        <v>43584.67</v>
      </c>
      <c r="T133" s="23" t="str">
        <f>IF(Raw_Data!R124="","Unknown",IF(ISNUMBER(SEARCH("ACT",UPPER(Raw_Data!R124))),"Active",IF(ISNUMBER(SEARCH("CLOS",UPPER(Raw_Data!R124))),"Closed","None")))</f>
        <v>Active</v>
      </c>
      <c r="U133" s="24">
        <f>IF(Raw_Data!S124="",$C$8,VALUE(Raw_Data!S124))</f>
        <v>726</v>
      </c>
      <c r="V133" s="23" t="str">
        <f>IF(Raw_Data!S124="","Missing-Imputed","Original")</f>
        <v>Original</v>
      </c>
      <c r="W133" s="24">
        <f>Raw_Data!T124</f>
        <v>123</v>
      </c>
      <c r="X133" s="23" t="str">
        <f>IF(ISNUMBER(SEARCH("Y",UPPER(TRIM(Raw_Data!U124)))),"Yes","No")</f>
        <v>No</v>
      </c>
      <c r="Y133" s="23" t="str">
        <f>IF(ISNUMBER(SEARCH("Y",UPPER(TRIM(Raw_Data!V124)))),"Yes","No")</f>
        <v>No</v>
      </c>
      <c r="Z133" s="24">
        <f>Raw_Data!W124</f>
        <v>5</v>
      </c>
      <c r="AA133" s="24">
        <f>Raw_Data!X124</f>
        <v>0.7</v>
      </c>
      <c r="AB133" s="23" t="str">
        <f>IF(COUNTIFS(Raw_Data!$A$2:$A$616,Raw_Data!A124)&gt;1,"Duplicate","Unique")</f>
        <v>Unique</v>
      </c>
      <c r="AC133" s="23" t="str">
        <f t="shared" si="5"/>
        <v>Clean</v>
      </c>
    </row>
    <row r="134" spans="1:29" ht="15" customHeight="1">
      <c r="A134" s="25" t="str">
        <f>Raw_Data!A125</f>
        <v>BYJ1124</v>
      </c>
      <c r="B134" s="25" t="str">
        <f>Raw_Data!B125</f>
        <v>Gabriel Mallick</v>
      </c>
      <c r="C134" s="26">
        <f>IF(OR(Raw_Data!C125="",Raw_Data!C125&lt;$C$5,Raw_Data!C125&gt;$C$6),$C$4,Raw_Data!C125)</f>
        <v>14</v>
      </c>
      <c r="D134" s="25" t="str">
        <f>IF(Raw_Data!C125="","Missing-Imputed",IF(OR(Raw_Data!C125&lt;$C$5,Raw_Data!C125&gt;$C$6),"Outlier-Imputed","Original"))</f>
        <v>Original</v>
      </c>
      <c r="E134" s="25" t="str">
        <f>IF(OR(UPPER(TRIM(Raw_Data!D125))="M",UPPER(TRIM(Raw_Data!D125))="MALE"),"Male","Female")</f>
        <v>Female</v>
      </c>
      <c r="F134" s="25" t="str">
        <f>PROPER(TRIM(Raw_Data!E125))</f>
        <v>Latur</v>
      </c>
      <c r="G134" s="25" t="str">
        <f>PROPER(TRIM(Raw_Data!F125))</f>
        <v>West Bengal</v>
      </c>
      <c r="H134" s="25" t="str">
        <f>PROPER(TRIM(Raw_Data!G125))</f>
        <v>Spoken English</v>
      </c>
      <c r="I134" s="25" t="str">
        <f>PROPER(TRIM(Raw_Data!H125))</f>
        <v>Chennai Central</v>
      </c>
      <c r="J134" s="26">
        <f>IF(LEN(TRIM(Raw_Data!I125))=4,VALUE(TRIM(Raw_Data!I125)),IF(ISNUMBER(IFERROR(VALUE(MID(TRIM(Raw_Data!I125),1,4)),"NA")),VALUE(MID(TRIM(Raw_Data!I125),1,4)),VALUE(RIGHT(TRIM(Raw_Data!I125),4))))</f>
        <v>2017</v>
      </c>
      <c r="K134" s="25" t="str">
        <f>PROPER(TRIM(Raw_Data!J125))</f>
        <v>Salaried</v>
      </c>
      <c r="L134" s="25" t="str">
        <f t="shared" si="3"/>
        <v>14-16</v>
      </c>
      <c r="M134" s="25" t="str">
        <f t="shared" si="4"/>
        <v>Teens</v>
      </c>
      <c r="N134" s="25" t="str">
        <f>IF(ISNUMBER(SEARCH("NON",UPPER(Raw_Data!M125))),"Non-Premium Learner","Premium Learner")</f>
        <v>Non-Premium Learner</v>
      </c>
      <c r="O134" s="25" t="str">
        <f>PROPER(TRIM(Raw_Data!N125))</f>
        <v>Both App &amp; Web</v>
      </c>
      <c r="P134" s="26">
        <f>IF(Raw_Data!O125="",$C$7,Raw_Data!O125)</f>
        <v>88614.11</v>
      </c>
      <c r="Q134" s="25" t="str">
        <f>IF(Raw_Data!O125="","Missing-Imputed","Original")</f>
        <v>Original</v>
      </c>
      <c r="R134" s="26">
        <f>Raw_Data!P125</f>
        <v>78.3</v>
      </c>
      <c r="S134" s="26">
        <f>Raw_Data!Q125</f>
        <v>40190.660000000003</v>
      </c>
      <c r="T134" s="25" t="str">
        <f>IF(Raw_Data!R125="","Unknown",IF(ISNUMBER(SEARCH("ACT",UPPER(Raw_Data!R125))),"Active",IF(ISNUMBER(SEARCH("CLOS",UPPER(Raw_Data!R125))),"Closed","None")))</f>
        <v>Closed</v>
      </c>
      <c r="U134" s="26">
        <f>IF(Raw_Data!S125="",$C$8,VALUE(Raw_Data!S125))</f>
        <v>835</v>
      </c>
      <c r="V134" s="25" t="str">
        <f>IF(Raw_Data!S125="","Missing-Imputed","Original")</f>
        <v>Original</v>
      </c>
      <c r="W134" s="26">
        <f>Raw_Data!T125</f>
        <v>158</v>
      </c>
      <c r="X134" s="25" t="str">
        <f>IF(ISNUMBER(SEARCH("Y",UPPER(TRIM(Raw_Data!U125)))),"Yes","No")</f>
        <v>Yes</v>
      </c>
      <c r="Y134" s="25" t="str">
        <f>IF(ISNUMBER(SEARCH("Y",UPPER(TRIM(Raw_Data!V125)))),"Yes","No")</f>
        <v>Yes</v>
      </c>
      <c r="Z134" s="26">
        <f>Raw_Data!W125</f>
        <v>3</v>
      </c>
      <c r="AA134" s="26">
        <f>Raw_Data!X125</f>
        <v>6.1</v>
      </c>
      <c r="AB134" s="25" t="str">
        <f>IF(COUNTIFS(Raw_Data!$A$2:$A$616,Raw_Data!A125)&gt;1,"Duplicate","Unique")</f>
        <v>Unique</v>
      </c>
      <c r="AC134" s="25" t="str">
        <f t="shared" si="5"/>
        <v>Clean</v>
      </c>
    </row>
    <row r="135" spans="1:29" ht="15" customHeight="1">
      <c r="A135" s="23" t="str">
        <f>Raw_Data!A126</f>
        <v>BYJ1125</v>
      </c>
      <c r="B135" s="23" t="str">
        <f>Raw_Data!B126</f>
        <v>Ladli Nayar</v>
      </c>
      <c r="C135" s="24">
        <f>IF(OR(Raw_Data!C126="",Raw_Data!C126&lt;$C$5,Raw_Data!C126&gt;$C$6),$C$4,Raw_Data!C126)</f>
        <v>41</v>
      </c>
      <c r="D135" s="23" t="str">
        <f>IF(Raw_Data!C126="","Missing-Imputed",IF(OR(Raw_Data!C126&lt;$C$5,Raw_Data!C126&gt;$C$6),"Outlier-Imputed","Original"))</f>
        <v>Original</v>
      </c>
      <c r="E135" s="23" t="str">
        <f>IF(OR(UPPER(TRIM(Raw_Data!D126))="M",UPPER(TRIM(Raw_Data!D126))="MALE"),"Male","Female")</f>
        <v>Male</v>
      </c>
      <c r="F135" s="23" t="str">
        <f>PROPER(TRIM(Raw_Data!E126))</f>
        <v>Shimla</v>
      </c>
      <c r="G135" s="23" t="str">
        <f>PROPER(TRIM(Raw_Data!F126))</f>
        <v>Maharashtra</v>
      </c>
      <c r="H135" s="23" t="str">
        <f>PROPER(TRIM(Raw_Data!G126))</f>
        <v>Spoken English</v>
      </c>
      <c r="I135" s="23" t="str">
        <f>PROPER(TRIM(Raw_Data!H126))</f>
        <v>Ahmedabad Center</v>
      </c>
      <c r="J135" s="24">
        <f>IF(LEN(TRIM(Raw_Data!I126))=4,VALUE(TRIM(Raw_Data!I126)),IF(ISNUMBER(IFERROR(VALUE(MID(TRIM(Raw_Data!I126),1,4)),"NA")),VALUE(MID(TRIM(Raw_Data!I126),1,4)),VALUE(RIGHT(TRIM(Raw_Data!I126),4))))</f>
        <v>2018</v>
      </c>
      <c r="K135" s="23" t="str">
        <f>PROPER(TRIM(Raw_Data!J126))</f>
        <v>Homemaker</v>
      </c>
      <c r="L135" s="23" t="str">
        <f t="shared" si="3"/>
        <v>20+</v>
      </c>
      <c r="M135" s="23" t="str">
        <f t="shared" si="4"/>
        <v>Adult Learners</v>
      </c>
      <c r="N135" s="23" t="str">
        <f>IF(ISNUMBER(SEARCH("NON",UPPER(Raw_Data!M126))),"Non-Premium Learner","Premium Learner")</f>
        <v>Premium Learner</v>
      </c>
      <c r="O135" s="23" t="str">
        <f>PROPER(TRIM(Raw_Data!N126))</f>
        <v>App Only</v>
      </c>
      <c r="P135" s="24">
        <f>IF(Raw_Data!O126="",$C$7,Raw_Data!O126)</f>
        <v>78504.75</v>
      </c>
      <c r="Q135" s="23" t="str">
        <f>IF(Raw_Data!O126="","Missing-Imputed","Original")</f>
        <v>Original</v>
      </c>
      <c r="R135" s="24">
        <f>Raw_Data!P126</f>
        <v>33.4</v>
      </c>
      <c r="S135" s="24">
        <f>Raw_Data!Q126</f>
        <v>49026.2</v>
      </c>
      <c r="T135" s="23" t="str">
        <f>IF(Raw_Data!R126="","Unknown",IF(ISNUMBER(SEARCH("ACT",UPPER(Raw_Data!R126))),"Active",IF(ISNUMBER(SEARCH("CLOS",UPPER(Raw_Data!R126))),"Closed","None")))</f>
        <v>Active</v>
      </c>
      <c r="U135" s="24">
        <f>IF(Raw_Data!S126="",$C$8,VALUE(Raw_Data!S126))</f>
        <v>754</v>
      </c>
      <c r="V135" s="23" t="str">
        <f>IF(Raw_Data!S126="","Missing-Imputed","Original")</f>
        <v>Original</v>
      </c>
      <c r="W135" s="24">
        <f>Raw_Data!T126</f>
        <v>114</v>
      </c>
      <c r="X135" s="23" t="str">
        <f>IF(ISNUMBER(SEARCH("Y",UPPER(TRIM(Raw_Data!U126)))),"Yes","No")</f>
        <v>Yes</v>
      </c>
      <c r="Y135" s="23" t="str">
        <f>IF(ISNUMBER(SEARCH("Y",UPPER(TRIM(Raw_Data!V126)))),"Yes","No")</f>
        <v>No</v>
      </c>
      <c r="Z135" s="24">
        <f>Raw_Data!W126</f>
        <v>1</v>
      </c>
      <c r="AA135" s="24">
        <f>Raw_Data!X126</f>
        <v>8.8000000000000007</v>
      </c>
      <c r="AB135" s="23" t="str">
        <f>IF(COUNTIFS(Raw_Data!$A$2:$A$616,Raw_Data!A126)&gt;1,"Duplicate","Unique")</f>
        <v>Unique</v>
      </c>
      <c r="AC135" s="23" t="str">
        <f t="shared" si="5"/>
        <v>Clean</v>
      </c>
    </row>
    <row r="136" spans="1:29" ht="15" customHeight="1">
      <c r="A136" s="25" t="str">
        <f>Raw_Data!A127</f>
        <v>BYJ1126</v>
      </c>
      <c r="B136" s="25" t="str">
        <f>Raw_Data!B127</f>
        <v>Qabil Sura</v>
      </c>
      <c r="C136" s="26">
        <f>IF(OR(Raw_Data!C127="",Raw_Data!C127&lt;$C$5,Raw_Data!C127&gt;$C$6),$C$4,Raw_Data!C127)</f>
        <v>24</v>
      </c>
      <c r="D136" s="25" t="str">
        <f>IF(Raw_Data!C127="","Missing-Imputed",IF(OR(Raw_Data!C127&lt;$C$5,Raw_Data!C127&gt;$C$6),"Outlier-Imputed","Original"))</f>
        <v>Missing-Imputed</v>
      </c>
      <c r="E136" s="25" t="str">
        <f>IF(OR(UPPER(TRIM(Raw_Data!D127))="M",UPPER(TRIM(Raw_Data!D127))="MALE"),"Male","Female")</f>
        <v>Female</v>
      </c>
      <c r="F136" s="25" t="str">
        <f>PROPER(TRIM(Raw_Data!E127))</f>
        <v>Raichur</v>
      </c>
      <c r="G136" s="25" t="str">
        <f>PROPER(TRIM(Raw_Data!F127))</f>
        <v>Uttar Pradesh</v>
      </c>
      <c r="H136" s="25" t="str">
        <f>PROPER(TRIM(Raw_Data!G127))</f>
        <v>Coding</v>
      </c>
      <c r="I136" s="25" t="str">
        <f>PROPER(TRIM(Raw_Data!H127))</f>
        <v>Bengaluru South</v>
      </c>
      <c r="J136" s="26">
        <f>IF(LEN(TRIM(Raw_Data!I127))=4,VALUE(TRIM(Raw_Data!I127)),IF(ISNUMBER(IFERROR(VALUE(MID(TRIM(Raw_Data!I127),1,4)),"NA")),VALUE(MID(TRIM(Raw_Data!I127),1,4)),VALUE(RIGHT(TRIM(Raw_Data!I127),4))))</f>
        <v>46043</v>
      </c>
      <c r="K136" s="25" t="str">
        <f>PROPER(TRIM(Raw_Data!J127))</f>
        <v>Government Employee</v>
      </c>
      <c r="L136" s="25" t="str">
        <f t="shared" si="3"/>
        <v>20+</v>
      </c>
      <c r="M136" s="25" t="str">
        <f t="shared" si="4"/>
        <v>Adult Learners</v>
      </c>
      <c r="N136" s="25" t="str">
        <f>IF(ISNUMBER(SEARCH("NON",UPPER(Raw_Data!M127))),"Non-Premium Learner","Premium Learner")</f>
        <v>Non-Premium Learner</v>
      </c>
      <c r="O136" s="25" t="str">
        <f>PROPER(TRIM(Raw_Data!N127))</f>
        <v>Web Only</v>
      </c>
      <c r="P136" s="26">
        <f>IF(Raw_Data!O127="",$C$7,Raw_Data!O127)</f>
        <v>142801.49</v>
      </c>
      <c r="Q136" s="25" t="str">
        <f>IF(Raw_Data!O127="","Missing-Imputed","Original")</f>
        <v>Original</v>
      </c>
      <c r="R136" s="26">
        <f>Raw_Data!P127</f>
        <v>9.1</v>
      </c>
      <c r="S136" s="26">
        <f>Raw_Data!Q127</f>
        <v>13375.09</v>
      </c>
      <c r="T136" s="25" t="str">
        <f>IF(Raw_Data!R127="","Unknown",IF(ISNUMBER(SEARCH("ACT",UPPER(Raw_Data!R127))),"Active",IF(ISNUMBER(SEARCH("CLOS",UPPER(Raw_Data!R127))),"Closed","None")))</f>
        <v>Closed</v>
      </c>
      <c r="U136" s="26">
        <f>IF(Raw_Data!S127="",$C$8,VALUE(Raw_Data!S127))</f>
        <v>873</v>
      </c>
      <c r="V136" s="25" t="str">
        <f>IF(Raw_Data!S127="","Missing-Imputed","Original")</f>
        <v>Original</v>
      </c>
      <c r="W136" s="26">
        <f>Raw_Data!T127</f>
        <v>153</v>
      </c>
      <c r="X136" s="25" t="str">
        <f>IF(ISNUMBER(SEARCH("Y",UPPER(TRIM(Raw_Data!U127)))),"Yes","No")</f>
        <v>No</v>
      </c>
      <c r="Y136" s="25" t="str">
        <f>IF(ISNUMBER(SEARCH("Y",UPPER(TRIM(Raw_Data!V127)))),"Yes","No")</f>
        <v>No</v>
      </c>
      <c r="Z136" s="26">
        <f>Raw_Data!W127</f>
        <v>1</v>
      </c>
      <c r="AA136" s="26">
        <f>Raw_Data!X127</f>
        <v>7</v>
      </c>
      <c r="AB136" s="25" t="str">
        <f>IF(COUNTIFS(Raw_Data!$A$2:$A$616,Raw_Data!A127)&gt;1,"Duplicate","Unique")</f>
        <v>Unique</v>
      </c>
      <c r="AC136" s="25" t="str">
        <f t="shared" si="5"/>
        <v>Imputed</v>
      </c>
    </row>
    <row r="137" spans="1:29" ht="15" customHeight="1">
      <c r="A137" s="23" t="str">
        <f>Raw_Data!A128</f>
        <v>BYJ1127</v>
      </c>
      <c r="B137" s="23" t="str">
        <f>Raw_Data!B128</f>
        <v>Harini Mammen</v>
      </c>
      <c r="C137" s="24">
        <f>IF(OR(Raw_Data!C128="",Raw_Data!C128&lt;$C$5,Raw_Data!C128&gt;$C$6),$C$4,Raw_Data!C128)</f>
        <v>24</v>
      </c>
      <c r="D137" s="23" t="str">
        <f>IF(Raw_Data!C128="","Missing-Imputed",IF(OR(Raw_Data!C128&lt;$C$5,Raw_Data!C128&gt;$C$6),"Outlier-Imputed","Original"))</f>
        <v>Original</v>
      </c>
      <c r="E137" s="23" t="str">
        <f>IF(OR(UPPER(TRIM(Raw_Data!D128))="M",UPPER(TRIM(Raw_Data!D128))="MALE"),"Male","Female")</f>
        <v>Female</v>
      </c>
      <c r="F137" s="23" t="str">
        <f>PROPER(TRIM(Raw_Data!E128))</f>
        <v>Miryalaguda</v>
      </c>
      <c r="G137" s="23" t="str">
        <f>PROPER(TRIM(Raw_Data!F128))</f>
        <v>Maharashtra</v>
      </c>
      <c r="H137" s="23" t="str">
        <f>PROPER(TRIM(Raw_Data!G128))</f>
        <v>Spoken English</v>
      </c>
      <c r="I137" s="23" t="str">
        <f>PROPER(TRIM(Raw_Data!H128))</f>
        <v>Mumbai West</v>
      </c>
      <c r="J137" s="24">
        <f>IF(LEN(TRIM(Raw_Data!I128))=4,VALUE(TRIM(Raw_Data!I128)),IF(ISNUMBER(IFERROR(VALUE(MID(TRIM(Raw_Data!I128),1,4)),"NA")),VALUE(MID(TRIM(Raw_Data!I128),1,4)),VALUE(RIGHT(TRIM(Raw_Data!I128),4))))</f>
        <v>2022</v>
      </c>
      <c r="K137" s="23" t="str">
        <f>PROPER(TRIM(Raw_Data!J128))</f>
        <v>Business</v>
      </c>
      <c r="L137" s="23" t="str">
        <f t="shared" si="3"/>
        <v>20+</v>
      </c>
      <c r="M137" s="23" t="str">
        <f t="shared" si="4"/>
        <v>Adult Learners</v>
      </c>
      <c r="N137" s="23" t="str">
        <f>IF(ISNUMBER(SEARCH("NON",UPPER(Raw_Data!M128))),"Non-Premium Learner","Premium Learner")</f>
        <v>Premium Learner</v>
      </c>
      <c r="O137" s="23" t="str">
        <f>PROPER(TRIM(Raw_Data!N128))</f>
        <v>App Only</v>
      </c>
      <c r="P137" s="24">
        <f>IF(Raw_Data!O128="",$C$7,Raw_Data!O128)</f>
        <v>71271.67</v>
      </c>
      <c r="Q137" s="23" t="str">
        <f>IF(Raw_Data!O128="","Missing-Imputed","Original")</f>
        <v>Original</v>
      </c>
      <c r="R137" s="24">
        <f>Raw_Data!P128</f>
        <v>58.8</v>
      </c>
      <c r="S137" s="24">
        <f>Raw_Data!Q128</f>
        <v>6465.94</v>
      </c>
      <c r="T137" s="23" t="str">
        <f>IF(Raw_Data!R128="","Unknown",IF(ISNUMBER(SEARCH("ACT",UPPER(Raw_Data!R128))),"Active",IF(ISNUMBER(SEARCH("CLOS",UPPER(Raw_Data!R128))),"Closed","None")))</f>
        <v>Closed</v>
      </c>
      <c r="U137" s="24">
        <f>IF(Raw_Data!S128="",$C$8,VALUE(Raw_Data!S128))</f>
        <v>426</v>
      </c>
      <c r="V137" s="23" t="str">
        <f>IF(Raw_Data!S128="","Missing-Imputed","Original")</f>
        <v>Original</v>
      </c>
      <c r="W137" s="24">
        <f>Raw_Data!T128</f>
        <v>115</v>
      </c>
      <c r="X137" s="23" t="str">
        <f>IF(ISNUMBER(SEARCH("Y",UPPER(TRIM(Raw_Data!U128)))),"Yes","No")</f>
        <v>No</v>
      </c>
      <c r="Y137" s="23" t="str">
        <f>IF(ISNUMBER(SEARCH("Y",UPPER(TRIM(Raw_Data!V128)))),"Yes","No")</f>
        <v>No</v>
      </c>
      <c r="Z137" s="24">
        <f>Raw_Data!W128</f>
        <v>5</v>
      </c>
      <c r="AA137" s="24">
        <f>Raw_Data!X128</f>
        <v>6.8</v>
      </c>
      <c r="AB137" s="23" t="str">
        <f>IF(COUNTIFS(Raw_Data!$A$2:$A$616,Raw_Data!A128)&gt;1,"Duplicate","Unique")</f>
        <v>Unique</v>
      </c>
      <c r="AC137" s="23" t="str">
        <f t="shared" si="5"/>
        <v>Clean</v>
      </c>
    </row>
    <row r="138" spans="1:29" ht="15" customHeight="1">
      <c r="A138" s="25" t="str">
        <f>Raw_Data!A129</f>
        <v>BYJ1128</v>
      </c>
      <c r="B138" s="25" t="str">
        <f>Raw_Data!B129</f>
        <v>Zansi Halder</v>
      </c>
      <c r="C138" s="26">
        <f>IF(OR(Raw_Data!C129="",Raw_Data!C129&lt;$C$5,Raw_Data!C129&gt;$C$6),$C$4,Raw_Data!C129)</f>
        <v>43</v>
      </c>
      <c r="D138" s="25" t="str">
        <f>IF(Raw_Data!C129="","Missing-Imputed",IF(OR(Raw_Data!C129&lt;$C$5,Raw_Data!C129&gt;$C$6),"Outlier-Imputed","Original"))</f>
        <v>Original</v>
      </c>
      <c r="E138" s="25" t="str">
        <f>IF(OR(UPPER(TRIM(Raw_Data!D129))="M",UPPER(TRIM(Raw_Data!D129))="MALE"),"Male","Female")</f>
        <v>Female</v>
      </c>
      <c r="F138" s="25" t="str">
        <f>PROPER(TRIM(Raw_Data!E129))</f>
        <v>New Delhi</v>
      </c>
      <c r="G138" s="25" t="str">
        <f>PROPER(TRIM(Raw_Data!F129))</f>
        <v>Maharashtra</v>
      </c>
      <c r="H138" s="25" t="str">
        <f>PROPER(TRIM(Raw_Data!G129))</f>
        <v>Science</v>
      </c>
      <c r="I138" s="25" t="str">
        <f>PROPER(TRIM(Raw_Data!H129))</f>
        <v>Mumbai West</v>
      </c>
      <c r="J138" s="26">
        <f>IF(LEN(TRIM(Raw_Data!I129))=4,VALUE(TRIM(Raw_Data!I129)),IF(ISNUMBER(IFERROR(VALUE(MID(TRIM(Raw_Data!I129),1,4)),"NA")),VALUE(MID(TRIM(Raw_Data!I129),1,4)),VALUE(RIGHT(TRIM(Raw_Data!I129),4))))</f>
        <v>2017</v>
      </c>
      <c r="K138" s="25" t="str">
        <f>PROPER(TRIM(Raw_Data!J129))</f>
        <v>Government Employee</v>
      </c>
      <c r="L138" s="25" t="str">
        <f t="shared" si="3"/>
        <v>20+</v>
      </c>
      <c r="M138" s="25" t="str">
        <f t="shared" si="4"/>
        <v>Adult Learners</v>
      </c>
      <c r="N138" s="25" t="str">
        <f>IF(ISNUMBER(SEARCH("NON",UPPER(Raw_Data!M129))),"Non-Premium Learner","Premium Learner")</f>
        <v>Non-Premium Learner</v>
      </c>
      <c r="O138" s="25" t="str">
        <f>PROPER(TRIM(Raw_Data!N129))</f>
        <v>Both App &amp; Web</v>
      </c>
      <c r="P138" s="26">
        <f>IF(Raw_Data!O129="",$C$7,Raw_Data!O129)</f>
        <v>137806.99</v>
      </c>
      <c r="Q138" s="25" t="str">
        <f>IF(Raw_Data!O129="","Missing-Imputed","Original")</f>
        <v>Original</v>
      </c>
      <c r="R138" s="26">
        <f>Raw_Data!P129</f>
        <v>25.5</v>
      </c>
      <c r="S138" s="26">
        <f>Raw_Data!Q129</f>
        <v>57815.61</v>
      </c>
      <c r="T138" s="25" t="str">
        <f>IF(Raw_Data!R129="","Unknown",IF(ISNUMBER(SEARCH("ACT",UPPER(Raw_Data!R129))),"Active",IF(ISNUMBER(SEARCH("CLOS",UPPER(Raw_Data!R129))),"Closed","None")))</f>
        <v>Closed</v>
      </c>
      <c r="U138" s="26">
        <f>IF(Raw_Data!S129="",$C$8,VALUE(Raw_Data!S129))</f>
        <v>436</v>
      </c>
      <c r="V138" s="25" t="str">
        <f>IF(Raw_Data!S129="","Missing-Imputed","Original")</f>
        <v>Original</v>
      </c>
      <c r="W138" s="26">
        <f>Raw_Data!T129</f>
        <v>154</v>
      </c>
      <c r="X138" s="25" t="str">
        <f>IF(ISNUMBER(SEARCH("Y",UPPER(TRIM(Raw_Data!U129)))),"Yes","No")</f>
        <v>No</v>
      </c>
      <c r="Y138" s="25" t="str">
        <f>IF(ISNUMBER(SEARCH("Y",UPPER(TRIM(Raw_Data!V129)))),"Yes","No")</f>
        <v>Yes</v>
      </c>
      <c r="Z138" s="26">
        <f>Raw_Data!W129</f>
        <v>2</v>
      </c>
      <c r="AA138" s="26">
        <f>Raw_Data!X129</f>
        <v>5.8</v>
      </c>
      <c r="AB138" s="25" t="str">
        <f>IF(COUNTIFS(Raw_Data!$A$2:$A$616,Raw_Data!A129)&gt;1,"Duplicate","Unique")</f>
        <v>Unique</v>
      </c>
      <c r="AC138" s="25" t="str">
        <f t="shared" si="5"/>
        <v>Clean</v>
      </c>
    </row>
    <row r="139" spans="1:29" ht="15" customHeight="1">
      <c r="A139" s="23" t="str">
        <f>Raw_Data!A130</f>
        <v>BYJ1129</v>
      </c>
      <c r="B139" s="23" t="str">
        <f>Raw_Data!B130</f>
        <v>Vrinda Khosla</v>
      </c>
      <c r="C139" s="24">
        <f>IF(OR(Raw_Data!C130="",Raw_Data!C130&lt;$C$5,Raw_Data!C130&gt;$C$6),$C$4,Raw_Data!C130)</f>
        <v>14</v>
      </c>
      <c r="D139" s="23" t="str">
        <f>IF(Raw_Data!C130="","Missing-Imputed",IF(OR(Raw_Data!C130&lt;$C$5,Raw_Data!C130&gt;$C$6),"Outlier-Imputed","Original"))</f>
        <v>Original</v>
      </c>
      <c r="E139" s="23" t="str">
        <f>IF(OR(UPPER(TRIM(Raw_Data!D130))="M",UPPER(TRIM(Raw_Data!D130))="MALE"),"Male","Female")</f>
        <v>Male</v>
      </c>
      <c r="F139" s="23" t="str">
        <f>PROPER(TRIM(Raw_Data!E130))</f>
        <v>Pallavaram</v>
      </c>
      <c r="G139" s="23" t="str">
        <f>PROPER(TRIM(Raw_Data!F130))</f>
        <v>Gujarat</v>
      </c>
      <c r="H139" s="23" t="str">
        <f>PROPER(TRIM(Raw_Data!G130))</f>
        <v>Mathematics</v>
      </c>
      <c r="I139" s="23" t="str">
        <f>PROPER(TRIM(Raw_Data!H130))</f>
        <v>Pune East</v>
      </c>
      <c r="J139" s="24">
        <f>IF(LEN(TRIM(Raw_Data!I130))=4,VALUE(TRIM(Raw_Data!I130)),IF(ISNUMBER(IFERROR(VALUE(MID(TRIM(Raw_Data!I130),1,4)),"NA")),VALUE(MID(TRIM(Raw_Data!I130),1,4)),VALUE(RIGHT(TRIM(Raw_Data!I130),4))))</f>
        <v>2024</v>
      </c>
      <c r="K139" s="23" t="str">
        <f>PROPER(TRIM(Raw_Data!J130))</f>
        <v>Retired</v>
      </c>
      <c r="L139" s="23" t="str">
        <f t="shared" ref="L139:L202" si="6">IF(C139&lt;10,"Under 10",IF(C139&lt;=13,"10-13",IF(C139&lt;=16,"14-16",IF(C139&lt;=19,"17-19","20+"))))</f>
        <v>14-16</v>
      </c>
      <c r="M139" s="23" t="str">
        <f t="shared" ref="M139:M202" si="7">IF(OR(L139="Under 10",L139="10-13"),"Kids",IF(OR(L139="14-16",L139="17-19"),"Teens","Adult Learners"))</f>
        <v>Teens</v>
      </c>
      <c r="N139" s="23" t="str">
        <f>IF(ISNUMBER(SEARCH("NON",UPPER(Raw_Data!M130))),"Non-Premium Learner","Premium Learner")</f>
        <v>Non-Premium Learner</v>
      </c>
      <c r="O139" s="23" t="str">
        <f>PROPER(TRIM(Raw_Data!N130))</f>
        <v>Web Only</v>
      </c>
      <c r="P139" s="24">
        <f>IF(Raw_Data!O130="",$C$7,Raw_Data!O130)</f>
        <v>132234.20000000001</v>
      </c>
      <c r="Q139" s="23" t="str">
        <f>IF(Raw_Data!O130="","Missing-Imputed","Original")</f>
        <v>Original</v>
      </c>
      <c r="R139" s="24">
        <f>Raw_Data!P130</f>
        <v>6</v>
      </c>
      <c r="S139" s="24">
        <f>Raw_Data!Q130</f>
        <v>6388.23</v>
      </c>
      <c r="T139" s="23" t="str">
        <f>IF(Raw_Data!R130="","Unknown",IF(ISNUMBER(SEARCH("ACT",UPPER(Raw_Data!R130))),"Active",IF(ISNUMBER(SEARCH("CLOS",UPPER(Raw_Data!R130))),"Closed","None")))</f>
        <v>Closed</v>
      </c>
      <c r="U139" s="24">
        <f>IF(Raw_Data!S130="",$C$8,VALUE(Raw_Data!S130))</f>
        <v>354</v>
      </c>
      <c r="V139" s="23" t="str">
        <f>IF(Raw_Data!S130="","Missing-Imputed","Original")</f>
        <v>Original</v>
      </c>
      <c r="W139" s="24">
        <f>Raw_Data!T130</f>
        <v>51</v>
      </c>
      <c r="X139" s="23" t="str">
        <f>IF(ISNUMBER(SEARCH("Y",UPPER(TRIM(Raw_Data!U130)))),"Yes","No")</f>
        <v>No</v>
      </c>
      <c r="Y139" s="23" t="str">
        <f>IF(ISNUMBER(SEARCH("Y",UPPER(TRIM(Raw_Data!V130)))),"Yes","No")</f>
        <v>No</v>
      </c>
      <c r="Z139" s="24">
        <f>Raw_Data!W130</f>
        <v>2</v>
      </c>
      <c r="AA139" s="24">
        <f>Raw_Data!X130</f>
        <v>7.6</v>
      </c>
      <c r="AB139" s="23" t="str">
        <f>IF(COUNTIFS(Raw_Data!$A$2:$A$616,Raw_Data!A130)&gt;1,"Duplicate","Unique")</f>
        <v>Unique</v>
      </c>
      <c r="AC139" s="23" t="str">
        <f t="shared" ref="AC139:AC202" si="8">IF(AB139="Duplicate","Review-Duplicate",IF(OR(D139&lt;&gt;"Original",Q139&lt;&gt;"Original",V139&lt;&gt;"Original"),"Imputed","Clean"))</f>
        <v>Clean</v>
      </c>
    </row>
    <row r="140" spans="1:29" ht="15" customHeight="1">
      <c r="A140" s="25" t="str">
        <f>Raw_Data!A131</f>
        <v>BYJ1130</v>
      </c>
      <c r="B140" s="25" t="str">
        <f>Raw_Data!B131</f>
        <v>Anay Chander</v>
      </c>
      <c r="C140" s="26">
        <f>IF(OR(Raw_Data!C131="",Raw_Data!C131&lt;$C$5,Raw_Data!C131&gt;$C$6),$C$4,Raw_Data!C131)</f>
        <v>40</v>
      </c>
      <c r="D140" s="25" t="str">
        <f>IF(Raw_Data!C131="","Missing-Imputed",IF(OR(Raw_Data!C131&lt;$C$5,Raw_Data!C131&gt;$C$6),"Outlier-Imputed","Original"))</f>
        <v>Original</v>
      </c>
      <c r="E140" s="25" t="str">
        <f>IF(OR(UPPER(TRIM(Raw_Data!D131))="M",UPPER(TRIM(Raw_Data!D131))="MALE"),"Male","Female")</f>
        <v>Male</v>
      </c>
      <c r="F140" s="25" t="str">
        <f>PROPER(TRIM(Raw_Data!E131))</f>
        <v>Korba</v>
      </c>
      <c r="G140" s="25" t="str">
        <f>PROPER(TRIM(Raw_Data!F131))</f>
        <v>Karnataka</v>
      </c>
      <c r="H140" s="25" t="str">
        <f>PROPER(TRIM(Raw_Data!G131))</f>
        <v>English</v>
      </c>
      <c r="I140" s="25" t="str">
        <f>PROPER(TRIM(Raw_Data!H131))</f>
        <v>Jaipur Center</v>
      </c>
      <c r="J140" s="26">
        <f>IF(LEN(TRIM(Raw_Data!I131))=4,VALUE(TRIM(Raw_Data!I131)),IF(ISNUMBER(IFERROR(VALUE(MID(TRIM(Raw_Data!I131),1,4)),"NA")),VALUE(MID(TRIM(Raw_Data!I131),1,4)),VALUE(RIGHT(TRIM(Raw_Data!I131),4))))</f>
        <v>2022</v>
      </c>
      <c r="K140" s="25" t="str">
        <f>PROPER(TRIM(Raw_Data!J131))</f>
        <v>Retired</v>
      </c>
      <c r="L140" s="25" t="str">
        <f t="shared" si="6"/>
        <v>20+</v>
      </c>
      <c r="M140" s="25" t="str">
        <f t="shared" si="7"/>
        <v>Adult Learners</v>
      </c>
      <c r="N140" s="25" t="str">
        <f>IF(ISNUMBER(SEARCH("NON",UPPER(Raw_Data!M131))),"Non-Premium Learner","Premium Learner")</f>
        <v>Non-Premium Learner</v>
      </c>
      <c r="O140" s="25" t="str">
        <f>PROPER(TRIM(Raw_Data!N131))</f>
        <v>Web Only</v>
      </c>
      <c r="P140" s="26">
        <f>IF(Raw_Data!O131="",$C$7,Raw_Data!O131)</f>
        <v>65402.1</v>
      </c>
      <c r="Q140" s="25" t="str">
        <f>IF(Raw_Data!O131="","Missing-Imputed","Original")</f>
        <v>Original</v>
      </c>
      <c r="R140" s="26">
        <f>Raw_Data!P131</f>
        <v>56.4</v>
      </c>
      <c r="S140" s="26">
        <f>Raw_Data!Q131</f>
        <v>57949.99</v>
      </c>
      <c r="T140" s="25" t="str">
        <f>IF(Raw_Data!R131="","Unknown",IF(ISNUMBER(SEARCH("ACT",UPPER(Raw_Data!R131))),"Active",IF(ISNUMBER(SEARCH("CLOS",UPPER(Raw_Data!R131))),"Closed","None")))</f>
        <v>Active</v>
      </c>
      <c r="U140" s="26">
        <f>IF(Raw_Data!S131="",$C$8,VALUE(Raw_Data!S131))</f>
        <v>557</v>
      </c>
      <c r="V140" s="25" t="str">
        <f>IF(Raw_Data!S131="","Missing-Imputed","Original")</f>
        <v>Original</v>
      </c>
      <c r="W140" s="26">
        <f>Raw_Data!T131</f>
        <v>199</v>
      </c>
      <c r="X140" s="25" t="str">
        <f>IF(ISNUMBER(SEARCH("Y",UPPER(TRIM(Raw_Data!U131)))),"Yes","No")</f>
        <v>No</v>
      </c>
      <c r="Y140" s="25" t="str">
        <f>IF(ISNUMBER(SEARCH("Y",UPPER(TRIM(Raw_Data!V131)))),"Yes","No")</f>
        <v>No</v>
      </c>
      <c r="Z140" s="26">
        <f>Raw_Data!W131</f>
        <v>2</v>
      </c>
      <c r="AA140" s="26">
        <f>Raw_Data!X131</f>
        <v>3</v>
      </c>
      <c r="AB140" s="25" t="str">
        <f>IF(COUNTIFS(Raw_Data!$A$2:$A$616,Raw_Data!A131)&gt;1,"Duplicate","Unique")</f>
        <v>Unique</v>
      </c>
      <c r="AC140" s="25" t="str">
        <f t="shared" si="8"/>
        <v>Clean</v>
      </c>
    </row>
    <row r="141" spans="1:29" ht="15" customHeight="1">
      <c r="A141" s="23" t="str">
        <f>Raw_Data!A132</f>
        <v>BYJ1131</v>
      </c>
      <c r="B141" s="23" t="str">
        <f>Raw_Data!B132</f>
        <v>Yagnesh Mohan</v>
      </c>
      <c r="C141" s="24">
        <f>IF(OR(Raw_Data!C132="",Raw_Data!C132&lt;$C$5,Raw_Data!C132&gt;$C$6),$C$4,Raw_Data!C132)</f>
        <v>17</v>
      </c>
      <c r="D141" s="23" t="str">
        <f>IF(Raw_Data!C132="","Missing-Imputed",IF(OR(Raw_Data!C132&lt;$C$5,Raw_Data!C132&gt;$C$6),"Outlier-Imputed","Original"))</f>
        <v>Original</v>
      </c>
      <c r="E141" s="23" t="str">
        <f>IF(OR(UPPER(TRIM(Raw_Data!D132))="M",UPPER(TRIM(Raw_Data!D132))="MALE"),"Male","Female")</f>
        <v>Male</v>
      </c>
      <c r="F141" s="23" t="str">
        <f>PROPER(TRIM(Raw_Data!E132))</f>
        <v>Bhalswa Jahangir Pur</v>
      </c>
      <c r="G141" s="23" t="str">
        <f>PROPER(TRIM(Raw_Data!F132))</f>
        <v>Tamil Nadu</v>
      </c>
      <c r="H141" s="23" t="str">
        <f>PROPER(TRIM(Raw_Data!G132))</f>
        <v>Robotics</v>
      </c>
      <c r="I141" s="23" t="str">
        <f>PROPER(TRIM(Raw_Data!H132))</f>
        <v>Hyderabad Hub</v>
      </c>
      <c r="J141" s="24">
        <f>IF(LEN(TRIM(Raw_Data!I132))=4,VALUE(TRIM(Raw_Data!I132)),IF(ISNUMBER(IFERROR(VALUE(MID(TRIM(Raw_Data!I132),1,4)),"NA")),VALUE(MID(TRIM(Raw_Data!I132),1,4)),VALUE(RIGHT(TRIM(Raw_Data!I132),4))))</f>
        <v>2024</v>
      </c>
      <c r="K141" s="23" t="str">
        <f>PROPER(TRIM(Raw_Data!J132))</f>
        <v>Government Employee</v>
      </c>
      <c r="L141" s="23" t="str">
        <f t="shared" si="6"/>
        <v>17-19</v>
      </c>
      <c r="M141" s="23" t="str">
        <f t="shared" si="7"/>
        <v>Teens</v>
      </c>
      <c r="N141" s="23" t="str">
        <f>IF(ISNUMBER(SEARCH("NON",UPPER(Raw_Data!M132))),"Non-Premium Learner","Premium Learner")</f>
        <v>Non-Premium Learner</v>
      </c>
      <c r="O141" s="23" t="str">
        <f>PROPER(TRIM(Raw_Data!N132))</f>
        <v>Web Only</v>
      </c>
      <c r="P141" s="24">
        <f>IF(Raw_Data!O132="",$C$7,Raw_Data!O132)</f>
        <v>107904.95</v>
      </c>
      <c r="Q141" s="23" t="str">
        <f>IF(Raw_Data!O132="","Missing-Imputed","Original")</f>
        <v>Original</v>
      </c>
      <c r="R141" s="24">
        <f>Raw_Data!P132</f>
        <v>16.5</v>
      </c>
      <c r="S141" s="24">
        <f>Raw_Data!Q132</f>
        <v>19357.8</v>
      </c>
      <c r="T141" s="23" t="str">
        <f>IF(Raw_Data!R132="","Unknown",IF(ISNUMBER(SEARCH("ACT",UPPER(Raw_Data!R132))),"Active",IF(ISNUMBER(SEARCH("CLOS",UPPER(Raw_Data!R132))),"Closed","None")))</f>
        <v>Active</v>
      </c>
      <c r="U141" s="24">
        <f>IF(Raw_Data!S132="",$C$8,VALUE(Raw_Data!S132))</f>
        <v>802</v>
      </c>
      <c r="V141" s="23" t="str">
        <f>IF(Raw_Data!S132="","Missing-Imputed","Original")</f>
        <v>Original</v>
      </c>
      <c r="W141" s="24">
        <f>Raw_Data!T132</f>
        <v>140</v>
      </c>
      <c r="X141" s="23" t="str">
        <f>IF(ISNUMBER(SEARCH("Y",UPPER(TRIM(Raw_Data!U132)))),"Yes","No")</f>
        <v>No</v>
      </c>
      <c r="Y141" s="23" t="str">
        <f>IF(ISNUMBER(SEARCH("Y",UPPER(TRIM(Raw_Data!V132)))),"Yes","No")</f>
        <v>No</v>
      </c>
      <c r="Z141" s="24">
        <f>Raw_Data!W132</f>
        <v>2</v>
      </c>
      <c r="AA141" s="24">
        <f>Raw_Data!X132</f>
        <v>4.9000000000000004</v>
      </c>
      <c r="AB141" s="23" t="str">
        <f>IF(COUNTIFS(Raw_Data!$A$2:$A$616,Raw_Data!A132)&gt;1,"Duplicate","Unique")</f>
        <v>Unique</v>
      </c>
      <c r="AC141" s="23" t="str">
        <f t="shared" si="8"/>
        <v>Clean</v>
      </c>
    </row>
    <row r="142" spans="1:29" ht="15" customHeight="1">
      <c r="A142" s="25" t="str">
        <f>Raw_Data!A133</f>
        <v>BYJ1132</v>
      </c>
      <c r="B142" s="25" t="str">
        <f>Raw_Data!B133</f>
        <v>Pavani Narayanan</v>
      </c>
      <c r="C142" s="26">
        <f>IF(OR(Raw_Data!C133="",Raw_Data!C133&lt;$C$5,Raw_Data!C133&gt;$C$6),$C$4,Raw_Data!C133)</f>
        <v>40</v>
      </c>
      <c r="D142" s="25" t="str">
        <f>IF(Raw_Data!C133="","Missing-Imputed",IF(OR(Raw_Data!C133&lt;$C$5,Raw_Data!C133&gt;$C$6),"Outlier-Imputed","Original"))</f>
        <v>Original</v>
      </c>
      <c r="E142" s="25" t="str">
        <f>IF(OR(UPPER(TRIM(Raw_Data!D133))="M",UPPER(TRIM(Raw_Data!D133))="MALE"),"Male","Female")</f>
        <v>Female</v>
      </c>
      <c r="F142" s="25" t="str">
        <f>PROPER(TRIM(Raw_Data!E133))</f>
        <v>Malda</v>
      </c>
      <c r="G142" s="25" t="str">
        <f>PROPER(TRIM(Raw_Data!F133))</f>
        <v>Delhi</v>
      </c>
      <c r="H142" s="25" t="str">
        <f>PROPER(TRIM(Raw_Data!G133))</f>
        <v>Neet Prep</v>
      </c>
      <c r="I142" s="25" t="str">
        <f>PROPER(TRIM(Raw_Data!H133))</f>
        <v>Pune East</v>
      </c>
      <c r="J142" s="26">
        <f>IF(LEN(TRIM(Raw_Data!I133))=4,VALUE(TRIM(Raw_Data!I133)),IF(ISNUMBER(IFERROR(VALUE(MID(TRIM(Raw_Data!I133),1,4)),"NA")),VALUE(MID(TRIM(Raw_Data!I133),1,4)),VALUE(RIGHT(TRIM(Raw_Data!I133),4))))</f>
        <v>2021</v>
      </c>
      <c r="K142" s="25" t="str">
        <f>PROPER(TRIM(Raw_Data!J133))</f>
        <v>Government Employee</v>
      </c>
      <c r="L142" s="25" t="str">
        <f t="shared" si="6"/>
        <v>20+</v>
      </c>
      <c r="M142" s="25" t="str">
        <f t="shared" si="7"/>
        <v>Adult Learners</v>
      </c>
      <c r="N142" s="25" t="str">
        <f>IF(ISNUMBER(SEARCH("NON",UPPER(Raw_Data!M133))),"Non-Premium Learner","Premium Learner")</f>
        <v>Non-Premium Learner</v>
      </c>
      <c r="O142" s="25" t="str">
        <f>PROPER(TRIM(Raw_Data!N133))</f>
        <v>App Only</v>
      </c>
      <c r="P142" s="26">
        <f>IF(Raw_Data!O133="",$C$7,Raw_Data!O133)</f>
        <v>21634.68</v>
      </c>
      <c r="Q142" s="25" t="str">
        <f>IF(Raw_Data!O133="","Missing-Imputed","Original")</f>
        <v>Original</v>
      </c>
      <c r="R142" s="26">
        <f>Raw_Data!P133</f>
        <v>23</v>
      </c>
      <c r="S142" s="26">
        <f>Raw_Data!Q133</f>
        <v>38535.86</v>
      </c>
      <c r="T142" s="25" t="str">
        <f>IF(Raw_Data!R133="","Unknown",IF(ISNUMBER(SEARCH("ACT",UPPER(Raw_Data!R133))),"Active",IF(ISNUMBER(SEARCH("CLOS",UPPER(Raw_Data!R133))),"Closed","None")))</f>
        <v>None</v>
      </c>
      <c r="U142" s="26">
        <f>IF(Raw_Data!S133="",$C$8,VALUE(Raw_Data!S133))</f>
        <v>340</v>
      </c>
      <c r="V142" s="25" t="str">
        <f>IF(Raw_Data!S133="","Missing-Imputed","Original")</f>
        <v>Original</v>
      </c>
      <c r="W142" s="26">
        <f>Raw_Data!T133</f>
        <v>82</v>
      </c>
      <c r="X142" s="25" t="str">
        <f>IF(ISNUMBER(SEARCH("Y",UPPER(TRIM(Raw_Data!U133)))),"Yes","No")</f>
        <v>No</v>
      </c>
      <c r="Y142" s="25" t="str">
        <f>IF(ISNUMBER(SEARCH("Y",UPPER(TRIM(Raw_Data!V133)))),"Yes","No")</f>
        <v>No</v>
      </c>
      <c r="Z142" s="26">
        <f>Raw_Data!W133</f>
        <v>5</v>
      </c>
      <c r="AA142" s="26">
        <f>Raw_Data!X133</f>
        <v>6.7</v>
      </c>
      <c r="AB142" s="25" t="str">
        <f>IF(COUNTIFS(Raw_Data!$A$2:$A$616,Raw_Data!A133)&gt;1,"Duplicate","Unique")</f>
        <v>Unique</v>
      </c>
      <c r="AC142" s="25" t="str">
        <f t="shared" si="8"/>
        <v>Clean</v>
      </c>
    </row>
    <row r="143" spans="1:29" ht="15" customHeight="1">
      <c r="A143" s="23" t="str">
        <f>Raw_Data!A134</f>
        <v>BYJ1133</v>
      </c>
      <c r="B143" s="23" t="str">
        <f>Raw_Data!B134</f>
        <v xml:space="preserve">  Damini Krishnamurthy  </v>
      </c>
      <c r="C143" s="24">
        <f>IF(OR(Raw_Data!C134="",Raw_Data!C134&lt;$C$5,Raw_Data!C134&gt;$C$6),$C$4,Raw_Data!C134)</f>
        <v>29</v>
      </c>
      <c r="D143" s="23" t="str">
        <f>IF(Raw_Data!C134="","Missing-Imputed",IF(OR(Raw_Data!C134&lt;$C$5,Raw_Data!C134&gt;$C$6),"Outlier-Imputed","Original"))</f>
        <v>Original</v>
      </c>
      <c r="E143" s="23" t="str">
        <f>IF(OR(UPPER(TRIM(Raw_Data!D134))="M",UPPER(TRIM(Raw_Data!D134))="MALE"),"Male","Female")</f>
        <v>Female</v>
      </c>
      <c r="F143" s="23" t="str">
        <f>PROPER(TRIM(Raw_Data!E134))</f>
        <v>Jamshedpur</v>
      </c>
      <c r="G143" s="23" t="str">
        <f>PROPER(TRIM(Raw_Data!F134))</f>
        <v>Delhi</v>
      </c>
      <c r="H143" s="23" t="str">
        <f>PROPER(TRIM(Raw_Data!G134))</f>
        <v>Neet Prep</v>
      </c>
      <c r="I143" s="23" t="str">
        <f>PROPER(TRIM(Raw_Data!H134))</f>
        <v>Jaipur Center</v>
      </c>
      <c r="J143" s="24">
        <f>IF(LEN(TRIM(Raw_Data!I134))=4,VALUE(TRIM(Raw_Data!I134)),IF(ISNUMBER(IFERROR(VALUE(MID(TRIM(Raw_Data!I134),1,4)),"NA")),VALUE(MID(TRIM(Raw_Data!I134),1,4)),VALUE(RIGHT(TRIM(Raw_Data!I134),4))))</f>
        <v>2017</v>
      </c>
      <c r="K143" s="23" t="str">
        <f>PROPER(TRIM(Raw_Data!J134))</f>
        <v>Retired</v>
      </c>
      <c r="L143" s="23" t="str">
        <f t="shared" si="6"/>
        <v>20+</v>
      </c>
      <c r="M143" s="23" t="str">
        <f t="shared" si="7"/>
        <v>Adult Learners</v>
      </c>
      <c r="N143" s="23" t="str">
        <f>IF(ISNUMBER(SEARCH("NON",UPPER(Raw_Data!M134))),"Non-Premium Learner","Premium Learner")</f>
        <v>Premium Learner</v>
      </c>
      <c r="O143" s="23" t="str">
        <f>PROPER(TRIM(Raw_Data!N134))</f>
        <v>App Only</v>
      </c>
      <c r="P143" s="24">
        <f>IF(Raw_Data!O134="",$C$7,Raw_Data!O134)</f>
        <v>130417.87</v>
      </c>
      <c r="Q143" s="23" t="str">
        <f>IF(Raw_Data!O134="","Missing-Imputed","Original")</f>
        <v>Original</v>
      </c>
      <c r="R143" s="24">
        <f>Raw_Data!P134</f>
        <v>12.8</v>
      </c>
      <c r="S143" s="24">
        <f>Raw_Data!Q134</f>
        <v>32265.25</v>
      </c>
      <c r="T143" s="23" t="str">
        <f>IF(Raw_Data!R134="","Unknown",IF(ISNUMBER(SEARCH("ACT",UPPER(Raw_Data!R134))),"Active",IF(ISNUMBER(SEARCH("CLOS",UPPER(Raw_Data!R134))),"Closed","None")))</f>
        <v>None</v>
      </c>
      <c r="U143" s="24">
        <f>IF(Raw_Data!S134="",$C$8,VALUE(Raw_Data!S134))</f>
        <v>373</v>
      </c>
      <c r="V143" s="23" t="str">
        <f>IF(Raw_Data!S134="","Missing-Imputed","Original")</f>
        <v>Original</v>
      </c>
      <c r="W143" s="24">
        <f>Raw_Data!T134</f>
        <v>39</v>
      </c>
      <c r="X143" s="23" t="str">
        <f>IF(ISNUMBER(SEARCH("Y",UPPER(TRIM(Raw_Data!U134)))),"Yes","No")</f>
        <v>Yes</v>
      </c>
      <c r="Y143" s="23" t="str">
        <f>IF(ISNUMBER(SEARCH("Y",UPPER(TRIM(Raw_Data!V134)))),"Yes","No")</f>
        <v>No</v>
      </c>
      <c r="Z143" s="24">
        <f>Raw_Data!W134</f>
        <v>1</v>
      </c>
      <c r="AA143" s="24">
        <f>Raw_Data!X134</f>
        <v>1.1000000000000001</v>
      </c>
      <c r="AB143" s="23" t="str">
        <f>IF(COUNTIFS(Raw_Data!$A$2:$A$616,Raw_Data!A134)&gt;1,"Duplicate","Unique")</f>
        <v>Unique</v>
      </c>
      <c r="AC143" s="23" t="str">
        <f t="shared" si="8"/>
        <v>Clean</v>
      </c>
    </row>
    <row r="144" spans="1:29" ht="15" customHeight="1">
      <c r="A144" s="25" t="str">
        <f>Raw_Data!A135</f>
        <v>BYJ1134</v>
      </c>
      <c r="B144" s="25" t="str">
        <f>Raw_Data!B135</f>
        <v>Diya Dar</v>
      </c>
      <c r="C144" s="26">
        <f>IF(OR(Raw_Data!C135="",Raw_Data!C135&lt;$C$5,Raw_Data!C135&gt;$C$6),$C$4,Raw_Data!C135)</f>
        <v>10</v>
      </c>
      <c r="D144" s="25" t="str">
        <f>IF(Raw_Data!C135="","Missing-Imputed",IF(OR(Raw_Data!C135&lt;$C$5,Raw_Data!C135&gt;$C$6),"Outlier-Imputed","Original"))</f>
        <v>Original</v>
      </c>
      <c r="E144" s="25" t="str">
        <f>IF(OR(UPPER(TRIM(Raw_Data!D135))="M",UPPER(TRIM(Raw_Data!D135))="MALE"),"Male","Female")</f>
        <v>Male</v>
      </c>
      <c r="F144" s="25" t="str">
        <f>PROPER(TRIM(Raw_Data!E135))</f>
        <v>Nellore</v>
      </c>
      <c r="G144" s="25" t="str">
        <f>PROPER(TRIM(Raw_Data!F135))</f>
        <v>Rajasthan</v>
      </c>
      <c r="H144" s="25" t="str">
        <f>PROPER(TRIM(Raw_Data!G135))</f>
        <v>Robotics</v>
      </c>
      <c r="I144" s="25" t="str">
        <f>PROPER(TRIM(Raw_Data!H135))</f>
        <v>Kolkata Main</v>
      </c>
      <c r="J144" s="26">
        <f>IF(LEN(TRIM(Raw_Data!I135))=4,VALUE(TRIM(Raw_Data!I135)),IF(ISNUMBER(IFERROR(VALUE(MID(TRIM(Raw_Data!I135),1,4)),"NA")),VALUE(MID(TRIM(Raw_Data!I135),1,4)),VALUE(RIGHT(TRIM(Raw_Data!I135),4))))</f>
        <v>2021</v>
      </c>
      <c r="K144" s="25" t="str">
        <f>PROPER(TRIM(Raw_Data!J135))</f>
        <v>Government Employee</v>
      </c>
      <c r="L144" s="25" t="str">
        <f t="shared" si="6"/>
        <v>10-13</v>
      </c>
      <c r="M144" s="25" t="str">
        <f t="shared" si="7"/>
        <v>Kids</v>
      </c>
      <c r="N144" s="25" t="str">
        <f>IF(ISNUMBER(SEARCH("NON",UPPER(Raw_Data!M135))),"Non-Premium Learner","Premium Learner")</f>
        <v>Premium Learner</v>
      </c>
      <c r="O144" s="25" t="str">
        <f>PROPER(TRIM(Raw_Data!N135))</f>
        <v>App Only</v>
      </c>
      <c r="P144" s="26">
        <f>IF(Raw_Data!O135="",$C$7,Raw_Data!O135)</f>
        <v>114614.29</v>
      </c>
      <c r="Q144" s="25" t="str">
        <f>IF(Raw_Data!O135="","Missing-Imputed","Original")</f>
        <v>Original</v>
      </c>
      <c r="R144" s="26">
        <f>Raw_Data!P135</f>
        <v>57.6</v>
      </c>
      <c r="S144" s="26">
        <f>Raw_Data!Q135</f>
        <v>4355.37</v>
      </c>
      <c r="T144" s="25" t="str">
        <f>IF(Raw_Data!R135="","Unknown",IF(ISNUMBER(SEARCH("ACT",UPPER(Raw_Data!R135))),"Active",IF(ISNUMBER(SEARCH("CLOS",UPPER(Raw_Data!R135))),"Closed","None")))</f>
        <v>None</v>
      </c>
      <c r="U144" s="26">
        <f>IF(Raw_Data!S135="",$C$8,VALUE(Raw_Data!S135))</f>
        <v>596</v>
      </c>
      <c r="V144" s="25" t="str">
        <f>IF(Raw_Data!S135="","Missing-Imputed","Original")</f>
        <v>Original</v>
      </c>
      <c r="W144" s="26">
        <f>Raw_Data!T135</f>
        <v>77</v>
      </c>
      <c r="X144" s="25" t="str">
        <f>IF(ISNUMBER(SEARCH("Y",UPPER(TRIM(Raw_Data!U135)))),"Yes","No")</f>
        <v>Yes</v>
      </c>
      <c r="Y144" s="25" t="str">
        <f>IF(ISNUMBER(SEARCH("Y",UPPER(TRIM(Raw_Data!V135)))),"Yes","No")</f>
        <v>No</v>
      </c>
      <c r="Z144" s="26">
        <f>Raw_Data!W135</f>
        <v>4</v>
      </c>
      <c r="AA144" s="26">
        <f>Raw_Data!X135</f>
        <v>7.5</v>
      </c>
      <c r="AB144" s="25" t="str">
        <f>IF(COUNTIFS(Raw_Data!$A$2:$A$616,Raw_Data!A135)&gt;1,"Duplicate","Unique")</f>
        <v>Unique</v>
      </c>
      <c r="AC144" s="25" t="str">
        <f t="shared" si="8"/>
        <v>Clean</v>
      </c>
    </row>
    <row r="145" spans="1:29" ht="15" customHeight="1">
      <c r="A145" s="23" t="str">
        <f>Raw_Data!A136</f>
        <v>BYJ1135</v>
      </c>
      <c r="B145" s="23" t="str">
        <f>Raw_Data!B136</f>
        <v xml:space="preserve">  Veda Malhotra  </v>
      </c>
      <c r="C145" s="24">
        <f>IF(OR(Raw_Data!C136="",Raw_Data!C136&lt;$C$5,Raw_Data!C136&gt;$C$6),$C$4,Raw_Data!C136)</f>
        <v>20</v>
      </c>
      <c r="D145" s="23" t="str">
        <f>IF(Raw_Data!C136="","Missing-Imputed",IF(OR(Raw_Data!C136&lt;$C$5,Raw_Data!C136&gt;$C$6),"Outlier-Imputed","Original"))</f>
        <v>Original</v>
      </c>
      <c r="E145" s="23" t="str">
        <f>IF(OR(UPPER(TRIM(Raw_Data!D136))="M",UPPER(TRIM(Raw_Data!D136))="MALE"),"Male","Female")</f>
        <v>Male</v>
      </c>
      <c r="F145" s="23" t="str">
        <f>PROPER(TRIM(Raw_Data!E136))</f>
        <v>Salem</v>
      </c>
      <c r="G145" s="23" t="str">
        <f>PROPER(TRIM(Raw_Data!F136))</f>
        <v>Uttar Pradesh</v>
      </c>
      <c r="H145" s="23" t="str">
        <f>PROPER(TRIM(Raw_Data!G136))</f>
        <v>Jee Prep</v>
      </c>
      <c r="I145" s="23" t="str">
        <f>PROPER(TRIM(Raw_Data!H136))</f>
        <v>Mumbai West</v>
      </c>
      <c r="J145" s="24">
        <f>IF(LEN(TRIM(Raw_Data!I136))=4,VALUE(TRIM(Raw_Data!I136)),IF(ISNUMBER(IFERROR(VALUE(MID(TRIM(Raw_Data!I136),1,4)),"NA")),VALUE(MID(TRIM(Raw_Data!I136),1,4)),VALUE(RIGHT(TRIM(Raw_Data!I136),4))))</f>
        <v>46048</v>
      </c>
      <c r="K145" s="23" t="str">
        <f>PROPER(TRIM(Raw_Data!J136))</f>
        <v>Salaried</v>
      </c>
      <c r="L145" s="23" t="str">
        <f t="shared" si="6"/>
        <v>20+</v>
      </c>
      <c r="M145" s="23" t="str">
        <f t="shared" si="7"/>
        <v>Adult Learners</v>
      </c>
      <c r="N145" s="23" t="str">
        <f>IF(ISNUMBER(SEARCH("NON",UPPER(Raw_Data!M136))),"Non-Premium Learner","Premium Learner")</f>
        <v>Non-Premium Learner</v>
      </c>
      <c r="O145" s="23" t="str">
        <f>PROPER(TRIM(Raw_Data!N136))</f>
        <v>App Only</v>
      </c>
      <c r="P145" s="24">
        <f>IF(Raw_Data!O136="",$C$7,Raw_Data!O136)</f>
        <v>11057.11</v>
      </c>
      <c r="Q145" s="23" t="str">
        <f>IF(Raw_Data!O136="","Missing-Imputed","Original")</f>
        <v>Original</v>
      </c>
      <c r="R145" s="24">
        <f>Raw_Data!P136</f>
        <v>34.6</v>
      </c>
      <c r="S145" s="24">
        <f>Raw_Data!Q136</f>
        <v>32851.53</v>
      </c>
      <c r="T145" s="23" t="str">
        <f>IF(Raw_Data!R136="","Unknown",IF(ISNUMBER(SEARCH("ACT",UPPER(Raw_Data!R136))),"Active",IF(ISNUMBER(SEARCH("CLOS",UPPER(Raw_Data!R136))),"Closed","None")))</f>
        <v>Active</v>
      </c>
      <c r="U145" s="24">
        <f>IF(Raw_Data!S136="",$C$8,VALUE(Raw_Data!S136))</f>
        <v>515</v>
      </c>
      <c r="V145" s="23" t="str">
        <f>IF(Raw_Data!S136="","Missing-Imputed","Original")</f>
        <v>Original</v>
      </c>
      <c r="W145" s="24">
        <f>Raw_Data!T136</f>
        <v>185</v>
      </c>
      <c r="X145" s="23" t="str">
        <f>IF(ISNUMBER(SEARCH("Y",UPPER(TRIM(Raw_Data!U136)))),"Yes","No")</f>
        <v>No</v>
      </c>
      <c r="Y145" s="23" t="str">
        <f>IF(ISNUMBER(SEARCH("Y",UPPER(TRIM(Raw_Data!V136)))),"Yes","No")</f>
        <v>No</v>
      </c>
      <c r="Z145" s="24">
        <f>Raw_Data!W136</f>
        <v>2</v>
      </c>
      <c r="AA145" s="24">
        <f>Raw_Data!X136</f>
        <v>2.1</v>
      </c>
      <c r="AB145" s="23" t="str">
        <f>IF(COUNTIFS(Raw_Data!$A$2:$A$616,Raw_Data!A136)&gt;1,"Duplicate","Unique")</f>
        <v>Unique</v>
      </c>
      <c r="AC145" s="23" t="str">
        <f t="shared" si="8"/>
        <v>Clean</v>
      </c>
    </row>
    <row r="146" spans="1:29" ht="15" customHeight="1">
      <c r="A146" s="25" t="str">
        <f>Raw_Data!A137</f>
        <v>BYJ1136</v>
      </c>
      <c r="B146" s="25" t="str">
        <f>Raw_Data!B137</f>
        <v>Chaman Karan</v>
      </c>
      <c r="C146" s="26">
        <f>IF(OR(Raw_Data!C137="",Raw_Data!C137&lt;$C$5,Raw_Data!C137&gt;$C$6),$C$4,Raw_Data!C137)</f>
        <v>13</v>
      </c>
      <c r="D146" s="25" t="str">
        <f>IF(Raw_Data!C137="","Missing-Imputed",IF(OR(Raw_Data!C137&lt;$C$5,Raw_Data!C137&gt;$C$6),"Outlier-Imputed","Original"))</f>
        <v>Original</v>
      </c>
      <c r="E146" s="25" t="str">
        <f>IF(OR(UPPER(TRIM(Raw_Data!D137))="M",UPPER(TRIM(Raw_Data!D137))="MALE"),"Male","Female")</f>
        <v>Male</v>
      </c>
      <c r="F146" s="25" t="str">
        <f>PROPER(TRIM(Raw_Data!E137))</f>
        <v>Mangalore</v>
      </c>
      <c r="G146" s="25" t="str">
        <f>PROPER(TRIM(Raw_Data!F137))</f>
        <v>Uttar Pradesh</v>
      </c>
      <c r="H146" s="25" t="str">
        <f>PROPER(TRIM(Raw_Data!G137))</f>
        <v>Spoken English</v>
      </c>
      <c r="I146" s="25" t="str">
        <f>PROPER(TRIM(Raw_Data!H137))</f>
        <v>Jaipur Center</v>
      </c>
      <c r="J146" s="26">
        <f>IF(LEN(TRIM(Raw_Data!I137))=4,VALUE(TRIM(Raw_Data!I137)),IF(ISNUMBER(IFERROR(VALUE(MID(TRIM(Raw_Data!I137),1,4)),"NA")),VALUE(MID(TRIM(Raw_Data!I137),1,4)),VALUE(RIGHT(TRIM(Raw_Data!I137),4))))</f>
        <v>2017</v>
      </c>
      <c r="K146" s="25" t="str">
        <f>PROPER(TRIM(Raw_Data!J137))</f>
        <v>Homemaker</v>
      </c>
      <c r="L146" s="25" t="str">
        <f t="shared" si="6"/>
        <v>10-13</v>
      </c>
      <c r="M146" s="25" t="str">
        <f t="shared" si="7"/>
        <v>Kids</v>
      </c>
      <c r="N146" s="25" t="str">
        <f>IF(ISNUMBER(SEARCH("NON",UPPER(Raw_Data!M137))),"Non-Premium Learner","Premium Learner")</f>
        <v>Premium Learner</v>
      </c>
      <c r="O146" s="25" t="str">
        <f>PROPER(TRIM(Raw_Data!N137))</f>
        <v>Web Only</v>
      </c>
      <c r="P146" s="26">
        <f>IF(Raw_Data!O137="",$C$7,Raw_Data!O137)</f>
        <v>142973.29</v>
      </c>
      <c r="Q146" s="25" t="str">
        <f>IF(Raw_Data!O137="","Missing-Imputed","Original")</f>
        <v>Original</v>
      </c>
      <c r="R146" s="26">
        <f>Raw_Data!P137</f>
        <v>55.3</v>
      </c>
      <c r="S146" s="26">
        <f>Raw_Data!Q137</f>
        <v>14071.97</v>
      </c>
      <c r="T146" s="25" t="str">
        <f>IF(Raw_Data!R137="","Unknown",IF(ISNUMBER(SEARCH("ACT",UPPER(Raw_Data!R137))),"Active",IF(ISNUMBER(SEARCH("CLOS",UPPER(Raw_Data!R137))),"Closed","None")))</f>
        <v>Closed</v>
      </c>
      <c r="U146" s="26">
        <f>IF(Raw_Data!S137="",$C$8,VALUE(Raw_Data!S137))</f>
        <v>371</v>
      </c>
      <c r="V146" s="25" t="str">
        <f>IF(Raw_Data!S137="","Missing-Imputed","Original")</f>
        <v>Original</v>
      </c>
      <c r="W146" s="26">
        <f>Raw_Data!T137</f>
        <v>81</v>
      </c>
      <c r="X146" s="25" t="str">
        <f>IF(ISNUMBER(SEARCH("Y",UPPER(TRIM(Raw_Data!U137)))),"Yes","No")</f>
        <v>No</v>
      </c>
      <c r="Y146" s="25" t="str">
        <f>IF(ISNUMBER(SEARCH("Y",UPPER(TRIM(Raw_Data!V137)))),"Yes","No")</f>
        <v>No</v>
      </c>
      <c r="Z146" s="26">
        <f>Raw_Data!W137</f>
        <v>5</v>
      </c>
      <c r="AA146" s="26">
        <f>Raw_Data!X137</f>
        <v>1.8</v>
      </c>
      <c r="AB146" s="25" t="str">
        <f>IF(COUNTIFS(Raw_Data!$A$2:$A$616,Raw_Data!A137)&gt;1,"Duplicate","Unique")</f>
        <v>Unique</v>
      </c>
      <c r="AC146" s="25" t="str">
        <f t="shared" si="8"/>
        <v>Clean</v>
      </c>
    </row>
    <row r="147" spans="1:29" ht="15" customHeight="1">
      <c r="A147" s="23" t="str">
        <f>Raw_Data!A138</f>
        <v>BYJ1137</v>
      </c>
      <c r="B147" s="23" t="str">
        <f>Raw_Data!B138</f>
        <v>Akshay Walla</v>
      </c>
      <c r="C147" s="24">
        <f>IF(OR(Raw_Data!C138="",Raw_Data!C138&lt;$C$5,Raw_Data!C138&gt;$C$6),$C$4,Raw_Data!C138)</f>
        <v>33</v>
      </c>
      <c r="D147" s="23" t="str">
        <f>IF(Raw_Data!C138="","Missing-Imputed",IF(OR(Raw_Data!C138&lt;$C$5,Raw_Data!C138&gt;$C$6),"Outlier-Imputed","Original"))</f>
        <v>Original</v>
      </c>
      <c r="E147" s="23" t="str">
        <f>IF(OR(UPPER(TRIM(Raw_Data!D138))="M",UPPER(TRIM(Raw_Data!D138))="MALE"),"Male","Female")</f>
        <v>Male</v>
      </c>
      <c r="F147" s="23" t="str">
        <f>PROPER(TRIM(Raw_Data!E138))</f>
        <v>Panipat</v>
      </c>
      <c r="G147" s="23" t="str">
        <f>PROPER(TRIM(Raw_Data!F138))</f>
        <v>Delhi</v>
      </c>
      <c r="H147" s="23" t="str">
        <f>PROPER(TRIM(Raw_Data!G138))</f>
        <v>Robotics</v>
      </c>
      <c r="I147" s="23" t="str">
        <f>PROPER(TRIM(Raw_Data!H138))</f>
        <v>Hyderabad Hub</v>
      </c>
      <c r="J147" s="24">
        <f>IF(LEN(TRIM(Raw_Data!I138))=4,VALUE(TRIM(Raw_Data!I138)),IF(ISNUMBER(IFERROR(VALUE(MID(TRIM(Raw_Data!I138),1,4)),"NA")),VALUE(MID(TRIM(Raw_Data!I138),1,4)),VALUE(RIGHT(TRIM(Raw_Data!I138),4))))</f>
        <v>2021</v>
      </c>
      <c r="K147" s="23" t="str">
        <f>PROPER(TRIM(Raw_Data!J138))</f>
        <v>Self-Employed</v>
      </c>
      <c r="L147" s="23" t="str">
        <f t="shared" si="6"/>
        <v>20+</v>
      </c>
      <c r="M147" s="23" t="str">
        <f t="shared" si="7"/>
        <v>Adult Learners</v>
      </c>
      <c r="N147" s="23" t="str">
        <f>IF(ISNUMBER(SEARCH("NON",UPPER(Raw_Data!M138))),"Non-Premium Learner","Premium Learner")</f>
        <v>Non-Premium Learner</v>
      </c>
      <c r="O147" s="23" t="str">
        <f>PROPER(TRIM(Raw_Data!N138))</f>
        <v>Web Only</v>
      </c>
      <c r="P147" s="24">
        <f>IF(Raw_Data!O138="",$C$7,Raw_Data!O138)</f>
        <v>75610.850000000006</v>
      </c>
      <c r="Q147" s="23" t="str">
        <f>IF(Raw_Data!O138="","Missing-Imputed","Original")</f>
        <v>Original</v>
      </c>
      <c r="R147" s="24">
        <f>Raw_Data!P138</f>
        <v>53.4</v>
      </c>
      <c r="S147" s="24">
        <f>Raw_Data!Q138</f>
        <v>4918.42</v>
      </c>
      <c r="T147" s="23" t="str">
        <f>IF(Raw_Data!R138="","Unknown",IF(ISNUMBER(SEARCH("ACT",UPPER(Raw_Data!R138))),"Active",IF(ISNUMBER(SEARCH("CLOS",UPPER(Raw_Data!R138))),"Closed","None")))</f>
        <v>Closed</v>
      </c>
      <c r="U147" s="24">
        <f>IF(Raw_Data!S138="",$C$8,VALUE(Raw_Data!S138))</f>
        <v>851</v>
      </c>
      <c r="V147" s="23" t="str">
        <f>IF(Raw_Data!S138="","Missing-Imputed","Original")</f>
        <v>Original</v>
      </c>
      <c r="W147" s="24">
        <f>Raw_Data!T138</f>
        <v>187</v>
      </c>
      <c r="X147" s="23" t="str">
        <f>IF(ISNUMBER(SEARCH("Y",UPPER(TRIM(Raw_Data!U138)))),"Yes","No")</f>
        <v>Yes</v>
      </c>
      <c r="Y147" s="23" t="str">
        <f>IF(ISNUMBER(SEARCH("Y",UPPER(TRIM(Raw_Data!V138)))),"Yes","No")</f>
        <v>Yes</v>
      </c>
      <c r="Z147" s="24">
        <f>Raw_Data!W138</f>
        <v>5</v>
      </c>
      <c r="AA147" s="24">
        <f>Raw_Data!X138</f>
        <v>5.4</v>
      </c>
      <c r="AB147" s="23" t="str">
        <f>IF(COUNTIFS(Raw_Data!$A$2:$A$616,Raw_Data!A138)&gt;1,"Duplicate","Unique")</f>
        <v>Unique</v>
      </c>
      <c r="AC147" s="23" t="str">
        <f t="shared" si="8"/>
        <v>Clean</v>
      </c>
    </row>
    <row r="148" spans="1:29" ht="15" customHeight="1">
      <c r="A148" s="25" t="str">
        <f>Raw_Data!A139</f>
        <v>BYJ1138</v>
      </c>
      <c r="B148" s="25" t="str">
        <f>Raw_Data!B139</f>
        <v>Chatura Master</v>
      </c>
      <c r="C148" s="26">
        <f>IF(OR(Raw_Data!C139="",Raw_Data!C139&lt;$C$5,Raw_Data!C139&gt;$C$6),$C$4,Raw_Data!C139)</f>
        <v>8</v>
      </c>
      <c r="D148" s="25" t="str">
        <f>IF(Raw_Data!C139="","Missing-Imputed",IF(OR(Raw_Data!C139&lt;$C$5,Raw_Data!C139&gt;$C$6),"Outlier-Imputed","Original"))</f>
        <v>Original</v>
      </c>
      <c r="E148" s="25" t="str">
        <f>IF(OR(UPPER(TRIM(Raw_Data!D139))="M",UPPER(TRIM(Raw_Data!D139))="MALE"),"Male","Female")</f>
        <v>Female</v>
      </c>
      <c r="F148" s="25" t="str">
        <f>PROPER(TRIM(Raw_Data!E139))</f>
        <v>Pallavaram</v>
      </c>
      <c r="G148" s="25" t="str">
        <f>PROPER(TRIM(Raw_Data!F139))</f>
        <v>Uttar Pradesh</v>
      </c>
      <c r="H148" s="25" t="str">
        <f>PROPER(TRIM(Raw_Data!G139))</f>
        <v>Spoken English</v>
      </c>
      <c r="I148" s="25" t="str">
        <f>PROPER(TRIM(Raw_Data!H139))</f>
        <v>Mumbai West</v>
      </c>
      <c r="J148" s="26">
        <f>IF(LEN(TRIM(Raw_Data!I139))=4,VALUE(TRIM(Raw_Data!I139)),IF(ISNUMBER(IFERROR(VALUE(MID(TRIM(Raw_Data!I139),1,4)),"NA")),VALUE(MID(TRIM(Raw_Data!I139),1,4)),VALUE(RIGHT(TRIM(Raw_Data!I139),4))))</f>
        <v>2021</v>
      </c>
      <c r="K148" s="25" t="str">
        <f>PROPER(TRIM(Raw_Data!J139))</f>
        <v>Business</v>
      </c>
      <c r="L148" s="25" t="str">
        <f t="shared" si="6"/>
        <v>Under 10</v>
      </c>
      <c r="M148" s="25" t="str">
        <f t="shared" si="7"/>
        <v>Kids</v>
      </c>
      <c r="N148" s="25" t="str">
        <f>IF(ISNUMBER(SEARCH("NON",UPPER(Raw_Data!M139))),"Non-Premium Learner","Premium Learner")</f>
        <v>Non-Premium Learner</v>
      </c>
      <c r="O148" s="25" t="str">
        <f>PROPER(TRIM(Raw_Data!N139))</f>
        <v>Web Only</v>
      </c>
      <c r="P148" s="26">
        <f>IF(Raw_Data!O139="",$C$7,Raw_Data!O139)</f>
        <v>71742.19</v>
      </c>
      <c r="Q148" s="25" t="str">
        <f>IF(Raw_Data!O139="","Missing-Imputed","Original")</f>
        <v>Missing-Imputed</v>
      </c>
      <c r="R148" s="26">
        <f>Raw_Data!P139</f>
        <v>22.9</v>
      </c>
      <c r="S148" s="26">
        <f>Raw_Data!Q139</f>
        <v>57840.02</v>
      </c>
      <c r="T148" s="25" t="str">
        <f>IF(Raw_Data!R139="","Unknown",IF(ISNUMBER(SEARCH("ACT",UPPER(Raw_Data!R139))),"Active",IF(ISNUMBER(SEARCH("CLOS",UPPER(Raw_Data!R139))),"Closed","None")))</f>
        <v>None</v>
      </c>
      <c r="U148" s="26">
        <f>IF(Raw_Data!S139="",$C$8,VALUE(Raw_Data!S139))</f>
        <v>826</v>
      </c>
      <c r="V148" s="25" t="str">
        <f>IF(Raw_Data!S139="","Missing-Imputed","Original")</f>
        <v>Original</v>
      </c>
      <c r="W148" s="26">
        <f>Raw_Data!T139</f>
        <v>40</v>
      </c>
      <c r="X148" s="25" t="str">
        <f>IF(ISNUMBER(SEARCH("Y",UPPER(TRIM(Raw_Data!U139)))),"Yes","No")</f>
        <v>Yes</v>
      </c>
      <c r="Y148" s="25" t="str">
        <f>IF(ISNUMBER(SEARCH("Y",UPPER(TRIM(Raw_Data!V139)))),"Yes","No")</f>
        <v>No</v>
      </c>
      <c r="Z148" s="26">
        <f>Raw_Data!W139</f>
        <v>1</v>
      </c>
      <c r="AA148" s="26">
        <f>Raw_Data!X139</f>
        <v>2.4</v>
      </c>
      <c r="AB148" s="25" t="str">
        <f>IF(COUNTIFS(Raw_Data!$A$2:$A$616,Raw_Data!A139)&gt;1,"Duplicate","Unique")</f>
        <v>Unique</v>
      </c>
      <c r="AC148" s="25" t="str">
        <f t="shared" si="8"/>
        <v>Imputed</v>
      </c>
    </row>
    <row r="149" spans="1:29" ht="15" customHeight="1">
      <c r="A149" s="23" t="str">
        <f>Raw_Data!A140</f>
        <v>BYJ1139</v>
      </c>
      <c r="B149" s="23" t="str">
        <f>Raw_Data!B140</f>
        <v>Advik Mane</v>
      </c>
      <c r="C149" s="24">
        <f>IF(OR(Raw_Data!C140="",Raw_Data!C140&lt;$C$5,Raw_Data!C140&gt;$C$6),$C$4,Raw_Data!C140)</f>
        <v>29</v>
      </c>
      <c r="D149" s="23" t="str">
        <f>IF(Raw_Data!C140="","Missing-Imputed",IF(OR(Raw_Data!C140&lt;$C$5,Raw_Data!C140&gt;$C$6),"Outlier-Imputed","Original"))</f>
        <v>Original</v>
      </c>
      <c r="E149" s="23" t="str">
        <f>IF(OR(UPPER(TRIM(Raw_Data!D140))="M",UPPER(TRIM(Raw_Data!D140))="MALE"),"Male","Female")</f>
        <v>Male</v>
      </c>
      <c r="F149" s="23" t="str">
        <f>PROPER(TRIM(Raw_Data!E140))</f>
        <v>Nangloi Jat</v>
      </c>
      <c r="G149" s="23" t="str">
        <f>PROPER(TRIM(Raw_Data!F140))</f>
        <v>Uttar Pradesh</v>
      </c>
      <c r="H149" s="23" t="str">
        <f>PROPER(TRIM(Raw_Data!G140))</f>
        <v>Neet Prep</v>
      </c>
      <c r="I149" s="23" t="str">
        <f>PROPER(TRIM(Raw_Data!H140))</f>
        <v>Kolkata Main</v>
      </c>
      <c r="J149" s="24">
        <f>IF(LEN(TRIM(Raw_Data!I140))=4,VALUE(TRIM(Raw_Data!I140)),IF(ISNUMBER(IFERROR(VALUE(MID(TRIM(Raw_Data!I140),1,4)),"NA")),VALUE(MID(TRIM(Raw_Data!I140),1,4)),VALUE(RIGHT(TRIM(Raw_Data!I140),4))))</f>
        <v>2023</v>
      </c>
      <c r="K149" s="23" t="str">
        <f>PROPER(TRIM(Raw_Data!J140))</f>
        <v>Retired</v>
      </c>
      <c r="L149" s="23" t="str">
        <f t="shared" si="6"/>
        <v>20+</v>
      </c>
      <c r="M149" s="23" t="str">
        <f t="shared" si="7"/>
        <v>Adult Learners</v>
      </c>
      <c r="N149" s="23" t="str">
        <f>IF(ISNUMBER(SEARCH("NON",UPPER(Raw_Data!M140))),"Non-Premium Learner","Premium Learner")</f>
        <v>Non-Premium Learner</v>
      </c>
      <c r="O149" s="23" t="str">
        <f>PROPER(TRIM(Raw_Data!N140))</f>
        <v>Both App &amp; Web</v>
      </c>
      <c r="P149" s="24">
        <f>IF(Raw_Data!O140="",$C$7,Raw_Data!O140)</f>
        <v>96867.21</v>
      </c>
      <c r="Q149" s="23" t="str">
        <f>IF(Raw_Data!O140="","Missing-Imputed","Original")</f>
        <v>Original</v>
      </c>
      <c r="R149" s="24">
        <f>Raw_Data!P140</f>
        <v>60.6</v>
      </c>
      <c r="S149" s="24">
        <f>Raw_Data!Q140</f>
        <v>34717.89</v>
      </c>
      <c r="T149" s="23" t="str">
        <f>IF(Raw_Data!R140="","Unknown",IF(ISNUMBER(SEARCH("ACT",UPPER(Raw_Data!R140))),"Active",IF(ISNUMBER(SEARCH("CLOS",UPPER(Raw_Data!R140))),"Closed","None")))</f>
        <v>None</v>
      </c>
      <c r="U149" s="24">
        <f>IF(Raw_Data!S140="",$C$8,VALUE(Raw_Data!S140))</f>
        <v>685</v>
      </c>
      <c r="V149" s="23" t="str">
        <f>IF(Raw_Data!S140="","Missing-Imputed","Original")</f>
        <v>Original</v>
      </c>
      <c r="W149" s="24">
        <f>Raw_Data!T140</f>
        <v>93</v>
      </c>
      <c r="X149" s="23" t="str">
        <f>IF(ISNUMBER(SEARCH("Y",UPPER(TRIM(Raw_Data!U140)))),"Yes","No")</f>
        <v>Yes</v>
      </c>
      <c r="Y149" s="23" t="str">
        <f>IF(ISNUMBER(SEARCH("Y",UPPER(TRIM(Raw_Data!V140)))),"Yes","No")</f>
        <v>No</v>
      </c>
      <c r="Z149" s="24">
        <f>Raw_Data!W140</f>
        <v>5</v>
      </c>
      <c r="AA149" s="24">
        <f>Raw_Data!X140</f>
        <v>3.9</v>
      </c>
      <c r="AB149" s="23" t="str">
        <f>IF(COUNTIFS(Raw_Data!$A$2:$A$616,Raw_Data!A140)&gt;1,"Duplicate","Unique")</f>
        <v>Unique</v>
      </c>
      <c r="AC149" s="23" t="str">
        <f t="shared" si="8"/>
        <v>Clean</v>
      </c>
    </row>
    <row r="150" spans="1:29" ht="15" customHeight="1">
      <c r="A150" s="25" t="str">
        <f>Raw_Data!A141</f>
        <v>BYJ1140</v>
      </c>
      <c r="B150" s="25" t="str">
        <f>Raw_Data!B141</f>
        <v>Harini Gour</v>
      </c>
      <c r="C150" s="26">
        <f>IF(OR(Raw_Data!C141="",Raw_Data!C141&lt;$C$5,Raw_Data!C141&gt;$C$6),$C$4,Raw_Data!C141)</f>
        <v>36</v>
      </c>
      <c r="D150" s="25" t="str">
        <f>IF(Raw_Data!C141="","Missing-Imputed",IF(OR(Raw_Data!C141&lt;$C$5,Raw_Data!C141&gt;$C$6),"Outlier-Imputed","Original"))</f>
        <v>Original</v>
      </c>
      <c r="E150" s="25" t="str">
        <f>IF(OR(UPPER(TRIM(Raw_Data!D141))="M",UPPER(TRIM(Raw_Data!D141))="MALE"),"Male","Female")</f>
        <v>Male</v>
      </c>
      <c r="F150" s="25" t="str">
        <f>PROPER(TRIM(Raw_Data!E141))</f>
        <v>Nizamabad</v>
      </c>
      <c r="G150" s="25" t="str">
        <f>PROPER(TRIM(Raw_Data!F141))</f>
        <v>Rajasthan</v>
      </c>
      <c r="H150" s="25" t="str">
        <f>PROPER(TRIM(Raw_Data!G141))</f>
        <v>Science</v>
      </c>
      <c r="I150" s="25" t="str">
        <f>PROPER(TRIM(Raw_Data!H141))</f>
        <v>Delhi North</v>
      </c>
      <c r="J150" s="26">
        <f>IF(LEN(TRIM(Raw_Data!I141))=4,VALUE(TRIM(Raw_Data!I141)),IF(ISNUMBER(IFERROR(VALUE(MID(TRIM(Raw_Data!I141),1,4)),"NA")),VALUE(MID(TRIM(Raw_Data!I141),1,4)),VALUE(RIGHT(TRIM(Raw_Data!I141),4))))</f>
        <v>2017</v>
      </c>
      <c r="K150" s="25" t="str">
        <f>PROPER(TRIM(Raw_Data!J141))</f>
        <v>Business</v>
      </c>
      <c r="L150" s="25" t="str">
        <f t="shared" si="6"/>
        <v>20+</v>
      </c>
      <c r="M150" s="25" t="str">
        <f t="shared" si="7"/>
        <v>Adult Learners</v>
      </c>
      <c r="N150" s="25" t="str">
        <f>IF(ISNUMBER(SEARCH("NON",UPPER(Raw_Data!M141))),"Non-Premium Learner","Premium Learner")</f>
        <v>Premium Learner</v>
      </c>
      <c r="O150" s="25" t="str">
        <f>PROPER(TRIM(Raw_Data!N141))</f>
        <v>Both App &amp; Web</v>
      </c>
      <c r="P150" s="26">
        <f>IF(Raw_Data!O141="",$C$7,Raw_Data!O141)</f>
        <v>109008.89</v>
      </c>
      <c r="Q150" s="25" t="str">
        <f>IF(Raw_Data!O141="","Missing-Imputed","Original")</f>
        <v>Original</v>
      </c>
      <c r="R150" s="26">
        <f>Raw_Data!P141</f>
        <v>22.3</v>
      </c>
      <c r="S150" s="26">
        <f>Raw_Data!Q141</f>
        <v>48670.36</v>
      </c>
      <c r="T150" s="25" t="str">
        <f>IF(Raw_Data!R141="","Unknown",IF(ISNUMBER(SEARCH("ACT",UPPER(Raw_Data!R141))),"Active",IF(ISNUMBER(SEARCH("CLOS",UPPER(Raw_Data!R141))),"Closed","None")))</f>
        <v>None</v>
      </c>
      <c r="U150" s="26">
        <f>IF(Raw_Data!S141="",$C$8,VALUE(Raw_Data!S141))</f>
        <v>793</v>
      </c>
      <c r="V150" s="25" t="str">
        <f>IF(Raw_Data!S141="","Missing-Imputed","Original")</f>
        <v>Original</v>
      </c>
      <c r="W150" s="26">
        <f>Raw_Data!T141</f>
        <v>122</v>
      </c>
      <c r="X150" s="25" t="str">
        <f>IF(ISNUMBER(SEARCH("Y",UPPER(TRIM(Raw_Data!U141)))),"Yes","No")</f>
        <v>Yes</v>
      </c>
      <c r="Y150" s="25" t="str">
        <f>IF(ISNUMBER(SEARCH("Y",UPPER(TRIM(Raw_Data!V141)))),"Yes","No")</f>
        <v>No</v>
      </c>
      <c r="Z150" s="26">
        <f>Raw_Data!W141</f>
        <v>2</v>
      </c>
      <c r="AA150" s="26">
        <f>Raw_Data!X141</f>
        <v>0.9</v>
      </c>
      <c r="AB150" s="25" t="str">
        <f>IF(COUNTIFS(Raw_Data!$A$2:$A$616,Raw_Data!A141)&gt;1,"Duplicate","Unique")</f>
        <v>Unique</v>
      </c>
      <c r="AC150" s="25" t="str">
        <f t="shared" si="8"/>
        <v>Clean</v>
      </c>
    </row>
    <row r="151" spans="1:29" ht="15" customHeight="1">
      <c r="A151" s="23" t="str">
        <f>Raw_Data!A142</f>
        <v>BYJ1141</v>
      </c>
      <c r="B151" s="23" t="str">
        <f>Raw_Data!B142</f>
        <v>Ishaan Bhattacharyya</v>
      </c>
      <c r="C151" s="24">
        <f>IF(OR(Raw_Data!C142="",Raw_Data!C142&lt;$C$5,Raw_Data!C142&gt;$C$6),$C$4,Raw_Data!C142)</f>
        <v>38</v>
      </c>
      <c r="D151" s="23" t="str">
        <f>IF(Raw_Data!C142="","Missing-Imputed",IF(OR(Raw_Data!C142&lt;$C$5,Raw_Data!C142&gt;$C$6),"Outlier-Imputed","Original"))</f>
        <v>Original</v>
      </c>
      <c r="E151" s="23" t="str">
        <f>IF(OR(UPPER(TRIM(Raw_Data!D142))="M",UPPER(TRIM(Raw_Data!D142))="MALE"),"Male","Female")</f>
        <v>Male</v>
      </c>
      <c r="F151" s="23" t="str">
        <f>PROPER(TRIM(Raw_Data!E142))</f>
        <v>Pallavaram</v>
      </c>
      <c r="G151" s="23" t="str">
        <f>PROPER(TRIM(Raw_Data!F142))</f>
        <v>Maharashtra</v>
      </c>
      <c r="H151" s="23" t="str">
        <f>PROPER(TRIM(Raw_Data!G142))</f>
        <v>Jee Prep</v>
      </c>
      <c r="I151" s="23" t="str">
        <f>PROPER(TRIM(Raw_Data!H142))</f>
        <v>Mumbai West</v>
      </c>
      <c r="J151" s="24">
        <f>IF(LEN(TRIM(Raw_Data!I142))=4,VALUE(TRIM(Raw_Data!I142)),IF(ISNUMBER(IFERROR(VALUE(MID(TRIM(Raw_Data!I142),1,4)),"NA")),VALUE(MID(TRIM(Raw_Data!I142),1,4)),VALUE(RIGHT(TRIM(Raw_Data!I142),4))))</f>
        <v>2024</v>
      </c>
      <c r="K151" s="23" t="str">
        <f>PROPER(TRIM(Raw_Data!J142))</f>
        <v>Retired</v>
      </c>
      <c r="L151" s="23" t="str">
        <f t="shared" si="6"/>
        <v>20+</v>
      </c>
      <c r="M151" s="23" t="str">
        <f t="shared" si="7"/>
        <v>Adult Learners</v>
      </c>
      <c r="N151" s="23" t="str">
        <f>IF(ISNUMBER(SEARCH("NON",UPPER(Raw_Data!M142))),"Non-Premium Learner","Premium Learner")</f>
        <v>Non-Premium Learner</v>
      </c>
      <c r="O151" s="23" t="str">
        <f>PROPER(TRIM(Raw_Data!N142))</f>
        <v>App Only</v>
      </c>
      <c r="P151" s="24">
        <f>IF(Raw_Data!O142="",$C$7,Raw_Data!O142)</f>
        <v>36406.050000000003</v>
      </c>
      <c r="Q151" s="23" t="str">
        <f>IF(Raw_Data!O142="","Missing-Imputed","Original")</f>
        <v>Original</v>
      </c>
      <c r="R151" s="24">
        <f>Raw_Data!P142</f>
        <v>40.4</v>
      </c>
      <c r="S151" s="24">
        <f>Raw_Data!Q142</f>
        <v>28900.1</v>
      </c>
      <c r="T151" s="23" t="str">
        <f>IF(Raw_Data!R142="","Unknown",IF(ISNUMBER(SEARCH("ACT",UPPER(Raw_Data!R142))),"Active",IF(ISNUMBER(SEARCH("CLOS",UPPER(Raw_Data!R142))),"Closed","None")))</f>
        <v>Active</v>
      </c>
      <c r="U151" s="24">
        <f>IF(Raw_Data!S142="",$C$8,VALUE(Raw_Data!S142))</f>
        <v>446</v>
      </c>
      <c r="V151" s="23" t="str">
        <f>IF(Raw_Data!S142="","Missing-Imputed","Original")</f>
        <v>Original</v>
      </c>
      <c r="W151" s="24">
        <f>Raw_Data!T142</f>
        <v>196</v>
      </c>
      <c r="X151" s="23" t="str">
        <f>IF(ISNUMBER(SEARCH("Y",UPPER(TRIM(Raw_Data!U142)))),"Yes","No")</f>
        <v>Yes</v>
      </c>
      <c r="Y151" s="23" t="str">
        <f>IF(ISNUMBER(SEARCH("Y",UPPER(TRIM(Raw_Data!V142)))),"Yes","No")</f>
        <v>Yes</v>
      </c>
      <c r="Z151" s="24">
        <f>Raw_Data!W142</f>
        <v>4</v>
      </c>
      <c r="AA151" s="24">
        <f>Raw_Data!X142</f>
        <v>5.6</v>
      </c>
      <c r="AB151" s="23" t="str">
        <f>IF(COUNTIFS(Raw_Data!$A$2:$A$616,Raw_Data!A142)&gt;1,"Duplicate","Unique")</f>
        <v>Unique</v>
      </c>
      <c r="AC151" s="23" t="str">
        <f t="shared" si="8"/>
        <v>Clean</v>
      </c>
    </row>
    <row r="152" spans="1:29" ht="15" customHeight="1">
      <c r="A152" s="25" t="str">
        <f>Raw_Data!A143</f>
        <v>BYJ1142</v>
      </c>
      <c r="B152" s="25" t="str">
        <f>Raw_Data!B143</f>
        <v xml:space="preserve">  Chatresh Doshi  </v>
      </c>
      <c r="C152" s="26">
        <f>IF(OR(Raw_Data!C143="",Raw_Data!C143&lt;$C$5,Raw_Data!C143&gt;$C$6),$C$4,Raw_Data!C143)</f>
        <v>14</v>
      </c>
      <c r="D152" s="25" t="str">
        <f>IF(Raw_Data!C143="","Missing-Imputed",IF(OR(Raw_Data!C143&lt;$C$5,Raw_Data!C143&gt;$C$6),"Outlier-Imputed","Original"))</f>
        <v>Original</v>
      </c>
      <c r="E152" s="25" t="str">
        <f>IF(OR(UPPER(TRIM(Raw_Data!D143))="M",UPPER(TRIM(Raw_Data!D143))="MALE"),"Male","Female")</f>
        <v>Male</v>
      </c>
      <c r="F152" s="25" t="str">
        <f>PROPER(TRIM(Raw_Data!E143))</f>
        <v>Phusro</v>
      </c>
      <c r="G152" s="25" t="str">
        <f>PROPER(TRIM(Raw_Data!F143))</f>
        <v>Uttar Pradesh</v>
      </c>
      <c r="H152" s="25" t="str">
        <f>PROPER(TRIM(Raw_Data!G143))</f>
        <v>Robotics</v>
      </c>
      <c r="I152" s="25" t="str">
        <f>PROPER(TRIM(Raw_Data!H143))</f>
        <v>Mumbai West</v>
      </c>
      <c r="J152" s="26">
        <f>IF(LEN(TRIM(Raw_Data!I143))=4,VALUE(TRIM(Raw_Data!I143)),IF(ISNUMBER(IFERROR(VALUE(MID(TRIM(Raw_Data!I143),1,4)),"NA")),VALUE(MID(TRIM(Raw_Data!I143),1,4)),VALUE(RIGHT(TRIM(Raw_Data!I143),4))))</f>
        <v>2025</v>
      </c>
      <c r="K152" s="25" t="str">
        <f>PROPER(TRIM(Raw_Data!J143))</f>
        <v>Government Employee</v>
      </c>
      <c r="L152" s="25" t="str">
        <f t="shared" si="6"/>
        <v>14-16</v>
      </c>
      <c r="M152" s="25" t="str">
        <f t="shared" si="7"/>
        <v>Teens</v>
      </c>
      <c r="N152" s="25" t="str">
        <f>IF(ISNUMBER(SEARCH("NON",UPPER(Raw_Data!M143))),"Non-Premium Learner","Premium Learner")</f>
        <v>Non-Premium Learner</v>
      </c>
      <c r="O152" s="25" t="str">
        <f>PROPER(TRIM(Raw_Data!N143))</f>
        <v>Both App &amp; Web</v>
      </c>
      <c r="P152" s="26">
        <f>IF(Raw_Data!O143="",$C$7,Raw_Data!O143)</f>
        <v>77982.740000000005</v>
      </c>
      <c r="Q152" s="25" t="str">
        <f>IF(Raw_Data!O143="","Missing-Imputed","Original")</f>
        <v>Original</v>
      </c>
      <c r="R152" s="26">
        <f>Raw_Data!P143</f>
        <v>41.2</v>
      </c>
      <c r="S152" s="26">
        <f>Raw_Data!Q143</f>
        <v>7819.73</v>
      </c>
      <c r="T152" s="25" t="str">
        <f>IF(Raw_Data!R143="","Unknown",IF(ISNUMBER(SEARCH("ACT",UPPER(Raw_Data!R143))),"Active",IF(ISNUMBER(SEARCH("CLOS",UPPER(Raw_Data!R143))),"Closed","None")))</f>
        <v>Unknown</v>
      </c>
      <c r="U152" s="26">
        <f>IF(Raw_Data!S143="",$C$8,VALUE(Raw_Data!S143))</f>
        <v>301</v>
      </c>
      <c r="V152" s="25" t="str">
        <f>IF(Raw_Data!S143="","Missing-Imputed","Original")</f>
        <v>Original</v>
      </c>
      <c r="W152" s="26">
        <f>Raw_Data!T143</f>
        <v>198</v>
      </c>
      <c r="X152" s="25" t="str">
        <f>IF(ISNUMBER(SEARCH("Y",UPPER(TRIM(Raw_Data!U143)))),"Yes","No")</f>
        <v>No</v>
      </c>
      <c r="Y152" s="25" t="str">
        <f>IF(ISNUMBER(SEARCH("Y",UPPER(TRIM(Raw_Data!V143)))),"Yes","No")</f>
        <v>No</v>
      </c>
      <c r="Z152" s="26">
        <f>Raw_Data!W143</f>
        <v>5</v>
      </c>
      <c r="AA152" s="26">
        <f>Raw_Data!X143</f>
        <v>4.0999999999999996</v>
      </c>
      <c r="AB152" s="25" t="str">
        <f>IF(COUNTIFS(Raw_Data!$A$2:$A$616,Raw_Data!A143)&gt;1,"Duplicate","Unique")</f>
        <v>Unique</v>
      </c>
      <c r="AC152" s="25" t="str">
        <f t="shared" si="8"/>
        <v>Clean</v>
      </c>
    </row>
    <row r="153" spans="1:29" ht="15" customHeight="1">
      <c r="A153" s="23" t="str">
        <f>Raw_Data!A144</f>
        <v>BYJ1143</v>
      </c>
      <c r="B153" s="23" t="str">
        <f>Raw_Data!B144</f>
        <v>Frederick Kothari</v>
      </c>
      <c r="C153" s="24">
        <f>IF(OR(Raw_Data!C144="",Raw_Data!C144&lt;$C$5,Raw_Data!C144&gt;$C$6),$C$4,Raw_Data!C144)</f>
        <v>30</v>
      </c>
      <c r="D153" s="23" t="str">
        <f>IF(Raw_Data!C144="","Missing-Imputed",IF(OR(Raw_Data!C144&lt;$C$5,Raw_Data!C144&gt;$C$6),"Outlier-Imputed","Original"))</f>
        <v>Original</v>
      </c>
      <c r="E153" s="23" t="str">
        <f>IF(OR(UPPER(TRIM(Raw_Data!D144))="M",UPPER(TRIM(Raw_Data!D144))="MALE"),"Male","Female")</f>
        <v>Female</v>
      </c>
      <c r="F153" s="23" t="str">
        <f>PROPER(TRIM(Raw_Data!E144))</f>
        <v>Proddatur</v>
      </c>
      <c r="G153" s="23" t="str">
        <f>PROPER(TRIM(Raw_Data!F144))</f>
        <v>Kerala</v>
      </c>
      <c r="H153" s="23" t="str">
        <f>PROPER(TRIM(Raw_Data!G144))</f>
        <v>Mathematics</v>
      </c>
      <c r="I153" s="23" t="str">
        <f>PROPER(TRIM(Raw_Data!H144))</f>
        <v>Kolkata Main</v>
      </c>
      <c r="J153" s="24">
        <f>IF(LEN(TRIM(Raw_Data!I144))=4,VALUE(TRIM(Raw_Data!I144)),IF(ISNUMBER(IFERROR(VALUE(MID(TRIM(Raw_Data!I144),1,4)),"NA")),VALUE(MID(TRIM(Raw_Data!I144),1,4)),VALUE(RIGHT(TRIM(Raw_Data!I144),4))))</f>
        <v>2018</v>
      </c>
      <c r="K153" s="23" t="str">
        <f>PROPER(TRIM(Raw_Data!J144))</f>
        <v>Salaried</v>
      </c>
      <c r="L153" s="23" t="str">
        <f t="shared" si="6"/>
        <v>20+</v>
      </c>
      <c r="M153" s="23" t="str">
        <f t="shared" si="7"/>
        <v>Adult Learners</v>
      </c>
      <c r="N153" s="23" t="str">
        <f>IF(ISNUMBER(SEARCH("NON",UPPER(Raw_Data!M144))),"Non-Premium Learner","Premium Learner")</f>
        <v>Premium Learner</v>
      </c>
      <c r="O153" s="23" t="str">
        <f>PROPER(TRIM(Raw_Data!N144))</f>
        <v>Web Only</v>
      </c>
      <c r="P153" s="24">
        <f>IF(Raw_Data!O144="",$C$7,Raw_Data!O144)</f>
        <v>71742.19</v>
      </c>
      <c r="Q153" s="23" t="str">
        <f>IF(Raw_Data!O144="","Missing-Imputed","Original")</f>
        <v>Missing-Imputed</v>
      </c>
      <c r="R153" s="24">
        <f>Raw_Data!P144</f>
        <v>60.8</v>
      </c>
      <c r="S153" s="24">
        <f>Raw_Data!Q144</f>
        <v>426.84</v>
      </c>
      <c r="T153" s="23" t="str">
        <f>IF(Raw_Data!R144="","Unknown",IF(ISNUMBER(SEARCH("ACT",UPPER(Raw_Data!R144))),"Active",IF(ISNUMBER(SEARCH("CLOS",UPPER(Raw_Data!R144))),"Closed","None")))</f>
        <v>None</v>
      </c>
      <c r="U153" s="24" t="e">
        <f>IF(Raw_Data!S144="",$C$8,VALUE(Raw_Data!S144))</f>
        <v>#VALUE!</v>
      </c>
      <c r="V153" s="23" t="str">
        <f>IF(Raw_Data!S144="","Missing-Imputed","Original")</f>
        <v>Original</v>
      </c>
      <c r="W153" s="24">
        <f>Raw_Data!T144</f>
        <v>167</v>
      </c>
      <c r="X153" s="23" t="str">
        <f>IF(ISNUMBER(SEARCH("Y",UPPER(TRIM(Raw_Data!U144)))),"Yes","No")</f>
        <v>Yes</v>
      </c>
      <c r="Y153" s="23" t="str">
        <f>IF(ISNUMBER(SEARCH("Y",UPPER(TRIM(Raw_Data!V144)))),"Yes","No")</f>
        <v>No</v>
      </c>
      <c r="Z153" s="24">
        <f>Raw_Data!W144</f>
        <v>1</v>
      </c>
      <c r="AA153" s="24">
        <f>Raw_Data!X144</f>
        <v>1.8</v>
      </c>
      <c r="AB153" s="23" t="str">
        <f>IF(COUNTIFS(Raw_Data!$A$2:$A$616,Raw_Data!A144)&gt;1,"Duplicate","Unique")</f>
        <v>Unique</v>
      </c>
      <c r="AC153" s="23" t="str">
        <f t="shared" si="8"/>
        <v>Imputed</v>
      </c>
    </row>
    <row r="154" spans="1:29" ht="15" customHeight="1">
      <c r="A154" s="25" t="str">
        <f>Raw_Data!A145</f>
        <v>BYJ1144</v>
      </c>
      <c r="B154" s="25" t="str">
        <f>Raw_Data!B145</f>
        <v>Upkaar Virk</v>
      </c>
      <c r="C154" s="26">
        <f>IF(OR(Raw_Data!C145="",Raw_Data!C145&lt;$C$5,Raw_Data!C145&gt;$C$6),$C$4,Raw_Data!C145)</f>
        <v>40</v>
      </c>
      <c r="D154" s="25" t="str">
        <f>IF(Raw_Data!C145="","Missing-Imputed",IF(OR(Raw_Data!C145&lt;$C$5,Raw_Data!C145&gt;$C$6),"Outlier-Imputed","Original"))</f>
        <v>Original</v>
      </c>
      <c r="E154" s="25" t="str">
        <f>IF(OR(UPPER(TRIM(Raw_Data!D145))="M",UPPER(TRIM(Raw_Data!D145))="MALE"),"Male","Female")</f>
        <v>Female</v>
      </c>
      <c r="F154" s="25" t="str">
        <f>PROPER(TRIM(Raw_Data!E145))</f>
        <v>Hospet</v>
      </c>
      <c r="G154" s="25" t="str">
        <f>PROPER(TRIM(Raw_Data!F145))</f>
        <v>Telangana</v>
      </c>
      <c r="H154" s="25" t="str">
        <f>PROPER(TRIM(Raw_Data!G145))</f>
        <v>Robotics</v>
      </c>
      <c r="I154" s="25" t="str">
        <f>PROPER(TRIM(Raw_Data!H145))</f>
        <v>Delhi North</v>
      </c>
      <c r="J154" s="26">
        <f>IF(LEN(TRIM(Raw_Data!I145))=4,VALUE(TRIM(Raw_Data!I145)),IF(ISNUMBER(IFERROR(VALUE(MID(TRIM(Raw_Data!I145),1,4)),"NA")),VALUE(MID(TRIM(Raw_Data!I145),1,4)),VALUE(RIGHT(TRIM(Raw_Data!I145),4))))</f>
        <v>2022</v>
      </c>
      <c r="K154" s="25" t="str">
        <f>PROPER(TRIM(Raw_Data!J145))</f>
        <v>Business</v>
      </c>
      <c r="L154" s="25" t="str">
        <f t="shared" si="6"/>
        <v>20+</v>
      </c>
      <c r="M154" s="25" t="str">
        <f t="shared" si="7"/>
        <v>Adult Learners</v>
      </c>
      <c r="N154" s="25" t="str">
        <f>IF(ISNUMBER(SEARCH("NON",UPPER(Raw_Data!M145))),"Non-Premium Learner","Premium Learner")</f>
        <v>Non-Premium Learner</v>
      </c>
      <c r="O154" s="25" t="str">
        <f>PROPER(TRIM(Raw_Data!N145))</f>
        <v>Web Only</v>
      </c>
      <c r="P154" s="26">
        <f>IF(Raw_Data!O145="",$C$7,Raw_Data!O145)</f>
        <v>148333.70000000001</v>
      </c>
      <c r="Q154" s="25" t="str">
        <f>IF(Raw_Data!O145="","Missing-Imputed","Original")</f>
        <v>Original</v>
      </c>
      <c r="R154" s="26">
        <f>Raw_Data!P145</f>
        <v>63.1</v>
      </c>
      <c r="S154" s="26">
        <f>Raw_Data!Q145</f>
        <v>23887.79</v>
      </c>
      <c r="T154" s="25" t="str">
        <f>IF(Raw_Data!R145="","Unknown",IF(ISNUMBER(SEARCH("ACT",UPPER(Raw_Data!R145))),"Active",IF(ISNUMBER(SEARCH("CLOS",UPPER(Raw_Data!R145))),"Closed","None")))</f>
        <v>Active</v>
      </c>
      <c r="U154" s="26">
        <f>IF(Raw_Data!S145="",$C$8,VALUE(Raw_Data!S145))</f>
        <v>535</v>
      </c>
      <c r="V154" s="25" t="str">
        <f>IF(Raw_Data!S145="","Missing-Imputed","Original")</f>
        <v>Original</v>
      </c>
      <c r="W154" s="26">
        <f>Raw_Data!T145</f>
        <v>179</v>
      </c>
      <c r="X154" s="25" t="str">
        <f>IF(ISNUMBER(SEARCH("Y",UPPER(TRIM(Raw_Data!U145)))),"Yes","No")</f>
        <v>Yes</v>
      </c>
      <c r="Y154" s="25" t="str">
        <f>IF(ISNUMBER(SEARCH("Y",UPPER(TRIM(Raw_Data!V145)))),"Yes","No")</f>
        <v>Yes</v>
      </c>
      <c r="Z154" s="26">
        <f>Raw_Data!W145</f>
        <v>3</v>
      </c>
      <c r="AA154" s="26">
        <f>Raw_Data!X145</f>
        <v>7.3</v>
      </c>
      <c r="AB154" s="25" t="str">
        <f>IF(COUNTIFS(Raw_Data!$A$2:$A$616,Raw_Data!A145)&gt;1,"Duplicate","Unique")</f>
        <v>Unique</v>
      </c>
      <c r="AC154" s="25" t="str">
        <f t="shared" si="8"/>
        <v>Clean</v>
      </c>
    </row>
    <row r="155" spans="1:29" ht="15" customHeight="1">
      <c r="A155" s="23" t="str">
        <f>Raw_Data!A146</f>
        <v>BYJ1145</v>
      </c>
      <c r="B155" s="23" t="str">
        <f>Raw_Data!B146</f>
        <v>Chameli Sanghvi</v>
      </c>
      <c r="C155" s="24">
        <f>IF(OR(Raw_Data!C146="",Raw_Data!C146&lt;$C$5,Raw_Data!C146&gt;$C$6),$C$4,Raw_Data!C146)</f>
        <v>9</v>
      </c>
      <c r="D155" s="23" t="str">
        <f>IF(Raw_Data!C146="","Missing-Imputed",IF(OR(Raw_Data!C146&lt;$C$5,Raw_Data!C146&gt;$C$6),"Outlier-Imputed","Original"))</f>
        <v>Original</v>
      </c>
      <c r="E155" s="23" t="str">
        <f>IF(OR(UPPER(TRIM(Raw_Data!D146))="M",UPPER(TRIM(Raw_Data!D146))="MALE"),"Male","Female")</f>
        <v>Male</v>
      </c>
      <c r="F155" s="23" t="str">
        <f>PROPER(TRIM(Raw_Data!E146))</f>
        <v>Jehanabad</v>
      </c>
      <c r="G155" s="23" t="str">
        <f>PROPER(TRIM(Raw_Data!F146))</f>
        <v>Tamil Nadu</v>
      </c>
      <c r="H155" s="23" t="str">
        <f>PROPER(TRIM(Raw_Data!G146))</f>
        <v>Mathematics</v>
      </c>
      <c r="I155" s="23" t="str">
        <f>PROPER(TRIM(Raw_Data!H146))</f>
        <v>Mumbai West</v>
      </c>
      <c r="J155" s="24">
        <f>IF(LEN(TRIM(Raw_Data!I146))=4,VALUE(TRIM(Raw_Data!I146)),IF(ISNUMBER(IFERROR(VALUE(MID(TRIM(Raw_Data!I146),1,4)),"NA")),VALUE(MID(TRIM(Raw_Data!I146),1,4)),VALUE(RIGHT(TRIM(Raw_Data!I146),4))))</f>
        <v>2023</v>
      </c>
      <c r="K155" s="23" t="str">
        <f>PROPER(TRIM(Raw_Data!J146))</f>
        <v>Salaried</v>
      </c>
      <c r="L155" s="23" t="str">
        <f t="shared" si="6"/>
        <v>Under 10</v>
      </c>
      <c r="M155" s="23" t="str">
        <f t="shared" si="7"/>
        <v>Kids</v>
      </c>
      <c r="N155" s="23" t="str">
        <f>IF(ISNUMBER(SEARCH("NON",UPPER(Raw_Data!M146))),"Non-Premium Learner","Premium Learner")</f>
        <v>Premium Learner</v>
      </c>
      <c r="O155" s="23" t="str">
        <f>PROPER(TRIM(Raw_Data!N146))</f>
        <v>Both App &amp; Web</v>
      </c>
      <c r="P155" s="24">
        <f>IF(Raw_Data!O146="",$C$7,Raw_Data!O146)</f>
        <v>10474.52</v>
      </c>
      <c r="Q155" s="23" t="str">
        <f>IF(Raw_Data!O146="","Missing-Imputed","Original")</f>
        <v>Original</v>
      </c>
      <c r="R155" s="24">
        <f>Raw_Data!P146</f>
        <v>78.8</v>
      </c>
      <c r="S155" s="24">
        <f>Raw_Data!Q146</f>
        <v>36837.94</v>
      </c>
      <c r="T155" s="23" t="str">
        <f>IF(Raw_Data!R146="","Unknown",IF(ISNUMBER(SEARCH("ACT",UPPER(Raw_Data!R146))),"Active",IF(ISNUMBER(SEARCH("CLOS",UPPER(Raw_Data!R146))),"Closed","None")))</f>
        <v>None</v>
      </c>
      <c r="U155" s="24">
        <f>IF(Raw_Data!S146="",$C$8,VALUE(Raw_Data!S146))</f>
        <v>358</v>
      </c>
      <c r="V155" s="23" t="str">
        <f>IF(Raw_Data!S146="","Missing-Imputed","Original")</f>
        <v>Original</v>
      </c>
      <c r="W155" s="24">
        <f>Raw_Data!T146</f>
        <v>44</v>
      </c>
      <c r="X155" s="23" t="str">
        <f>IF(ISNUMBER(SEARCH("Y",UPPER(TRIM(Raw_Data!U146)))),"Yes","No")</f>
        <v>No</v>
      </c>
      <c r="Y155" s="23" t="str">
        <f>IF(ISNUMBER(SEARCH("Y",UPPER(TRIM(Raw_Data!V146)))),"Yes","No")</f>
        <v>Yes</v>
      </c>
      <c r="Z155" s="24">
        <f>Raw_Data!W146</f>
        <v>5</v>
      </c>
      <c r="AA155" s="24">
        <f>Raw_Data!X146</f>
        <v>2.9</v>
      </c>
      <c r="AB155" s="23" t="str">
        <f>IF(COUNTIFS(Raw_Data!$A$2:$A$616,Raw_Data!A146)&gt;1,"Duplicate","Unique")</f>
        <v>Unique</v>
      </c>
      <c r="AC155" s="23" t="str">
        <f t="shared" si="8"/>
        <v>Clean</v>
      </c>
    </row>
    <row r="156" spans="1:29" ht="15" customHeight="1">
      <c r="A156" s="25" t="str">
        <f>Raw_Data!A147</f>
        <v>BYJ1146</v>
      </c>
      <c r="B156" s="25" t="str">
        <f>Raw_Data!B147</f>
        <v xml:space="preserve">  Hardik Johal  </v>
      </c>
      <c r="C156" s="26">
        <f>IF(OR(Raw_Data!C147="",Raw_Data!C147&lt;$C$5,Raw_Data!C147&gt;$C$6),$C$4,Raw_Data!C147)</f>
        <v>39</v>
      </c>
      <c r="D156" s="25" t="str">
        <f>IF(Raw_Data!C147="","Missing-Imputed",IF(OR(Raw_Data!C147&lt;$C$5,Raw_Data!C147&gt;$C$6),"Outlier-Imputed","Original"))</f>
        <v>Original</v>
      </c>
      <c r="E156" s="25" t="str">
        <f>IF(OR(UPPER(TRIM(Raw_Data!D147))="M",UPPER(TRIM(Raw_Data!D147))="MALE"),"Male","Female")</f>
        <v>Male</v>
      </c>
      <c r="F156" s="25" t="str">
        <f>PROPER(TRIM(Raw_Data!E147))</f>
        <v>Bilaspur</v>
      </c>
      <c r="G156" s="25" t="str">
        <f>PROPER(TRIM(Raw_Data!F147))</f>
        <v>Tamil Nadu</v>
      </c>
      <c r="H156" s="25" t="str">
        <f>PROPER(TRIM(Raw_Data!G147))</f>
        <v>Neet Prep</v>
      </c>
      <c r="I156" s="25" t="str">
        <f>PROPER(TRIM(Raw_Data!H147))</f>
        <v>Delhi North</v>
      </c>
      <c r="J156" s="26">
        <f>IF(LEN(TRIM(Raw_Data!I147))=4,VALUE(TRIM(Raw_Data!I147)),IF(ISNUMBER(IFERROR(VALUE(MID(TRIM(Raw_Data!I147),1,4)),"NA")),VALUE(MID(TRIM(Raw_Data!I147),1,4)),VALUE(RIGHT(TRIM(Raw_Data!I147),4))))</f>
        <v>2016</v>
      </c>
      <c r="K156" s="25" t="str">
        <f>PROPER(TRIM(Raw_Data!J147))</f>
        <v>Self-Employed</v>
      </c>
      <c r="L156" s="25" t="str">
        <f t="shared" si="6"/>
        <v>20+</v>
      </c>
      <c r="M156" s="25" t="str">
        <f t="shared" si="7"/>
        <v>Adult Learners</v>
      </c>
      <c r="N156" s="25" t="str">
        <f>IF(ISNUMBER(SEARCH("NON",UPPER(Raw_Data!M147))),"Non-Premium Learner","Premium Learner")</f>
        <v>Non-Premium Learner</v>
      </c>
      <c r="O156" s="25" t="str">
        <f>PROPER(TRIM(Raw_Data!N147))</f>
        <v>Both App &amp; Web</v>
      </c>
      <c r="P156" s="26">
        <f>IF(Raw_Data!O147="",$C$7,Raw_Data!O147)</f>
        <v>71742.19</v>
      </c>
      <c r="Q156" s="25" t="str">
        <f>IF(Raw_Data!O147="","Missing-Imputed","Original")</f>
        <v>Missing-Imputed</v>
      </c>
      <c r="R156" s="26">
        <f>Raw_Data!P147</f>
        <v>57.8</v>
      </c>
      <c r="S156" s="26">
        <f>Raw_Data!Q147</f>
        <v>55150.65</v>
      </c>
      <c r="T156" s="25" t="str">
        <f>IF(Raw_Data!R147="","Unknown",IF(ISNUMBER(SEARCH("ACT",UPPER(Raw_Data!R147))),"Active",IF(ISNUMBER(SEARCH("CLOS",UPPER(Raw_Data!R147))),"Closed","None")))</f>
        <v>None</v>
      </c>
      <c r="U156" s="26">
        <f>IF(Raw_Data!S147="",$C$8,VALUE(Raw_Data!S147))</f>
        <v>872</v>
      </c>
      <c r="V156" s="25" t="str">
        <f>IF(Raw_Data!S147="","Missing-Imputed","Original")</f>
        <v>Original</v>
      </c>
      <c r="W156" s="26">
        <f>Raw_Data!T147</f>
        <v>89</v>
      </c>
      <c r="X156" s="25" t="str">
        <f>IF(ISNUMBER(SEARCH("Y",UPPER(TRIM(Raw_Data!U147)))),"Yes","No")</f>
        <v>No</v>
      </c>
      <c r="Y156" s="25" t="str">
        <f>IF(ISNUMBER(SEARCH("Y",UPPER(TRIM(Raw_Data!V147)))),"Yes","No")</f>
        <v>Yes</v>
      </c>
      <c r="Z156" s="26">
        <f>Raw_Data!W147</f>
        <v>4</v>
      </c>
      <c r="AA156" s="26">
        <f>Raw_Data!X147</f>
        <v>8.4</v>
      </c>
      <c r="AB156" s="25" t="str">
        <f>IF(COUNTIFS(Raw_Data!$A$2:$A$616,Raw_Data!A147)&gt;1,"Duplicate","Unique")</f>
        <v>Unique</v>
      </c>
      <c r="AC156" s="25" t="str">
        <f t="shared" si="8"/>
        <v>Imputed</v>
      </c>
    </row>
    <row r="157" spans="1:29" ht="15" customHeight="1">
      <c r="A157" s="23" t="str">
        <f>Raw_Data!A148</f>
        <v>BYJ1147</v>
      </c>
      <c r="B157" s="23" t="str">
        <f>Raw_Data!B148</f>
        <v>Naksh Khatri</v>
      </c>
      <c r="C157" s="24">
        <f>IF(OR(Raw_Data!C148="",Raw_Data!C148&lt;$C$5,Raw_Data!C148&gt;$C$6),$C$4,Raw_Data!C148)</f>
        <v>32</v>
      </c>
      <c r="D157" s="23" t="str">
        <f>IF(Raw_Data!C148="","Missing-Imputed",IF(OR(Raw_Data!C148&lt;$C$5,Raw_Data!C148&gt;$C$6),"Outlier-Imputed","Original"))</f>
        <v>Original</v>
      </c>
      <c r="E157" s="23" t="str">
        <f>IF(OR(UPPER(TRIM(Raw_Data!D148))="M",UPPER(TRIM(Raw_Data!D148))="MALE"),"Male","Female")</f>
        <v>Male</v>
      </c>
      <c r="F157" s="23" t="str">
        <f>PROPER(TRIM(Raw_Data!E148))</f>
        <v>Suryapet</v>
      </c>
      <c r="G157" s="23" t="str">
        <f>PROPER(TRIM(Raw_Data!F148))</f>
        <v>Telangana</v>
      </c>
      <c r="H157" s="23" t="str">
        <f>PROPER(TRIM(Raw_Data!G148))</f>
        <v>Neet Prep</v>
      </c>
      <c r="I157" s="23" t="str">
        <f>PROPER(TRIM(Raw_Data!H148))</f>
        <v>Bengaluru South</v>
      </c>
      <c r="J157" s="24">
        <f>IF(LEN(TRIM(Raw_Data!I148))=4,VALUE(TRIM(Raw_Data!I148)),IF(ISNUMBER(IFERROR(VALUE(MID(TRIM(Raw_Data!I148),1,4)),"NA")),VALUE(MID(TRIM(Raw_Data!I148),1,4)),VALUE(RIGHT(TRIM(Raw_Data!I148),4))))</f>
        <v>2024</v>
      </c>
      <c r="K157" s="23" t="str">
        <f>PROPER(TRIM(Raw_Data!J148))</f>
        <v>Retired</v>
      </c>
      <c r="L157" s="23" t="str">
        <f t="shared" si="6"/>
        <v>20+</v>
      </c>
      <c r="M157" s="23" t="str">
        <f t="shared" si="7"/>
        <v>Adult Learners</v>
      </c>
      <c r="N157" s="23" t="str">
        <f>IF(ISNUMBER(SEARCH("NON",UPPER(Raw_Data!M148))),"Non-Premium Learner","Premium Learner")</f>
        <v>Non-Premium Learner</v>
      </c>
      <c r="O157" s="23" t="str">
        <f>PROPER(TRIM(Raw_Data!N148))</f>
        <v>Web Only</v>
      </c>
      <c r="P157" s="24">
        <f>IF(Raw_Data!O148="",$C$7,Raw_Data!O148)</f>
        <v>116645.24</v>
      </c>
      <c r="Q157" s="23" t="str">
        <f>IF(Raw_Data!O148="","Missing-Imputed","Original")</f>
        <v>Original</v>
      </c>
      <c r="R157" s="24">
        <f>Raw_Data!P148</f>
        <v>77.099999999999994</v>
      </c>
      <c r="S157" s="24">
        <f>Raw_Data!Q148</f>
        <v>27530.91</v>
      </c>
      <c r="T157" s="23" t="str">
        <f>IF(Raw_Data!R148="","Unknown",IF(ISNUMBER(SEARCH("ACT",UPPER(Raw_Data!R148))),"Active",IF(ISNUMBER(SEARCH("CLOS",UPPER(Raw_Data!R148))),"Closed","None")))</f>
        <v>Closed</v>
      </c>
      <c r="U157" s="24">
        <f>IF(Raw_Data!S148="",$C$8,VALUE(Raw_Data!S148))</f>
        <v>328</v>
      </c>
      <c r="V157" s="23" t="str">
        <f>IF(Raw_Data!S148="","Missing-Imputed","Original")</f>
        <v>Original</v>
      </c>
      <c r="W157" s="24">
        <f>Raw_Data!T148</f>
        <v>66</v>
      </c>
      <c r="X157" s="23" t="str">
        <f>IF(ISNUMBER(SEARCH("Y",UPPER(TRIM(Raw_Data!U148)))),"Yes","No")</f>
        <v>Yes</v>
      </c>
      <c r="Y157" s="23" t="str">
        <f>IF(ISNUMBER(SEARCH("Y",UPPER(TRIM(Raw_Data!V148)))),"Yes","No")</f>
        <v>Yes</v>
      </c>
      <c r="Z157" s="24">
        <f>Raw_Data!W148</f>
        <v>3</v>
      </c>
      <c r="AA157" s="24">
        <f>Raw_Data!X148</f>
        <v>4</v>
      </c>
      <c r="AB157" s="23" t="str">
        <f>IF(COUNTIFS(Raw_Data!$A$2:$A$616,Raw_Data!A148)&gt;1,"Duplicate","Unique")</f>
        <v>Unique</v>
      </c>
      <c r="AC157" s="23" t="str">
        <f t="shared" si="8"/>
        <v>Clean</v>
      </c>
    </row>
    <row r="158" spans="1:29" ht="15" customHeight="1">
      <c r="A158" s="25" t="str">
        <f>Raw_Data!A149</f>
        <v>BYJ1148</v>
      </c>
      <c r="B158" s="25" t="str">
        <f>Raw_Data!B149</f>
        <v>Naksh Agate</v>
      </c>
      <c r="C158" s="26">
        <f>IF(OR(Raw_Data!C149="",Raw_Data!C149&lt;$C$5,Raw_Data!C149&gt;$C$6),$C$4,Raw_Data!C149)</f>
        <v>22</v>
      </c>
      <c r="D158" s="25" t="str">
        <f>IF(Raw_Data!C149="","Missing-Imputed",IF(OR(Raw_Data!C149&lt;$C$5,Raw_Data!C149&gt;$C$6),"Outlier-Imputed","Original"))</f>
        <v>Original</v>
      </c>
      <c r="E158" s="25" t="str">
        <f>IF(OR(UPPER(TRIM(Raw_Data!D149))="M",UPPER(TRIM(Raw_Data!D149))="MALE"),"Male","Female")</f>
        <v>Male</v>
      </c>
      <c r="F158" s="25" t="str">
        <f>PROPER(TRIM(Raw_Data!E149))</f>
        <v>Hospet</v>
      </c>
      <c r="G158" s="25" t="str">
        <f>PROPER(TRIM(Raw_Data!F149))</f>
        <v>Gujarat</v>
      </c>
      <c r="H158" s="25" t="str">
        <f>PROPER(TRIM(Raw_Data!G149))</f>
        <v>Mathematics</v>
      </c>
      <c r="I158" s="25" t="str">
        <f>PROPER(TRIM(Raw_Data!H149))</f>
        <v>Jaipur Center</v>
      </c>
      <c r="J158" s="26">
        <f>IF(LEN(TRIM(Raw_Data!I149))=4,VALUE(TRIM(Raw_Data!I149)),IF(ISNUMBER(IFERROR(VALUE(MID(TRIM(Raw_Data!I149),1,4)),"NA")),VALUE(MID(TRIM(Raw_Data!I149),1,4)),VALUE(RIGHT(TRIM(Raw_Data!I149),4))))</f>
        <v>2018</v>
      </c>
      <c r="K158" s="25" t="str">
        <f>PROPER(TRIM(Raw_Data!J149))</f>
        <v>Business</v>
      </c>
      <c r="L158" s="25" t="str">
        <f t="shared" si="6"/>
        <v>20+</v>
      </c>
      <c r="M158" s="25" t="str">
        <f t="shared" si="7"/>
        <v>Adult Learners</v>
      </c>
      <c r="N158" s="25" t="str">
        <f>IF(ISNUMBER(SEARCH("NON",UPPER(Raw_Data!M149))),"Non-Premium Learner","Premium Learner")</f>
        <v>Non-Premium Learner</v>
      </c>
      <c r="O158" s="25" t="str">
        <f>PROPER(TRIM(Raw_Data!N149))</f>
        <v>Both App &amp; Web</v>
      </c>
      <c r="P158" s="26">
        <f>IF(Raw_Data!O149="",$C$7,Raw_Data!O149)</f>
        <v>104050.56</v>
      </c>
      <c r="Q158" s="25" t="str">
        <f>IF(Raw_Data!O149="","Missing-Imputed","Original")</f>
        <v>Original</v>
      </c>
      <c r="R158" s="26">
        <f>Raw_Data!P149</f>
        <v>42.4</v>
      </c>
      <c r="S158" s="26">
        <f>Raw_Data!Q149</f>
        <v>11979.99</v>
      </c>
      <c r="T158" s="25" t="str">
        <f>IF(Raw_Data!R149="","Unknown",IF(ISNUMBER(SEARCH("ACT",UPPER(Raw_Data!R149))),"Active",IF(ISNUMBER(SEARCH("CLOS",UPPER(Raw_Data!R149))),"Closed","None")))</f>
        <v>None</v>
      </c>
      <c r="U158" s="26">
        <f>IF(Raw_Data!S149="",$C$8,VALUE(Raw_Data!S149))</f>
        <v>571</v>
      </c>
      <c r="V158" s="25" t="str">
        <f>IF(Raw_Data!S149="","Missing-Imputed","Original")</f>
        <v>Original</v>
      </c>
      <c r="W158" s="26">
        <f>Raw_Data!T149</f>
        <v>51</v>
      </c>
      <c r="X158" s="25" t="str">
        <f>IF(ISNUMBER(SEARCH("Y",UPPER(TRIM(Raw_Data!U149)))),"Yes","No")</f>
        <v>Yes</v>
      </c>
      <c r="Y158" s="25" t="str">
        <f>IF(ISNUMBER(SEARCH("Y",UPPER(TRIM(Raw_Data!V149)))),"Yes","No")</f>
        <v>Yes</v>
      </c>
      <c r="Z158" s="26">
        <f>Raw_Data!W149</f>
        <v>1</v>
      </c>
      <c r="AA158" s="26">
        <f>Raw_Data!X149</f>
        <v>8.3000000000000007</v>
      </c>
      <c r="AB158" s="25" t="str">
        <f>IF(COUNTIFS(Raw_Data!$A$2:$A$616,Raw_Data!A149)&gt;1,"Duplicate","Unique")</f>
        <v>Unique</v>
      </c>
      <c r="AC158" s="25" t="str">
        <f t="shared" si="8"/>
        <v>Clean</v>
      </c>
    </row>
    <row r="159" spans="1:29" ht="15" customHeight="1">
      <c r="A159" s="23" t="str">
        <f>Raw_Data!A150</f>
        <v>BYJ1149</v>
      </c>
      <c r="B159" s="23" t="str">
        <f>Raw_Data!B150</f>
        <v>Bishakha Bali</v>
      </c>
      <c r="C159" s="24">
        <f>IF(OR(Raw_Data!C150="",Raw_Data!C150&lt;$C$5,Raw_Data!C150&gt;$C$6),$C$4,Raw_Data!C150)</f>
        <v>45</v>
      </c>
      <c r="D159" s="23" t="str">
        <f>IF(Raw_Data!C150="","Missing-Imputed",IF(OR(Raw_Data!C150&lt;$C$5,Raw_Data!C150&gt;$C$6),"Outlier-Imputed","Original"))</f>
        <v>Original</v>
      </c>
      <c r="E159" s="23" t="str">
        <f>IF(OR(UPPER(TRIM(Raw_Data!D150))="M",UPPER(TRIM(Raw_Data!D150))="MALE"),"Male","Female")</f>
        <v>Male</v>
      </c>
      <c r="F159" s="23" t="str">
        <f>PROPER(TRIM(Raw_Data!E150))</f>
        <v>Tumkur</v>
      </c>
      <c r="G159" s="23" t="str">
        <f>PROPER(TRIM(Raw_Data!F150))</f>
        <v>Rajasthan</v>
      </c>
      <c r="H159" s="23" t="str">
        <f>PROPER(TRIM(Raw_Data!G150))</f>
        <v>Neet Prep</v>
      </c>
      <c r="I159" s="23" t="str">
        <f>PROPER(TRIM(Raw_Data!H150))</f>
        <v>Lucknow Hub</v>
      </c>
      <c r="J159" s="24">
        <f>IF(LEN(TRIM(Raw_Data!I150))=4,VALUE(TRIM(Raw_Data!I150)),IF(ISNUMBER(IFERROR(VALUE(MID(TRIM(Raw_Data!I150),1,4)),"NA")),VALUE(MID(TRIM(Raw_Data!I150),1,4)),VALUE(RIGHT(TRIM(Raw_Data!I150),4))))</f>
        <v>2021</v>
      </c>
      <c r="K159" s="23" t="str">
        <f>PROPER(TRIM(Raw_Data!J150))</f>
        <v>Self-Employed</v>
      </c>
      <c r="L159" s="23" t="str">
        <f t="shared" si="6"/>
        <v>20+</v>
      </c>
      <c r="M159" s="23" t="str">
        <f t="shared" si="7"/>
        <v>Adult Learners</v>
      </c>
      <c r="N159" s="23" t="str">
        <f>IF(ISNUMBER(SEARCH("NON",UPPER(Raw_Data!M150))),"Non-Premium Learner","Premium Learner")</f>
        <v>Premium Learner</v>
      </c>
      <c r="O159" s="23" t="str">
        <f>PROPER(TRIM(Raw_Data!N150))</f>
        <v>Both App &amp; Web</v>
      </c>
      <c r="P159" s="24">
        <f>IF(Raw_Data!O150="",$C$7,Raw_Data!O150)</f>
        <v>45638.66</v>
      </c>
      <c r="Q159" s="23" t="str">
        <f>IF(Raw_Data!O150="","Missing-Imputed","Original")</f>
        <v>Original</v>
      </c>
      <c r="R159" s="24">
        <f>Raw_Data!P150</f>
        <v>48.2</v>
      </c>
      <c r="S159" s="24">
        <f>Raw_Data!Q150</f>
        <v>3248.89</v>
      </c>
      <c r="T159" s="23" t="str">
        <f>IF(Raw_Data!R150="","Unknown",IF(ISNUMBER(SEARCH("ACT",UPPER(Raw_Data!R150))),"Active",IF(ISNUMBER(SEARCH("CLOS",UPPER(Raw_Data!R150))),"Closed","None")))</f>
        <v>Closed</v>
      </c>
      <c r="U159" s="24">
        <f>IF(Raw_Data!S150="",$C$8,VALUE(Raw_Data!S150))</f>
        <v>853</v>
      </c>
      <c r="V159" s="23" t="str">
        <f>IF(Raw_Data!S150="","Missing-Imputed","Original")</f>
        <v>Original</v>
      </c>
      <c r="W159" s="24">
        <f>Raw_Data!T150</f>
        <v>88</v>
      </c>
      <c r="X159" s="23" t="str">
        <f>IF(ISNUMBER(SEARCH("Y",UPPER(TRIM(Raw_Data!U150)))),"Yes","No")</f>
        <v>No</v>
      </c>
      <c r="Y159" s="23" t="str">
        <f>IF(ISNUMBER(SEARCH("Y",UPPER(TRIM(Raw_Data!V150)))),"Yes","No")</f>
        <v>No</v>
      </c>
      <c r="Z159" s="24">
        <f>Raw_Data!W150</f>
        <v>5</v>
      </c>
      <c r="AA159" s="24">
        <f>Raw_Data!X150</f>
        <v>4.4000000000000004</v>
      </c>
      <c r="AB159" s="23" t="str">
        <f>IF(COUNTIFS(Raw_Data!$A$2:$A$616,Raw_Data!A150)&gt;1,"Duplicate","Unique")</f>
        <v>Unique</v>
      </c>
      <c r="AC159" s="23" t="str">
        <f t="shared" si="8"/>
        <v>Clean</v>
      </c>
    </row>
    <row r="160" spans="1:29" ht="15" customHeight="1">
      <c r="A160" s="25" t="str">
        <f>Raw_Data!A151</f>
        <v>BYJ1150</v>
      </c>
      <c r="B160" s="25" t="str">
        <f>Raw_Data!B151</f>
        <v>Sudiksha Bobal</v>
      </c>
      <c r="C160" s="26">
        <f>IF(OR(Raw_Data!C151="",Raw_Data!C151&lt;$C$5,Raw_Data!C151&gt;$C$6),$C$4,Raw_Data!C151)</f>
        <v>24</v>
      </c>
      <c r="D160" s="25" t="str">
        <f>IF(Raw_Data!C151="","Missing-Imputed",IF(OR(Raw_Data!C151&lt;$C$5,Raw_Data!C151&gt;$C$6),"Outlier-Imputed","Original"))</f>
        <v>Missing-Imputed</v>
      </c>
      <c r="E160" s="25" t="str">
        <f>IF(OR(UPPER(TRIM(Raw_Data!D151))="M",UPPER(TRIM(Raw_Data!D151))="MALE"),"Male","Female")</f>
        <v>Male</v>
      </c>
      <c r="F160" s="25" t="str">
        <f>PROPER(TRIM(Raw_Data!E151))</f>
        <v>Bilaspur</v>
      </c>
      <c r="G160" s="25" t="str">
        <f>PROPER(TRIM(Raw_Data!F151))</f>
        <v>Gujarat</v>
      </c>
      <c r="H160" s="25" t="str">
        <f>PROPER(TRIM(Raw_Data!G151))</f>
        <v>Neet Prep</v>
      </c>
      <c r="I160" s="25" t="str">
        <f>PROPER(TRIM(Raw_Data!H151))</f>
        <v>Lucknow Hub</v>
      </c>
      <c r="J160" s="26">
        <f>IF(LEN(TRIM(Raw_Data!I151))=4,VALUE(TRIM(Raw_Data!I151)),IF(ISNUMBER(IFERROR(VALUE(MID(TRIM(Raw_Data!I151),1,4)),"NA")),VALUE(MID(TRIM(Raw_Data!I151),1,4)),VALUE(RIGHT(TRIM(Raw_Data!I151),4))))</f>
        <v>2020</v>
      </c>
      <c r="K160" s="25" t="str">
        <f>PROPER(TRIM(Raw_Data!J151))</f>
        <v>Business</v>
      </c>
      <c r="L160" s="25" t="str">
        <f t="shared" si="6"/>
        <v>20+</v>
      </c>
      <c r="M160" s="25" t="str">
        <f t="shared" si="7"/>
        <v>Adult Learners</v>
      </c>
      <c r="N160" s="25" t="str">
        <f>IF(ISNUMBER(SEARCH("NON",UPPER(Raw_Data!M151))),"Non-Premium Learner","Premium Learner")</f>
        <v>Premium Learner</v>
      </c>
      <c r="O160" s="25" t="str">
        <f>PROPER(TRIM(Raw_Data!N151))</f>
        <v>Web Only</v>
      </c>
      <c r="P160" s="26">
        <f>IF(Raw_Data!O151="",$C$7,Raw_Data!O151)</f>
        <v>58059</v>
      </c>
      <c r="Q160" s="25" t="str">
        <f>IF(Raw_Data!O151="","Missing-Imputed","Original")</f>
        <v>Original</v>
      </c>
      <c r="R160" s="26">
        <f>Raw_Data!P151</f>
        <v>20.8</v>
      </c>
      <c r="S160" s="26">
        <f>Raw_Data!Q151</f>
        <v>42042.76</v>
      </c>
      <c r="T160" s="25" t="str">
        <f>IF(Raw_Data!R151="","Unknown",IF(ISNUMBER(SEARCH("ACT",UPPER(Raw_Data!R151))),"Active",IF(ISNUMBER(SEARCH("CLOS",UPPER(Raw_Data!R151))),"Closed","None")))</f>
        <v>Closed</v>
      </c>
      <c r="U160" s="26">
        <f>IF(Raw_Data!S151="",$C$8,VALUE(Raw_Data!S151))</f>
        <v>710</v>
      </c>
      <c r="V160" s="25" t="str">
        <f>IF(Raw_Data!S151="","Missing-Imputed","Original")</f>
        <v>Original</v>
      </c>
      <c r="W160" s="26">
        <f>Raw_Data!T151</f>
        <v>46</v>
      </c>
      <c r="X160" s="25" t="str">
        <f>IF(ISNUMBER(SEARCH("Y",UPPER(TRIM(Raw_Data!U151)))),"Yes","No")</f>
        <v>Yes</v>
      </c>
      <c r="Y160" s="25" t="str">
        <f>IF(ISNUMBER(SEARCH("Y",UPPER(TRIM(Raw_Data!V151)))),"Yes","No")</f>
        <v>Yes</v>
      </c>
      <c r="Z160" s="26">
        <f>Raw_Data!W151</f>
        <v>2</v>
      </c>
      <c r="AA160" s="26">
        <f>Raw_Data!X151</f>
        <v>5.2</v>
      </c>
      <c r="AB160" s="25" t="str">
        <f>IF(COUNTIFS(Raw_Data!$A$2:$A$616,Raw_Data!A151)&gt;1,"Duplicate","Unique")</f>
        <v>Unique</v>
      </c>
      <c r="AC160" s="25" t="str">
        <f t="shared" si="8"/>
        <v>Imputed</v>
      </c>
    </row>
    <row r="161" spans="1:29" ht="15" customHeight="1">
      <c r="A161" s="23" t="str">
        <f>Raw_Data!A152</f>
        <v>BYJ1151</v>
      </c>
      <c r="B161" s="23" t="str">
        <f>Raw_Data!B152</f>
        <v>Pavani Contractor</v>
      </c>
      <c r="C161" s="24">
        <f>IF(OR(Raw_Data!C152="",Raw_Data!C152&lt;$C$5,Raw_Data!C152&gt;$C$6),$C$4,Raw_Data!C152)</f>
        <v>15</v>
      </c>
      <c r="D161" s="23" t="str">
        <f>IF(Raw_Data!C152="","Missing-Imputed",IF(OR(Raw_Data!C152&lt;$C$5,Raw_Data!C152&gt;$C$6),"Outlier-Imputed","Original"))</f>
        <v>Original</v>
      </c>
      <c r="E161" s="23" t="str">
        <f>IF(OR(UPPER(TRIM(Raw_Data!D152))="M",UPPER(TRIM(Raw_Data!D152))="MALE"),"Male","Female")</f>
        <v>Female</v>
      </c>
      <c r="F161" s="23" t="str">
        <f>PROPER(TRIM(Raw_Data!E152))</f>
        <v>Jalgaon</v>
      </c>
      <c r="G161" s="23" t="str">
        <f>PROPER(TRIM(Raw_Data!F152))</f>
        <v>Rajasthan</v>
      </c>
      <c r="H161" s="23" t="str">
        <f>PROPER(TRIM(Raw_Data!G152))</f>
        <v>Science</v>
      </c>
      <c r="I161" s="23" t="str">
        <f>PROPER(TRIM(Raw_Data!H152))</f>
        <v>Jaipur Center</v>
      </c>
      <c r="J161" s="24">
        <f>IF(LEN(TRIM(Raw_Data!I152))=4,VALUE(TRIM(Raw_Data!I152)),IF(ISNUMBER(IFERROR(VALUE(MID(TRIM(Raw_Data!I152),1,4)),"NA")),VALUE(MID(TRIM(Raw_Data!I152),1,4)),VALUE(RIGHT(TRIM(Raw_Data!I152),4))))</f>
        <v>2024</v>
      </c>
      <c r="K161" s="23" t="str">
        <f>PROPER(TRIM(Raw_Data!J152))</f>
        <v>Homemaker</v>
      </c>
      <c r="L161" s="23" t="str">
        <f t="shared" si="6"/>
        <v>14-16</v>
      </c>
      <c r="M161" s="23" t="str">
        <f t="shared" si="7"/>
        <v>Teens</v>
      </c>
      <c r="N161" s="23" t="str">
        <f>IF(ISNUMBER(SEARCH("NON",UPPER(Raw_Data!M152))),"Non-Premium Learner","Premium Learner")</f>
        <v>Premium Learner</v>
      </c>
      <c r="O161" s="23" t="str">
        <f>PROPER(TRIM(Raw_Data!N152))</f>
        <v>App Only</v>
      </c>
      <c r="P161" s="24">
        <f>IF(Raw_Data!O152="",$C$7,Raw_Data!O152)</f>
        <v>62768.28</v>
      </c>
      <c r="Q161" s="23" t="str">
        <f>IF(Raw_Data!O152="","Missing-Imputed","Original")</f>
        <v>Original</v>
      </c>
      <c r="R161" s="24">
        <f>Raw_Data!P152</f>
        <v>9.5</v>
      </c>
      <c r="S161" s="24">
        <f>Raw_Data!Q152</f>
        <v>48829.08</v>
      </c>
      <c r="T161" s="23" t="str">
        <f>IF(Raw_Data!R152="","Unknown",IF(ISNUMBER(SEARCH("ACT",UPPER(Raw_Data!R152))),"Active",IF(ISNUMBER(SEARCH("CLOS",UPPER(Raw_Data!R152))),"Closed","None")))</f>
        <v>Closed</v>
      </c>
      <c r="U161" s="24">
        <f>IF(Raw_Data!S152="",$C$8,VALUE(Raw_Data!S152))</f>
        <v>398</v>
      </c>
      <c r="V161" s="23" t="str">
        <f>IF(Raw_Data!S152="","Missing-Imputed","Original")</f>
        <v>Original</v>
      </c>
      <c r="W161" s="24">
        <f>Raw_Data!T152</f>
        <v>85</v>
      </c>
      <c r="X161" s="23" t="str">
        <f>IF(ISNUMBER(SEARCH("Y",UPPER(TRIM(Raw_Data!U152)))),"Yes","No")</f>
        <v>No</v>
      </c>
      <c r="Y161" s="23" t="str">
        <f>IF(ISNUMBER(SEARCH("Y",UPPER(TRIM(Raw_Data!V152)))),"Yes","No")</f>
        <v>No</v>
      </c>
      <c r="Z161" s="24">
        <f>Raw_Data!W152</f>
        <v>3</v>
      </c>
      <c r="AA161" s="24">
        <f>Raw_Data!X152</f>
        <v>0.7</v>
      </c>
      <c r="AB161" s="23" t="str">
        <f>IF(COUNTIFS(Raw_Data!$A$2:$A$616,Raw_Data!A152)&gt;1,"Duplicate","Unique")</f>
        <v>Unique</v>
      </c>
      <c r="AC161" s="23" t="str">
        <f t="shared" si="8"/>
        <v>Clean</v>
      </c>
    </row>
    <row r="162" spans="1:29" ht="15" customHeight="1">
      <c r="A162" s="25" t="str">
        <f>Raw_Data!A153</f>
        <v>BYJ1152</v>
      </c>
      <c r="B162" s="25" t="str">
        <f>Raw_Data!B153</f>
        <v>Lucky Bora</v>
      </c>
      <c r="C162" s="26">
        <f>IF(OR(Raw_Data!C153="",Raw_Data!C153&lt;$C$5,Raw_Data!C153&gt;$C$6),$C$4,Raw_Data!C153)</f>
        <v>44</v>
      </c>
      <c r="D162" s="25" t="str">
        <f>IF(Raw_Data!C153="","Missing-Imputed",IF(OR(Raw_Data!C153&lt;$C$5,Raw_Data!C153&gt;$C$6),"Outlier-Imputed","Original"))</f>
        <v>Original</v>
      </c>
      <c r="E162" s="25" t="str">
        <f>IF(OR(UPPER(TRIM(Raw_Data!D153))="M",UPPER(TRIM(Raw_Data!D153))="MALE"),"Male","Female")</f>
        <v>Male</v>
      </c>
      <c r="F162" s="25" t="str">
        <f>PROPER(TRIM(Raw_Data!E153))</f>
        <v>Dehradun</v>
      </c>
      <c r="G162" s="25" t="str">
        <f>PROPER(TRIM(Raw_Data!F153))</f>
        <v>Uttar Pradesh</v>
      </c>
      <c r="H162" s="25" t="str">
        <f>PROPER(TRIM(Raw_Data!G153))</f>
        <v>Science</v>
      </c>
      <c r="I162" s="25" t="str">
        <f>PROPER(TRIM(Raw_Data!H153))</f>
        <v>Hyderabad Hub</v>
      </c>
      <c r="J162" s="26">
        <f>IF(LEN(TRIM(Raw_Data!I153))=4,VALUE(TRIM(Raw_Data!I153)),IF(ISNUMBER(IFERROR(VALUE(MID(TRIM(Raw_Data!I153),1,4)),"NA")),VALUE(MID(TRIM(Raw_Data!I153),1,4)),VALUE(RIGHT(TRIM(Raw_Data!I153),4))))</f>
        <v>2021</v>
      </c>
      <c r="K162" s="25" t="str">
        <f>PROPER(TRIM(Raw_Data!J153))</f>
        <v>Retired</v>
      </c>
      <c r="L162" s="25" t="str">
        <f t="shared" si="6"/>
        <v>20+</v>
      </c>
      <c r="M162" s="25" t="str">
        <f t="shared" si="7"/>
        <v>Adult Learners</v>
      </c>
      <c r="N162" s="25" t="str">
        <f>IF(ISNUMBER(SEARCH("NON",UPPER(Raw_Data!M153))),"Non-Premium Learner","Premium Learner")</f>
        <v>Non-Premium Learner</v>
      </c>
      <c r="O162" s="25" t="str">
        <f>PROPER(TRIM(Raw_Data!N153))</f>
        <v>Both App &amp; Web</v>
      </c>
      <c r="P162" s="26">
        <f>IF(Raw_Data!O153="",$C$7,Raw_Data!O153)</f>
        <v>46545.919999999998</v>
      </c>
      <c r="Q162" s="25" t="str">
        <f>IF(Raw_Data!O153="","Missing-Imputed","Original")</f>
        <v>Original</v>
      </c>
      <c r="R162" s="26">
        <f>Raw_Data!P153</f>
        <v>15.9</v>
      </c>
      <c r="S162" s="26">
        <f>Raw_Data!Q153</f>
        <v>10054.530000000001</v>
      </c>
      <c r="T162" s="25" t="str">
        <f>IF(Raw_Data!R153="","Unknown",IF(ISNUMBER(SEARCH("ACT",UPPER(Raw_Data!R153))),"Active",IF(ISNUMBER(SEARCH("CLOS",UPPER(Raw_Data!R153))),"Closed","None")))</f>
        <v>Closed</v>
      </c>
      <c r="U162" s="26">
        <f>IF(Raw_Data!S153="",$C$8,VALUE(Raw_Data!S153))</f>
        <v>885</v>
      </c>
      <c r="V162" s="25" t="str">
        <f>IF(Raw_Data!S153="","Missing-Imputed","Original")</f>
        <v>Original</v>
      </c>
      <c r="W162" s="26">
        <f>Raw_Data!T153</f>
        <v>18</v>
      </c>
      <c r="X162" s="25" t="str">
        <f>IF(ISNUMBER(SEARCH("Y",UPPER(TRIM(Raw_Data!U153)))),"Yes","No")</f>
        <v>Yes</v>
      </c>
      <c r="Y162" s="25" t="str">
        <f>IF(ISNUMBER(SEARCH("Y",UPPER(TRIM(Raw_Data!V153)))),"Yes","No")</f>
        <v>No</v>
      </c>
      <c r="Z162" s="26">
        <f>Raw_Data!W153</f>
        <v>3</v>
      </c>
      <c r="AA162" s="26">
        <f>Raw_Data!X153</f>
        <v>3.2</v>
      </c>
      <c r="AB162" s="25" t="str">
        <f>IF(COUNTIFS(Raw_Data!$A$2:$A$616,Raw_Data!A153)&gt;1,"Duplicate","Unique")</f>
        <v>Unique</v>
      </c>
      <c r="AC162" s="25" t="str">
        <f t="shared" si="8"/>
        <v>Clean</v>
      </c>
    </row>
    <row r="163" spans="1:29" ht="15" customHeight="1">
      <c r="A163" s="23" t="str">
        <f>Raw_Data!A154</f>
        <v>BYJ1153</v>
      </c>
      <c r="B163" s="23" t="str">
        <f>Raw_Data!B154</f>
        <v>Bhavya Sarna</v>
      </c>
      <c r="C163" s="24">
        <f>IF(OR(Raw_Data!C154="",Raw_Data!C154&lt;$C$5,Raw_Data!C154&gt;$C$6),$C$4,Raw_Data!C154)</f>
        <v>31</v>
      </c>
      <c r="D163" s="23" t="str">
        <f>IF(Raw_Data!C154="","Missing-Imputed",IF(OR(Raw_Data!C154&lt;$C$5,Raw_Data!C154&gt;$C$6),"Outlier-Imputed","Original"))</f>
        <v>Original</v>
      </c>
      <c r="E163" s="23" t="str">
        <f>IF(OR(UPPER(TRIM(Raw_Data!D154))="M",UPPER(TRIM(Raw_Data!D154))="MALE"),"Male","Female")</f>
        <v>Female</v>
      </c>
      <c r="F163" s="23" t="str">
        <f>PROPER(TRIM(Raw_Data!E154))</f>
        <v>Bhind</v>
      </c>
      <c r="G163" s="23" t="str">
        <f>PROPER(TRIM(Raw_Data!F154))</f>
        <v>Gujarat</v>
      </c>
      <c r="H163" s="23" t="str">
        <f>PROPER(TRIM(Raw_Data!G154))</f>
        <v>Spoken English</v>
      </c>
      <c r="I163" s="23" t="str">
        <f>PROPER(TRIM(Raw_Data!H154))</f>
        <v>Kolkata Main</v>
      </c>
      <c r="J163" s="24">
        <f>IF(LEN(TRIM(Raw_Data!I154))=4,VALUE(TRIM(Raw_Data!I154)),IF(ISNUMBER(IFERROR(VALUE(MID(TRIM(Raw_Data!I154),1,4)),"NA")),VALUE(MID(TRIM(Raw_Data!I154),1,4)),VALUE(RIGHT(TRIM(Raw_Data!I154),4))))</f>
        <v>2018</v>
      </c>
      <c r="K163" s="23" t="str">
        <f>PROPER(TRIM(Raw_Data!J154))</f>
        <v>Business</v>
      </c>
      <c r="L163" s="23" t="str">
        <f t="shared" si="6"/>
        <v>20+</v>
      </c>
      <c r="M163" s="23" t="str">
        <f t="shared" si="7"/>
        <v>Adult Learners</v>
      </c>
      <c r="N163" s="23" t="str">
        <f>IF(ISNUMBER(SEARCH("NON",UPPER(Raw_Data!M154))),"Non-Premium Learner","Premium Learner")</f>
        <v>Non-Premium Learner</v>
      </c>
      <c r="O163" s="23" t="str">
        <f>PROPER(TRIM(Raw_Data!N154))</f>
        <v>Both App &amp; Web</v>
      </c>
      <c r="P163" s="24">
        <f>IF(Raw_Data!O154="",$C$7,Raw_Data!O154)</f>
        <v>106601.05</v>
      </c>
      <c r="Q163" s="23" t="str">
        <f>IF(Raw_Data!O154="","Missing-Imputed","Original")</f>
        <v>Original</v>
      </c>
      <c r="R163" s="24">
        <f>Raw_Data!P154</f>
        <v>17.5</v>
      </c>
      <c r="S163" s="24">
        <f>Raw_Data!Q154</f>
        <v>6180.56</v>
      </c>
      <c r="T163" s="23" t="str">
        <f>IF(Raw_Data!R154="","Unknown",IF(ISNUMBER(SEARCH("ACT",UPPER(Raw_Data!R154))),"Active",IF(ISNUMBER(SEARCH("CLOS",UPPER(Raw_Data!R154))),"Closed","None")))</f>
        <v>Active</v>
      </c>
      <c r="U163" s="24">
        <f>IF(Raw_Data!S154="",$C$8,VALUE(Raw_Data!S154))</f>
        <v>861</v>
      </c>
      <c r="V163" s="23" t="str">
        <f>IF(Raw_Data!S154="","Missing-Imputed","Original")</f>
        <v>Original</v>
      </c>
      <c r="W163" s="24">
        <f>Raw_Data!T154</f>
        <v>197</v>
      </c>
      <c r="X163" s="23" t="str">
        <f>IF(ISNUMBER(SEARCH("Y",UPPER(TRIM(Raw_Data!U154)))),"Yes","No")</f>
        <v>No</v>
      </c>
      <c r="Y163" s="23" t="str">
        <f>IF(ISNUMBER(SEARCH("Y",UPPER(TRIM(Raw_Data!V154)))),"Yes","No")</f>
        <v>Yes</v>
      </c>
      <c r="Z163" s="24">
        <f>Raw_Data!W154</f>
        <v>5</v>
      </c>
      <c r="AA163" s="24">
        <f>Raw_Data!X154</f>
        <v>1.8</v>
      </c>
      <c r="AB163" s="23" t="str">
        <f>IF(COUNTIFS(Raw_Data!$A$2:$A$616,Raw_Data!A154)&gt;1,"Duplicate","Unique")</f>
        <v>Unique</v>
      </c>
      <c r="AC163" s="23" t="str">
        <f t="shared" si="8"/>
        <v>Clean</v>
      </c>
    </row>
    <row r="164" spans="1:29" ht="15" customHeight="1">
      <c r="A164" s="25" t="str">
        <f>Raw_Data!A155</f>
        <v>BYJ1154</v>
      </c>
      <c r="B164" s="25" t="str">
        <f>Raw_Data!B155</f>
        <v>Neha Magar</v>
      </c>
      <c r="C164" s="26">
        <f>IF(OR(Raw_Data!C155="",Raw_Data!C155&lt;$C$5,Raw_Data!C155&gt;$C$6),$C$4,Raw_Data!C155)</f>
        <v>25</v>
      </c>
      <c r="D164" s="25" t="str">
        <f>IF(Raw_Data!C155="","Missing-Imputed",IF(OR(Raw_Data!C155&lt;$C$5,Raw_Data!C155&gt;$C$6),"Outlier-Imputed","Original"))</f>
        <v>Original</v>
      </c>
      <c r="E164" s="25" t="str">
        <f>IF(OR(UPPER(TRIM(Raw_Data!D155))="M",UPPER(TRIM(Raw_Data!D155))="MALE"),"Male","Female")</f>
        <v>Male</v>
      </c>
      <c r="F164" s="25" t="str">
        <f>PROPER(TRIM(Raw_Data!E155))</f>
        <v>Bahraich</v>
      </c>
      <c r="G164" s="25" t="str">
        <f>PROPER(TRIM(Raw_Data!F155))</f>
        <v>Rajasthan</v>
      </c>
      <c r="H164" s="25" t="str">
        <f>PROPER(TRIM(Raw_Data!G155))</f>
        <v>Science</v>
      </c>
      <c r="I164" s="25" t="str">
        <f>PROPER(TRIM(Raw_Data!H155))</f>
        <v>Mumbai West</v>
      </c>
      <c r="J164" s="26">
        <f>IF(LEN(TRIM(Raw_Data!I155))=4,VALUE(TRIM(Raw_Data!I155)),IF(ISNUMBER(IFERROR(VALUE(MID(TRIM(Raw_Data!I155),1,4)),"NA")),VALUE(MID(TRIM(Raw_Data!I155),1,4)),VALUE(RIGHT(TRIM(Raw_Data!I155),4))))</f>
        <v>2024</v>
      </c>
      <c r="K164" s="25" t="str">
        <f>PROPER(TRIM(Raw_Data!J155))</f>
        <v>Retired</v>
      </c>
      <c r="L164" s="25" t="str">
        <f t="shared" si="6"/>
        <v>20+</v>
      </c>
      <c r="M164" s="25" t="str">
        <f t="shared" si="7"/>
        <v>Adult Learners</v>
      </c>
      <c r="N164" s="25" t="str">
        <f>IF(ISNUMBER(SEARCH("NON",UPPER(Raw_Data!M155))),"Non-Premium Learner","Premium Learner")</f>
        <v>Non-Premium Learner</v>
      </c>
      <c r="O164" s="25" t="str">
        <f>PROPER(TRIM(Raw_Data!N155))</f>
        <v>Web Only</v>
      </c>
      <c r="P164" s="26">
        <f>IF(Raw_Data!O155="",$C$7,Raw_Data!O155)</f>
        <v>72743.05</v>
      </c>
      <c r="Q164" s="25" t="str">
        <f>IF(Raw_Data!O155="","Missing-Imputed","Original")</f>
        <v>Original</v>
      </c>
      <c r="R164" s="26">
        <f>Raw_Data!P155</f>
        <v>75.099999999999994</v>
      </c>
      <c r="S164" s="26">
        <f>Raw_Data!Q155</f>
        <v>32912.720000000001</v>
      </c>
      <c r="T164" s="25" t="str">
        <f>IF(Raw_Data!R155="","Unknown",IF(ISNUMBER(SEARCH("ACT",UPPER(Raw_Data!R155))),"Active",IF(ISNUMBER(SEARCH("CLOS",UPPER(Raw_Data!R155))),"Closed","None")))</f>
        <v>Active</v>
      </c>
      <c r="U164" s="26">
        <f>IF(Raw_Data!S155="",$C$8,VALUE(Raw_Data!S155))</f>
        <v>767</v>
      </c>
      <c r="V164" s="25" t="str">
        <f>IF(Raw_Data!S155="","Missing-Imputed","Original")</f>
        <v>Original</v>
      </c>
      <c r="W164" s="26">
        <f>Raw_Data!T155</f>
        <v>162</v>
      </c>
      <c r="X164" s="25" t="str">
        <f>IF(ISNUMBER(SEARCH("Y",UPPER(TRIM(Raw_Data!U155)))),"Yes","No")</f>
        <v>No</v>
      </c>
      <c r="Y164" s="25" t="str">
        <f>IF(ISNUMBER(SEARCH("Y",UPPER(TRIM(Raw_Data!V155)))),"Yes","No")</f>
        <v>No</v>
      </c>
      <c r="Z164" s="26">
        <f>Raw_Data!W155</f>
        <v>5</v>
      </c>
      <c r="AA164" s="26">
        <f>Raw_Data!X155</f>
        <v>2.4</v>
      </c>
      <c r="AB164" s="25" t="str">
        <f>IF(COUNTIFS(Raw_Data!$A$2:$A$616,Raw_Data!A155)&gt;1,"Duplicate","Unique")</f>
        <v>Unique</v>
      </c>
      <c r="AC164" s="25" t="str">
        <f t="shared" si="8"/>
        <v>Clean</v>
      </c>
    </row>
    <row r="165" spans="1:29" ht="15" customHeight="1">
      <c r="A165" s="23" t="str">
        <f>Raw_Data!A156</f>
        <v>BYJ1155</v>
      </c>
      <c r="B165" s="23" t="str">
        <f>Raw_Data!B156</f>
        <v>Balveer Sankaran</v>
      </c>
      <c r="C165" s="24">
        <f>IF(OR(Raw_Data!C156="",Raw_Data!C156&lt;$C$5,Raw_Data!C156&gt;$C$6),$C$4,Raw_Data!C156)</f>
        <v>32</v>
      </c>
      <c r="D165" s="23" t="str">
        <f>IF(Raw_Data!C156="","Missing-Imputed",IF(OR(Raw_Data!C156&lt;$C$5,Raw_Data!C156&gt;$C$6),"Outlier-Imputed","Original"))</f>
        <v>Original</v>
      </c>
      <c r="E165" s="23" t="str">
        <f>IF(OR(UPPER(TRIM(Raw_Data!D156))="M",UPPER(TRIM(Raw_Data!D156))="MALE"),"Male","Female")</f>
        <v>Female</v>
      </c>
      <c r="F165" s="23" t="str">
        <f>PROPER(TRIM(Raw_Data!E156))</f>
        <v>Mahbubnagar</v>
      </c>
      <c r="G165" s="23" t="str">
        <f>PROPER(TRIM(Raw_Data!F156))</f>
        <v>Tamil Nadu</v>
      </c>
      <c r="H165" s="23" t="str">
        <f>PROPER(TRIM(Raw_Data!G156))</f>
        <v>Science</v>
      </c>
      <c r="I165" s="23" t="str">
        <f>PROPER(TRIM(Raw_Data!H156))</f>
        <v>Pune East</v>
      </c>
      <c r="J165" s="24">
        <f>IF(LEN(TRIM(Raw_Data!I156))=4,VALUE(TRIM(Raw_Data!I156)),IF(ISNUMBER(IFERROR(VALUE(MID(TRIM(Raw_Data!I156),1,4)),"NA")),VALUE(MID(TRIM(Raw_Data!I156),1,4)),VALUE(RIGHT(TRIM(Raw_Data!I156),4))))</f>
        <v>2020</v>
      </c>
      <c r="K165" s="23" t="str">
        <f>PROPER(TRIM(Raw_Data!J156))</f>
        <v>Retired</v>
      </c>
      <c r="L165" s="23" t="str">
        <f t="shared" si="6"/>
        <v>20+</v>
      </c>
      <c r="M165" s="23" t="str">
        <f t="shared" si="7"/>
        <v>Adult Learners</v>
      </c>
      <c r="N165" s="23" t="str">
        <f>IF(ISNUMBER(SEARCH("NON",UPPER(Raw_Data!M156))),"Non-Premium Learner","Premium Learner")</f>
        <v>Non-Premium Learner</v>
      </c>
      <c r="O165" s="23" t="str">
        <f>PROPER(TRIM(Raw_Data!N156))</f>
        <v>Web Only</v>
      </c>
      <c r="P165" s="24">
        <f>IF(Raw_Data!O156="",$C$7,Raw_Data!O156)</f>
        <v>48443.53</v>
      </c>
      <c r="Q165" s="23" t="str">
        <f>IF(Raw_Data!O156="","Missing-Imputed","Original")</f>
        <v>Original</v>
      </c>
      <c r="R165" s="24">
        <f>Raw_Data!P156</f>
        <v>64.8</v>
      </c>
      <c r="S165" s="24">
        <f>Raw_Data!Q156</f>
        <v>35820.230000000003</v>
      </c>
      <c r="T165" s="23" t="str">
        <f>IF(Raw_Data!R156="","Unknown",IF(ISNUMBER(SEARCH("ACT",UPPER(Raw_Data!R156))),"Active",IF(ISNUMBER(SEARCH("CLOS",UPPER(Raw_Data!R156))),"Closed","None")))</f>
        <v>Active</v>
      </c>
      <c r="U165" s="24">
        <f>IF(Raw_Data!S156="",$C$8,VALUE(Raw_Data!S156))</f>
        <v>493</v>
      </c>
      <c r="V165" s="23" t="str">
        <f>IF(Raw_Data!S156="","Missing-Imputed","Original")</f>
        <v>Original</v>
      </c>
      <c r="W165" s="24">
        <f>Raw_Data!T156</f>
        <v>143</v>
      </c>
      <c r="X165" s="23" t="str">
        <f>IF(ISNUMBER(SEARCH("Y",UPPER(TRIM(Raw_Data!U156)))),"Yes","No")</f>
        <v>No</v>
      </c>
      <c r="Y165" s="23" t="str">
        <f>IF(ISNUMBER(SEARCH("Y",UPPER(TRIM(Raw_Data!V156)))),"Yes","No")</f>
        <v>Yes</v>
      </c>
      <c r="Z165" s="24">
        <f>Raw_Data!W156</f>
        <v>4</v>
      </c>
      <c r="AA165" s="24">
        <f>Raw_Data!X156</f>
        <v>7.5</v>
      </c>
      <c r="AB165" s="23" t="str">
        <f>IF(COUNTIFS(Raw_Data!$A$2:$A$616,Raw_Data!A156)&gt;1,"Duplicate","Unique")</f>
        <v>Unique</v>
      </c>
      <c r="AC165" s="23" t="str">
        <f t="shared" si="8"/>
        <v>Clean</v>
      </c>
    </row>
    <row r="166" spans="1:29" ht="15" customHeight="1">
      <c r="A166" s="25" t="str">
        <f>Raw_Data!A157</f>
        <v>BYJ1156</v>
      </c>
      <c r="B166" s="25" t="str">
        <f>Raw_Data!B157</f>
        <v>Atharv Chand</v>
      </c>
      <c r="C166" s="26">
        <f>IF(OR(Raw_Data!C157="",Raw_Data!C157&lt;$C$5,Raw_Data!C157&gt;$C$6),$C$4,Raw_Data!C157)</f>
        <v>21</v>
      </c>
      <c r="D166" s="25" t="str">
        <f>IF(Raw_Data!C157="","Missing-Imputed",IF(OR(Raw_Data!C157&lt;$C$5,Raw_Data!C157&gt;$C$6),"Outlier-Imputed","Original"))</f>
        <v>Original</v>
      </c>
      <c r="E166" s="25" t="str">
        <f>IF(OR(UPPER(TRIM(Raw_Data!D157))="M",UPPER(TRIM(Raw_Data!D157))="MALE"),"Male","Female")</f>
        <v>Female</v>
      </c>
      <c r="F166" s="25" t="str">
        <f>PROPER(TRIM(Raw_Data!E157))</f>
        <v>Ramgarh</v>
      </c>
      <c r="G166" s="25" t="str">
        <f>PROPER(TRIM(Raw_Data!F157))</f>
        <v>Uttar Pradesh</v>
      </c>
      <c r="H166" s="25" t="str">
        <f>PROPER(TRIM(Raw_Data!G157))</f>
        <v>Jee Prep</v>
      </c>
      <c r="I166" s="25" t="str">
        <f>PROPER(TRIM(Raw_Data!H157))</f>
        <v>Kolkata Main</v>
      </c>
      <c r="J166" s="26">
        <f>IF(LEN(TRIM(Raw_Data!I157))=4,VALUE(TRIM(Raw_Data!I157)),IF(ISNUMBER(IFERROR(VALUE(MID(TRIM(Raw_Data!I157),1,4)),"NA")),VALUE(MID(TRIM(Raw_Data!I157),1,4)),VALUE(RIGHT(TRIM(Raw_Data!I157),4))))</f>
        <v>2019</v>
      </c>
      <c r="K166" s="25" t="str">
        <f>PROPER(TRIM(Raw_Data!J157))</f>
        <v>Homemaker</v>
      </c>
      <c r="L166" s="25" t="str">
        <f t="shared" si="6"/>
        <v>20+</v>
      </c>
      <c r="M166" s="25" t="str">
        <f t="shared" si="7"/>
        <v>Adult Learners</v>
      </c>
      <c r="N166" s="25" t="str">
        <f>IF(ISNUMBER(SEARCH("NON",UPPER(Raw_Data!M157))),"Non-Premium Learner","Premium Learner")</f>
        <v>Premium Learner</v>
      </c>
      <c r="O166" s="25" t="str">
        <f>PROPER(TRIM(Raw_Data!N157))</f>
        <v>Web Only</v>
      </c>
      <c r="P166" s="26">
        <f>IF(Raw_Data!O157="",$C$7,Raw_Data!O157)</f>
        <v>44459.45</v>
      </c>
      <c r="Q166" s="25" t="str">
        <f>IF(Raw_Data!O157="","Missing-Imputed","Original")</f>
        <v>Original</v>
      </c>
      <c r="R166" s="26">
        <f>Raw_Data!P157</f>
        <v>19.100000000000001</v>
      </c>
      <c r="S166" s="26">
        <f>Raw_Data!Q157</f>
        <v>1163.72</v>
      </c>
      <c r="T166" s="25" t="str">
        <f>IF(Raw_Data!R157="","Unknown",IF(ISNUMBER(SEARCH("ACT",UPPER(Raw_Data!R157))),"Active",IF(ISNUMBER(SEARCH("CLOS",UPPER(Raw_Data!R157))),"Closed","None")))</f>
        <v>Active</v>
      </c>
      <c r="U166" s="26">
        <f>IF(Raw_Data!S157="",$C$8,VALUE(Raw_Data!S157))</f>
        <v>490</v>
      </c>
      <c r="V166" s="25" t="str">
        <f>IF(Raw_Data!S157="","Missing-Imputed","Original")</f>
        <v>Original</v>
      </c>
      <c r="W166" s="26">
        <f>Raw_Data!T157</f>
        <v>72</v>
      </c>
      <c r="X166" s="25" t="str">
        <f>IF(ISNUMBER(SEARCH("Y",UPPER(TRIM(Raw_Data!U157)))),"Yes","No")</f>
        <v>No</v>
      </c>
      <c r="Y166" s="25" t="str">
        <f>IF(ISNUMBER(SEARCH("Y",UPPER(TRIM(Raw_Data!V157)))),"Yes","No")</f>
        <v>No</v>
      </c>
      <c r="Z166" s="26">
        <f>Raw_Data!W157</f>
        <v>2</v>
      </c>
      <c r="AA166" s="26">
        <f>Raw_Data!X157</f>
        <v>1.3</v>
      </c>
      <c r="AB166" s="25" t="str">
        <f>IF(COUNTIFS(Raw_Data!$A$2:$A$616,Raw_Data!A157)&gt;1,"Duplicate","Unique")</f>
        <v>Unique</v>
      </c>
      <c r="AC166" s="25" t="str">
        <f t="shared" si="8"/>
        <v>Clean</v>
      </c>
    </row>
    <row r="167" spans="1:29" ht="15" customHeight="1">
      <c r="A167" s="23" t="str">
        <f>Raw_Data!A158</f>
        <v>BYJ1157</v>
      </c>
      <c r="B167" s="23" t="str">
        <f>Raw_Data!B158</f>
        <v xml:space="preserve">  Amruta Baria  </v>
      </c>
      <c r="C167" s="24">
        <f>IF(OR(Raw_Data!C158="",Raw_Data!C158&lt;$C$5,Raw_Data!C158&gt;$C$6),$C$4,Raw_Data!C158)</f>
        <v>32</v>
      </c>
      <c r="D167" s="23" t="str">
        <f>IF(Raw_Data!C158="","Missing-Imputed",IF(OR(Raw_Data!C158&lt;$C$5,Raw_Data!C158&gt;$C$6),"Outlier-Imputed","Original"))</f>
        <v>Original</v>
      </c>
      <c r="E167" s="23" t="str">
        <f>IF(OR(UPPER(TRIM(Raw_Data!D158))="M",UPPER(TRIM(Raw_Data!D158))="MALE"),"Male","Female")</f>
        <v>Female</v>
      </c>
      <c r="F167" s="23" t="str">
        <f>PROPER(TRIM(Raw_Data!E158))</f>
        <v>Nandyal</v>
      </c>
      <c r="G167" s="23" t="str">
        <f>PROPER(TRIM(Raw_Data!F158))</f>
        <v>Rajasthan</v>
      </c>
      <c r="H167" s="23" t="str">
        <f>PROPER(TRIM(Raw_Data!G158))</f>
        <v>Coding</v>
      </c>
      <c r="I167" s="23" t="str">
        <f>PROPER(TRIM(Raw_Data!H158))</f>
        <v>Pune East</v>
      </c>
      <c r="J167" s="24">
        <f>IF(LEN(TRIM(Raw_Data!I158))=4,VALUE(TRIM(Raw_Data!I158)),IF(ISNUMBER(IFERROR(VALUE(MID(TRIM(Raw_Data!I158),1,4)),"NA")),VALUE(MID(TRIM(Raw_Data!I158),1,4)),VALUE(RIGHT(TRIM(Raw_Data!I158),4))))</f>
        <v>2017</v>
      </c>
      <c r="K167" s="23" t="str">
        <f>PROPER(TRIM(Raw_Data!J158))</f>
        <v>Self-Employed</v>
      </c>
      <c r="L167" s="23" t="str">
        <f t="shared" si="6"/>
        <v>20+</v>
      </c>
      <c r="M167" s="23" t="str">
        <f t="shared" si="7"/>
        <v>Adult Learners</v>
      </c>
      <c r="N167" s="23" t="str">
        <f>IF(ISNUMBER(SEARCH("NON",UPPER(Raw_Data!M158))),"Non-Premium Learner","Premium Learner")</f>
        <v>Premium Learner</v>
      </c>
      <c r="O167" s="23" t="str">
        <f>PROPER(TRIM(Raw_Data!N158))</f>
        <v>App Only</v>
      </c>
      <c r="P167" s="24">
        <f>IF(Raw_Data!O158="",$C$7,Raw_Data!O158)</f>
        <v>134876.35</v>
      </c>
      <c r="Q167" s="23" t="str">
        <f>IF(Raw_Data!O158="","Missing-Imputed","Original")</f>
        <v>Original</v>
      </c>
      <c r="R167" s="24">
        <f>Raw_Data!P158</f>
        <v>33.6</v>
      </c>
      <c r="S167" s="24">
        <f>Raw_Data!Q158</f>
        <v>756.93</v>
      </c>
      <c r="T167" s="23" t="str">
        <f>IF(Raw_Data!R158="","Unknown",IF(ISNUMBER(SEARCH("ACT",UPPER(Raw_Data!R158))),"Active",IF(ISNUMBER(SEARCH("CLOS",UPPER(Raw_Data!R158))),"Closed","None")))</f>
        <v>None</v>
      </c>
      <c r="U167" s="24">
        <f>IF(Raw_Data!S158="",$C$8,VALUE(Raw_Data!S158))</f>
        <v>694</v>
      </c>
      <c r="V167" s="23" t="str">
        <f>IF(Raw_Data!S158="","Missing-Imputed","Original")</f>
        <v>Original</v>
      </c>
      <c r="W167" s="24">
        <f>Raw_Data!T158</f>
        <v>113</v>
      </c>
      <c r="X167" s="23" t="str">
        <f>IF(ISNUMBER(SEARCH("Y",UPPER(TRIM(Raw_Data!U158)))),"Yes","No")</f>
        <v>Yes</v>
      </c>
      <c r="Y167" s="23" t="str">
        <f>IF(ISNUMBER(SEARCH("Y",UPPER(TRIM(Raw_Data!V158)))),"Yes","No")</f>
        <v>Yes</v>
      </c>
      <c r="Z167" s="24">
        <f>Raw_Data!W158</f>
        <v>1</v>
      </c>
      <c r="AA167" s="24">
        <f>Raw_Data!X158</f>
        <v>4.9000000000000004</v>
      </c>
      <c r="AB167" s="23" t="str">
        <f>IF(COUNTIFS(Raw_Data!$A$2:$A$616,Raw_Data!A158)&gt;1,"Duplicate","Unique")</f>
        <v>Unique</v>
      </c>
      <c r="AC167" s="23" t="str">
        <f t="shared" si="8"/>
        <v>Clean</v>
      </c>
    </row>
    <row r="168" spans="1:29" ht="15" customHeight="1">
      <c r="A168" s="25" t="str">
        <f>Raw_Data!A159</f>
        <v>BYJ1158</v>
      </c>
      <c r="B168" s="25" t="str">
        <f>Raw_Data!B159</f>
        <v>Arunima Golla</v>
      </c>
      <c r="C168" s="26">
        <f>IF(OR(Raw_Data!C159="",Raw_Data!C159&lt;$C$5,Raw_Data!C159&gt;$C$6),$C$4,Raw_Data!C159)</f>
        <v>25</v>
      </c>
      <c r="D168" s="25" t="str">
        <f>IF(Raw_Data!C159="","Missing-Imputed",IF(OR(Raw_Data!C159&lt;$C$5,Raw_Data!C159&gt;$C$6),"Outlier-Imputed","Original"))</f>
        <v>Original</v>
      </c>
      <c r="E168" s="25" t="str">
        <f>IF(OR(UPPER(TRIM(Raw_Data!D159))="M",UPPER(TRIM(Raw_Data!D159))="MALE"),"Male","Female")</f>
        <v>Female</v>
      </c>
      <c r="F168" s="25" t="str">
        <f>PROPER(TRIM(Raw_Data!E159))</f>
        <v>Pallavaram</v>
      </c>
      <c r="G168" s="25" t="str">
        <f>PROPER(TRIM(Raw_Data!F159))</f>
        <v>Tamil Nadu</v>
      </c>
      <c r="H168" s="25" t="str">
        <f>PROPER(TRIM(Raw_Data!G159))</f>
        <v>Mathematics</v>
      </c>
      <c r="I168" s="25" t="str">
        <f>PROPER(TRIM(Raw_Data!H159))</f>
        <v>Hyderabad Hub</v>
      </c>
      <c r="J168" s="26">
        <f>IF(LEN(TRIM(Raw_Data!I159))=4,VALUE(TRIM(Raw_Data!I159)),IF(ISNUMBER(IFERROR(VALUE(MID(TRIM(Raw_Data!I159),1,4)),"NA")),VALUE(MID(TRIM(Raw_Data!I159),1,4)),VALUE(RIGHT(TRIM(Raw_Data!I159),4))))</f>
        <v>2023</v>
      </c>
      <c r="K168" s="25" t="str">
        <f>PROPER(TRIM(Raw_Data!J159))</f>
        <v>Homemaker</v>
      </c>
      <c r="L168" s="25" t="str">
        <f t="shared" si="6"/>
        <v>20+</v>
      </c>
      <c r="M168" s="25" t="str">
        <f t="shared" si="7"/>
        <v>Adult Learners</v>
      </c>
      <c r="N168" s="25" t="str">
        <f>IF(ISNUMBER(SEARCH("NON",UPPER(Raw_Data!M159))),"Non-Premium Learner","Premium Learner")</f>
        <v>Non-Premium Learner</v>
      </c>
      <c r="O168" s="25" t="str">
        <f>PROPER(TRIM(Raw_Data!N159))</f>
        <v>App Only</v>
      </c>
      <c r="P168" s="26">
        <f>IF(Raw_Data!O159="",$C$7,Raw_Data!O159)</f>
        <v>146124.74</v>
      </c>
      <c r="Q168" s="25" t="str">
        <f>IF(Raw_Data!O159="","Missing-Imputed","Original")</f>
        <v>Original</v>
      </c>
      <c r="R168" s="26">
        <f>Raw_Data!P159</f>
        <v>37.6</v>
      </c>
      <c r="S168" s="26">
        <f>Raw_Data!Q159</f>
        <v>904.06</v>
      </c>
      <c r="T168" s="25" t="str">
        <f>IF(Raw_Data!R159="","Unknown",IF(ISNUMBER(SEARCH("ACT",UPPER(Raw_Data!R159))),"Active",IF(ISNUMBER(SEARCH("CLOS",UPPER(Raw_Data!R159))),"Closed","None")))</f>
        <v>Closed</v>
      </c>
      <c r="U168" s="26">
        <f>IF(Raw_Data!S159="",$C$8,VALUE(Raw_Data!S159))</f>
        <v>422</v>
      </c>
      <c r="V168" s="25" t="str">
        <f>IF(Raw_Data!S159="","Missing-Imputed","Original")</f>
        <v>Original</v>
      </c>
      <c r="W168" s="26">
        <f>Raw_Data!T159</f>
        <v>62</v>
      </c>
      <c r="X168" s="25" t="str">
        <f>IF(ISNUMBER(SEARCH("Y",UPPER(TRIM(Raw_Data!U159)))),"Yes","No")</f>
        <v>Yes</v>
      </c>
      <c r="Y168" s="25" t="str">
        <f>IF(ISNUMBER(SEARCH("Y",UPPER(TRIM(Raw_Data!V159)))),"Yes","No")</f>
        <v>No</v>
      </c>
      <c r="Z168" s="26">
        <f>Raw_Data!W159</f>
        <v>3</v>
      </c>
      <c r="AA168" s="26">
        <f>Raw_Data!X159</f>
        <v>7.1</v>
      </c>
      <c r="AB168" s="25" t="str">
        <f>IF(COUNTIFS(Raw_Data!$A$2:$A$616,Raw_Data!A159)&gt;1,"Duplicate","Unique")</f>
        <v>Unique</v>
      </c>
      <c r="AC168" s="25" t="str">
        <f t="shared" si="8"/>
        <v>Clean</v>
      </c>
    </row>
    <row r="169" spans="1:29" ht="15" customHeight="1">
      <c r="A169" s="23" t="str">
        <f>Raw_Data!A160</f>
        <v>BYJ1159</v>
      </c>
      <c r="B169" s="23" t="str">
        <f>Raw_Data!B160</f>
        <v>Upma Pall</v>
      </c>
      <c r="C169" s="24">
        <f>IF(OR(Raw_Data!C160="",Raw_Data!C160&lt;$C$5,Raw_Data!C160&gt;$C$6),$C$4,Raw_Data!C160)</f>
        <v>45</v>
      </c>
      <c r="D169" s="23" t="str">
        <f>IF(Raw_Data!C160="","Missing-Imputed",IF(OR(Raw_Data!C160&lt;$C$5,Raw_Data!C160&gt;$C$6),"Outlier-Imputed","Original"))</f>
        <v>Original</v>
      </c>
      <c r="E169" s="23" t="str">
        <f>IF(OR(UPPER(TRIM(Raw_Data!D160))="M",UPPER(TRIM(Raw_Data!D160))="MALE"),"Male","Female")</f>
        <v>Female</v>
      </c>
      <c r="F169" s="23" t="str">
        <f>PROPER(TRIM(Raw_Data!E160))</f>
        <v>Thoothukudi</v>
      </c>
      <c r="G169" s="23" t="str">
        <f>PROPER(TRIM(Raw_Data!F160))</f>
        <v>Maharashtra</v>
      </c>
      <c r="H169" s="23" t="str">
        <f>PROPER(TRIM(Raw_Data!G160))</f>
        <v>Mathematics</v>
      </c>
      <c r="I169" s="23" t="str">
        <f>PROPER(TRIM(Raw_Data!H160))</f>
        <v>Mumbai West</v>
      </c>
      <c r="J169" s="24">
        <f>IF(LEN(TRIM(Raw_Data!I160))=4,VALUE(TRIM(Raw_Data!I160)),IF(ISNUMBER(IFERROR(VALUE(MID(TRIM(Raw_Data!I160),1,4)),"NA")),VALUE(MID(TRIM(Raw_Data!I160),1,4)),VALUE(RIGHT(TRIM(Raw_Data!I160),4))))</f>
        <v>2023</v>
      </c>
      <c r="K169" s="23" t="str">
        <f>PROPER(TRIM(Raw_Data!J160))</f>
        <v>Self-Employed</v>
      </c>
      <c r="L169" s="23" t="str">
        <f t="shared" si="6"/>
        <v>20+</v>
      </c>
      <c r="M169" s="23" t="str">
        <f t="shared" si="7"/>
        <v>Adult Learners</v>
      </c>
      <c r="N169" s="23" t="str">
        <f>IF(ISNUMBER(SEARCH("NON",UPPER(Raw_Data!M160))),"Non-Premium Learner","Premium Learner")</f>
        <v>Non-Premium Learner</v>
      </c>
      <c r="O169" s="23" t="str">
        <f>PROPER(TRIM(Raw_Data!N160))</f>
        <v>Web Only</v>
      </c>
      <c r="P169" s="24">
        <f>IF(Raw_Data!O160="",$C$7,Raw_Data!O160)</f>
        <v>56934.29</v>
      </c>
      <c r="Q169" s="23" t="str">
        <f>IF(Raw_Data!O160="","Missing-Imputed","Original")</f>
        <v>Original</v>
      </c>
      <c r="R169" s="24">
        <f>Raw_Data!P160</f>
        <v>72.400000000000006</v>
      </c>
      <c r="S169" s="24">
        <f>Raw_Data!Q160</f>
        <v>29118.13</v>
      </c>
      <c r="T169" s="23" t="str">
        <f>IF(Raw_Data!R160="","Unknown",IF(ISNUMBER(SEARCH("ACT",UPPER(Raw_Data!R160))),"Active",IF(ISNUMBER(SEARCH("CLOS",UPPER(Raw_Data!R160))),"Closed","None")))</f>
        <v>Closed</v>
      </c>
      <c r="U169" s="24">
        <f>IF(Raw_Data!S160="",$C$8,VALUE(Raw_Data!S160))</f>
        <v>601</v>
      </c>
      <c r="V169" s="23" t="str">
        <f>IF(Raw_Data!S160="","Missing-Imputed","Original")</f>
        <v>Original</v>
      </c>
      <c r="W169" s="24">
        <f>Raw_Data!T160</f>
        <v>125</v>
      </c>
      <c r="X169" s="23" t="str">
        <f>IF(ISNUMBER(SEARCH("Y",UPPER(TRIM(Raw_Data!U160)))),"Yes","No")</f>
        <v>Yes</v>
      </c>
      <c r="Y169" s="23" t="str">
        <f>IF(ISNUMBER(SEARCH("Y",UPPER(TRIM(Raw_Data!V160)))),"Yes","No")</f>
        <v>No</v>
      </c>
      <c r="Z169" s="24">
        <f>Raw_Data!W160</f>
        <v>4</v>
      </c>
      <c r="AA169" s="24">
        <f>Raw_Data!X160</f>
        <v>2.8</v>
      </c>
      <c r="AB169" s="23" t="str">
        <f>IF(COUNTIFS(Raw_Data!$A$2:$A$616,Raw_Data!A160)&gt;1,"Duplicate","Unique")</f>
        <v>Unique</v>
      </c>
      <c r="AC169" s="23" t="str">
        <f t="shared" si="8"/>
        <v>Clean</v>
      </c>
    </row>
    <row r="170" spans="1:29" ht="15" customHeight="1">
      <c r="A170" s="25" t="str">
        <f>Raw_Data!A161</f>
        <v>BYJ1160</v>
      </c>
      <c r="B170" s="25" t="str">
        <f>Raw_Data!B161</f>
        <v>Henry Dyal</v>
      </c>
      <c r="C170" s="26">
        <f>IF(OR(Raw_Data!C161="",Raw_Data!C161&lt;$C$5,Raw_Data!C161&gt;$C$6),$C$4,Raw_Data!C161)</f>
        <v>41</v>
      </c>
      <c r="D170" s="25" t="str">
        <f>IF(Raw_Data!C161="","Missing-Imputed",IF(OR(Raw_Data!C161&lt;$C$5,Raw_Data!C161&gt;$C$6),"Outlier-Imputed","Original"))</f>
        <v>Original</v>
      </c>
      <c r="E170" s="25" t="str">
        <f>IF(OR(UPPER(TRIM(Raw_Data!D161))="M",UPPER(TRIM(Raw_Data!D161))="MALE"),"Male","Female")</f>
        <v>Male</v>
      </c>
      <c r="F170" s="25" t="str">
        <f>PROPER(TRIM(Raw_Data!E161))</f>
        <v>Bulandshahr</v>
      </c>
      <c r="G170" s="25" t="str">
        <f>PROPER(TRIM(Raw_Data!F161))</f>
        <v>Rajasthan</v>
      </c>
      <c r="H170" s="25" t="str">
        <f>PROPER(TRIM(Raw_Data!G161))</f>
        <v>Jee Prep</v>
      </c>
      <c r="I170" s="25" t="str">
        <f>PROPER(TRIM(Raw_Data!H161))</f>
        <v>Hyderabad Hub</v>
      </c>
      <c r="J170" s="26">
        <f>IF(LEN(TRIM(Raw_Data!I161))=4,VALUE(TRIM(Raw_Data!I161)),IF(ISNUMBER(IFERROR(VALUE(MID(TRIM(Raw_Data!I161),1,4)),"NA")),VALUE(MID(TRIM(Raw_Data!I161),1,4)),VALUE(RIGHT(TRIM(Raw_Data!I161),4))))</f>
        <v>2024</v>
      </c>
      <c r="K170" s="25" t="str">
        <f>PROPER(TRIM(Raw_Data!J161))</f>
        <v>Retired</v>
      </c>
      <c r="L170" s="25" t="str">
        <f t="shared" si="6"/>
        <v>20+</v>
      </c>
      <c r="M170" s="25" t="str">
        <f t="shared" si="7"/>
        <v>Adult Learners</v>
      </c>
      <c r="N170" s="25" t="str">
        <f>IF(ISNUMBER(SEARCH("NON",UPPER(Raw_Data!M161))),"Non-Premium Learner","Premium Learner")</f>
        <v>Non-Premium Learner</v>
      </c>
      <c r="O170" s="25" t="str">
        <f>PROPER(TRIM(Raw_Data!N161))</f>
        <v>App Only</v>
      </c>
      <c r="P170" s="26">
        <f>IF(Raw_Data!O161="",$C$7,Raw_Data!O161)</f>
        <v>94861.52</v>
      </c>
      <c r="Q170" s="25" t="str">
        <f>IF(Raw_Data!O161="","Missing-Imputed","Original")</f>
        <v>Original</v>
      </c>
      <c r="R170" s="26">
        <f>Raw_Data!P161</f>
        <v>51.5</v>
      </c>
      <c r="S170" s="26">
        <f>Raw_Data!Q161</f>
        <v>19241.650000000001</v>
      </c>
      <c r="T170" s="25" t="str">
        <f>IF(Raw_Data!R161="","Unknown",IF(ISNUMBER(SEARCH("ACT",UPPER(Raw_Data!R161))),"Active",IF(ISNUMBER(SEARCH("CLOS",UPPER(Raw_Data!R161))),"Closed","None")))</f>
        <v>Active</v>
      </c>
      <c r="U170" s="26">
        <f>IF(Raw_Data!S161="",$C$8,VALUE(Raw_Data!S161))</f>
        <v>494</v>
      </c>
      <c r="V170" s="25" t="str">
        <f>IF(Raw_Data!S161="","Missing-Imputed","Original")</f>
        <v>Original</v>
      </c>
      <c r="W170" s="26">
        <f>Raw_Data!T161</f>
        <v>127</v>
      </c>
      <c r="X170" s="25" t="str">
        <f>IF(ISNUMBER(SEARCH("Y",UPPER(TRIM(Raw_Data!U161)))),"Yes","No")</f>
        <v>Yes</v>
      </c>
      <c r="Y170" s="25" t="str">
        <f>IF(ISNUMBER(SEARCH("Y",UPPER(TRIM(Raw_Data!V161)))),"Yes","No")</f>
        <v>No</v>
      </c>
      <c r="Z170" s="26">
        <f>Raw_Data!W161</f>
        <v>3</v>
      </c>
      <c r="AA170" s="26">
        <f>Raw_Data!X161</f>
        <v>1.4</v>
      </c>
      <c r="AB170" s="25" t="str">
        <f>IF(COUNTIFS(Raw_Data!$A$2:$A$616,Raw_Data!A161)&gt;1,"Duplicate","Unique")</f>
        <v>Unique</v>
      </c>
      <c r="AC170" s="25" t="str">
        <f t="shared" si="8"/>
        <v>Clean</v>
      </c>
    </row>
    <row r="171" spans="1:29" ht="15" customHeight="1">
      <c r="A171" s="23" t="str">
        <f>Raw_Data!A162</f>
        <v>BYJ1161</v>
      </c>
      <c r="B171" s="23" t="str">
        <f>Raw_Data!B162</f>
        <v>Bhavya Rattan</v>
      </c>
      <c r="C171" s="24">
        <f>IF(OR(Raw_Data!C162="",Raw_Data!C162&lt;$C$5,Raw_Data!C162&gt;$C$6),$C$4,Raw_Data!C162)</f>
        <v>14</v>
      </c>
      <c r="D171" s="23" t="str">
        <f>IF(Raw_Data!C162="","Missing-Imputed",IF(OR(Raw_Data!C162&lt;$C$5,Raw_Data!C162&gt;$C$6),"Outlier-Imputed","Original"))</f>
        <v>Original</v>
      </c>
      <c r="E171" s="23" t="str">
        <f>IF(OR(UPPER(TRIM(Raw_Data!D162))="M",UPPER(TRIM(Raw_Data!D162))="MALE"),"Male","Female")</f>
        <v>Male</v>
      </c>
      <c r="F171" s="23" t="str">
        <f>PROPER(TRIM(Raw_Data!E162))</f>
        <v>Malda</v>
      </c>
      <c r="G171" s="23" t="str">
        <f>PROPER(TRIM(Raw_Data!F162))</f>
        <v>Rajasthan</v>
      </c>
      <c r="H171" s="23" t="str">
        <f>PROPER(TRIM(Raw_Data!G162))</f>
        <v>English</v>
      </c>
      <c r="I171" s="23" t="str">
        <f>PROPER(TRIM(Raw_Data!H162))</f>
        <v>Bengaluru South</v>
      </c>
      <c r="J171" s="24">
        <f>IF(LEN(TRIM(Raw_Data!I162))=4,VALUE(TRIM(Raw_Data!I162)),IF(ISNUMBER(IFERROR(VALUE(MID(TRIM(Raw_Data!I162),1,4)),"NA")),VALUE(MID(TRIM(Raw_Data!I162),1,4)),VALUE(RIGHT(TRIM(Raw_Data!I162),4))))</f>
        <v>2016</v>
      </c>
      <c r="K171" s="23" t="str">
        <f>PROPER(TRIM(Raw_Data!J162))</f>
        <v>Retired</v>
      </c>
      <c r="L171" s="23" t="str">
        <f t="shared" si="6"/>
        <v>14-16</v>
      </c>
      <c r="M171" s="23" t="str">
        <f t="shared" si="7"/>
        <v>Teens</v>
      </c>
      <c r="N171" s="23" t="str">
        <f>IF(ISNUMBER(SEARCH("NON",UPPER(Raw_Data!M162))),"Non-Premium Learner","Premium Learner")</f>
        <v>Non-Premium Learner</v>
      </c>
      <c r="O171" s="23" t="str">
        <f>PROPER(TRIM(Raw_Data!N162))</f>
        <v>Both App &amp; Web</v>
      </c>
      <c r="P171" s="24">
        <f>IF(Raw_Data!O162="",$C$7,Raw_Data!O162)</f>
        <v>42111.09</v>
      </c>
      <c r="Q171" s="23" t="str">
        <f>IF(Raw_Data!O162="","Missing-Imputed","Original")</f>
        <v>Original</v>
      </c>
      <c r="R171" s="24">
        <f>Raw_Data!P162</f>
        <v>50.4</v>
      </c>
      <c r="S171" s="24">
        <f>Raw_Data!Q162</f>
        <v>4252.4399999999996</v>
      </c>
      <c r="T171" s="23" t="str">
        <f>IF(Raw_Data!R162="","Unknown",IF(ISNUMBER(SEARCH("ACT",UPPER(Raw_Data!R162))),"Active",IF(ISNUMBER(SEARCH("CLOS",UPPER(Raw_Data!R162))),"Closed","None")))</f>
        <v>Active</v>
      </c>
      <c r="U171" s="24">
        <f>IF(Raw_Data!S162="",$C$8,VALUE(Raw_Data!S162))</f>
        <v>381</v>
      </c>
      <c r="V171" s="23" t="str">
        <f>IF(Raw_Data!S162="","Missing-Imputed","Original")</f>
        <v>Original</v>
      </c>
      <c r="W171" s="24">
        <f>Raw_Data!T162</f>
        <v>163</v>
      </c>
      <c r="X171" s="23" t="str">
        <f>IF(ISNUMBER(SEARCH("Y",UPPER(TRIM(Raw_Data!U162)))),"Yes","No")</f>
        <v>Yes</v>
      </c>
      <c r="Y171" s="23" t="str">
        <f>IF(ISNUMBER(SEARCH("Y",UPPER(TRIM(Raw_Data!V162)))),"Yes","No")</f>
        <v>No</v>
      </c>
      <c r="Z171" s="24">
        <f>Raw_Data!W162</f>
        <v>1</v>
      </c>
      <c r="AA171" s="24">
        <f>Raw_Data!X162</f>
        <v>7.5</v>
      </c>
      <c r="AB171" s="23" t="str">
        <f>IF(COUNTIFS(Raw_Data!$A$2:$A$616,Raw_Data!A162)&gt;1,"Duplicate","Unique")</f>
        <v>Unique</v>
      </c>
      <c r="AC171" s="23" t="str">
        <f t="shared" si="8"/>
        <v>Clean</v>
      </c>
    </row>
    <row r="172" spans="1:29" ht="15" customHeight="1">
      <c r="A172" s="25" t="str">
        <f>Raw_Data!A163</f>
        <v>BYJ1162</v>
      </c>
      <c r="B172" s="25" t="str">
        <f>Raw_Data!B163</f>
        <v>Divya Krishnan</v>
      </c>
      <c r="C172" s="26">
        <f>IF(OR(Raw_Data!C163="",Raw_Data!C163&lt;$C$5,Raw_Data!C163&gt;$C$6),$C$4,Raw_Data!C163)</f>
        <v>24</v>
      </c>
      <c r="D172" s="25" t="str">
        <f>IF(Raw_Data!C163="","Missing-Imputed",IF(OR(Raw_Data!C163&lt;$C$5,Raw_Data!C163&gt;$C$6),"Outlier-Imputed","Original"))</f>
        <v>Outlier-Imputed</v>
      </c>
      <c r="E172" s="25" t="str">
        <f>IF(OR(UPPER(TRIM(Raw_Data!D163))="M",UPPER(TRIM(Raw_Data!D163))="MALE"),"Male","Female")</f>
        <v>Female</v>
      </c>
      <c r="F172" s="25" t="str">
        <f>PROPER(TRIM(Raw_Data!E163))</f>
        <v>Bhiwandi</v>
      </c>
      <c r="G172" s="25" t="str">
        <f>PROPER(TRIM(Raw_Data!F163))</f>
        <v>Uttar Pradesh</v>
      </c>
      <c r="H172" s="25" t="str">
        <f>PROPER(TRIM(Raw_Data!G163))</f>
        <v>Mathematics</v>
      </c>
      <c r="I172" s="25" t="str">
        <f>PROPER(TRIM(Raw_Data!H163))</f>
        <v>Bengaluru South</v>
      </c>
      <c r="J172" s="26">
        <f>IF(LEN(TRIM(Raw_Data!I163))=4,VALUE(TRIM(Raw_Data!I163)),IF(ISNUMBER(IFERROR(VALUE(MID(TRIM(Raw_Data!I163),1,4)),"NA")),VALUE(MID(TRIM(Raw_Data!I163),1,4)),VALUE(RIGHT(TRIM(Raw_Data!I163),4))))</f>
        <v>2019</v>
      </c>
      <c r="K172" s="25" t="str">
        <f>PROPER(TRIM(Raw_Data!J163))</f>
        <v>Business</v>
      </c>
      <c r="L172" s="25" t="str">
        <f t="shared" si="6"/>
        <v>20+</v>
      </c>
      <c r="M172" s="25" t="str">
        <f t="shared" si="7"/>
        <v>Adult Learners</v>
      </c>
      <c r="N172" s="25" t="str">
        <f>IF(ISNUMBER(SEARCH("NON",UPPER(Raw_Data!M163))),"Non-Premium Learner","Premium Learner")</f>
        <v>Non-Premium Learner</v>
      </c>
      <c r="O172" s="25" t="str">
        <f>PROPER(TRIM(Raw_Data!N163))</f>
        <v>Both App &amp; Web</v>
      </c>
      <c r="P172" s="26">
        <f>IF(Raw_Data!O163="",$C$7,Raw_Data!O163)</f>
        <v>142387.98000000001</v>
      </c>
      <c r="Q172" s="25" t="str">
        <f>IF(Raw_Data!O163="","Missing-Imputed","Original")</f>
        <v>Original</v>
      </c>
      <c r="R172" s="26">
        <f>Raw_Data!P163</f>
        <v>46.9</v>
      </c>
      <c r="S172" s="26">
        <f>Raw_Data!Q163</f>
        <v>44766.5</v>
      </c>
      <c r="T172" s="25" t="str">
        <f>IF(Raw_Data!R163="","Unknown",IF(ISNUMBER(SEARCH("ACT",UPPER(Raw_Data!R163))),"Active",IF(ISNUMBER(SEARCH("CLOS",UPPER(Raw_Data!R163))),"Closed","None")))</f>
        <v>Unknown</v>
      </c>
      <c r="U172" s="26">
        <f>IF(Raw_Data!S163="",$C$8,VALUE(Raw_Data!S163))</f>
        <v>666</v>
      </c>
      <c r="V172" s="25" t="str">
        <f>IF(Raw_Data!S163="","Missing-Imputed","Original")</f>
        <v>Original</v>
      </c>
      <c r="W172" s="26">
        <f>Raw_Data!T163</f>
        <v>179</v>
      </c>
      <c r="X172" s="25" t="str">
        <f>IF(ISNUMBER(SEARCH("Y",UPPER(TRIM(Raw_Data!U163)))),"Yes","No")</f>
        <v>No</v>
      </c>
      <c r="Y172" s="25" t="str">
        <f>IF(ISNUMBER(SEARCH("Y",UPPER(TRIM(Raw_Data!V163)))),"Yes","No")</f>
        <v>Yes</v>
      </c>
      <c r="Z172" s="26">
        <f>Raw_Data!W163</f>
        <v>5</v>
      </c>
      <c r="AA172" s="26">
        <f>Raw_Data!X163</f>
        <v>3.9</v>
      </c>
      <c r="AB172" s="25" t="str">
        <f>IF(COUNTIFS(Raw_Data!$A$2:$A$616,Raw_Data!A163)&gt;1,"Duplicate","Unique")</f>
        <v>Unique</v>
      </c>
      <c r="AC172" s="25" t="str">
        <f t="shared" si="8"/>
        <v>Imputed</v>
      </c>
    </row>
    <row r="173" spans="1:29" ht="15" customHeight="1">
      <c r="A173" s="23" t="str">
        <f>Raw_Data!A164</f>
        <v>BYJ1163</v>
      </c>
      <c r="B173" s="23" t="str">
        <f>Raw_Data!B164</f>
        <v>Yoshita Agarwal</v>
      </c>
      <c r="C173" s="24">
        <f>IF(OR(Raw_Data!C164="",Raw_Data!C164&lt;$C$5,Raw_Data!C164&gt;$C$6),$C$4,Raw_Data!C164)</f>
        <v>44</v>
      </c>
      <c r="D173" s="23" t="str">
        <f>IF(Raw_Data!C164="","Missing-Imputed",IF(OR(Raw_Data!C164&lt;$C$5,Raw_Data!C164&gt;$C$6),"Outlier-Imputed","Original"))</f>
        <v>Original</v>
      </c>
      <c r="E173" s="23" t="str">
        <f>IF(OR(UPPER(TRIM(Raw_Data!D164))="M",UPPER(TRIM(Raw_Data!D164))="MALE"),"Male","Female")</f>
        <v>Female</v>
      </c>
      <c r="F173" s="23" t="str">
        <f>PROPER(TRIM(Raw_Data!E164))</f>
        <v>Haridwar</v>
      </c>
      <c r="G173" s="23" t="str">
        <f>PROPER(TRIM(Raw_Data!F164))</f>
        <v>Uttar Pradesh</v>
      </c>
      <c r="H173" s="23" t="str">
        <f>PROPER(TRIM(Raw_Data!G164))</f>
        <v>Neet Prep</v>
      </c>
      <c r="I173" s="23" t="str">
        <f>PROPER(TRIM(Raw_Data!H164))</f>
        <v>Pune East</v>
      </c>
      <c r="J173" s="24">
        <f>IF(LEN(TRIM(Raw_Data!I164))=4,VALUE(TRIM(Raw_Data!I164)),IF(ISNUMBER(IFERROR(VALUE(MID(TRIM(Raw_Data!I164),1,4)),"NA")),VALUE(MID(TRIM(Raw_Data!I164),1,4)),VALUE(RIGHT(TRIM(Raw_Data!I164),4))))</f>
        <v>46036</v>
      </c>
      <c r="K173" s="23" t="str">
        <f>PROPER(TRIM(Raw_Data!J164))</f>
        <v>Government Employee</v>
      </c>
      <c r="L173" s="23" t="str">
        <f t="shared" si="6"/>
        <v>20+</v>
      </c>
      <c r="M173" s="23" t="str">
        <f t="shared" si="7"/>
        <v>Adult Learners</v>
      </c>
      <c r="N173" s="23" t="str">
        <f>IF(ISNUMBER(SEARCH("NON",UPPER(Raw_Data!M164))),"Non-Premium Learner","Premium Learner")</f>
        <v>Premium Learner</v>
      </c>
      <c r="O173" s="23" t="str">
        <f>PROPER(TRIM(Raw_Data!N164))</f>
        <v>Web Only</v>
      </c>
      <c r="P173" s="24">
        <f>IF(Raw_Data!O164="",$C$7,Raw_Data!O164)</f>
        <v>116027.69</v>
      </c>
      <c r="Q173" s="23" t="str">
        <f>IF(Raw_Data!O164="","Missing-Imputed","Original")</f>
        <v>Original</v>
      </c>
      <c r="R173" s="24">
        <f>Raw_Data!P164</f>
        <v>24.1</v>
      </c>
      <c r="S173" s="24">
        <f>Raw_Data!Q164</f>
        <v>57699.11</v>
      </c>
      <c r="T173" s="23" t="str">
        <f>IF(Raw_Data!R164="","Unknown",IF(ISNUMBER(SEARCH("ACT",UPPER(Raw_Data!R164))),"Active",IF(ISNUMBER(SEARCH("CLOS",UPPER(Raw_Data!R164))),"Closed","None")))</f>
        <v>Closed</v>
      </c>
      <c r="U173" s="24">
        <f>IF(Raw_Data!S164="",$C$8,VALUE(Raw_Data!S164))</f>
        <v>300</v>
      </c>
      <c r="V173" s="23" t="str">
        <f>IF(Raw_Data!S164="","Missing-Imputed","Original")</f>
        <v>Original</v>
      </c>
      <c r="W173" s="24">
        <f>Raw_Data!T164</f>
        <v>72</v>
      </c>
      <c r="X173" s="23" t="str">
        <f>IF(ISNUMBER(SEARCH("Y",UPPER(TRIM(Raw_Data!U164)))),"Yes","No")</f>
        <v>Yes</v>
      </c>
      <c r="Y173" s="23" t="str">
        <f>IF(ISNUMBER(SEARCH("Y",UPPER(TRIM(Raw_Data!V164)))),"Yes","No")</f>
        <v>No</v>
      </c>
      <c r="Z173" s="24">
        <f>Raw_Data!W164</f>
        <v>3</v>
      </c>
      <c r="AA173" s="24">
        <f>Raw_Data!X164</f>
        <v>8.9</v>
      </c>
      <c r="AB173" s="23" t="str">
        <f>IF(COUNTIFS(Raw_Data!$A$2:$A$616,Raw_Data!A164)&gt;1,"Duplicate","Unique")</f>
        <v>Unique</v>
      </c>
      <c r="AC173" s="23" t="str">
        <f t="shared" si="8"/>
        <v>Clean</v>
      </c>
    </row>
    <row r="174" spans="1:29" ht="15" customHeight="1">
      <c r="A174" s="25" t="str">
        <f>Raw_Data!A165</f>
        <v>BYJ1164</v>
      </c>
      <c r="B174" s="25" t="str">
        <f>Raw_Data!B165</f>
        <v>Raghav Vasa</v>
      </c>
      <c r="C174" s="26">
        <f>IF(OR(Raw_Data!C165="",Raw_Data!C165&lt;$C$5,Raw_Data!C165&gt;$C$6),$C$4,Raw_Data!C165)</f>
        <v>23</v>
      </c>
      <c r="D174" s="25" t="str">
        <f>IF(Raw_Data!C165="","Missing-Imputed",IF(OR(Raw_Data!C165&lt;$C$5,Raw_Data!C165&gt;$C$6),"Outlier-Imputed","Original"))</f>
        <v>Original</v>
      </c>
      <c r="E174" s="25" t="str">
        <f>IF(OR(UPPER(TRIM(Raw_Data!D165))="M",UPPER(TRIM(Raw_Data!D165))="MALE"),"Male","Female")</f>
        <v>Male</v>
      </c>
      <c r="F174" s="25" t="str">
        <f>PROPER(TRIM(Raw_Data!E165))</f>
        <v>Panchkula</v>
      </c>
      <c r="G174" s="25" t="str">
        <f>PROPER(TRIM(Raw_Data!F165))</f>
        <v>Gujarat</v>
      </c>
      <c r="H174" s="25" t="str">
        <f>PROPER(TRIM(Raw_Data!G165))</f>
        <v>Science</v>
      </c>
      <c r="I174" s="25" t="str">
        <f>PROPER(TRIM(Raw_Data!H165))</f>
        <v>Mumbai West</v>
      </c>
      <c r="J174" s="26">
        <f>IF(LEN(TRIM(Raw_Data!I165))=4,VALUE(TRIM(Raw_Data!I165)),IF(ISNUMBER(IFERROR(VALUE(MID(TRIM(Raw_Data!I165),1,4)),"NA")),VALUE(MID(TRIM(Raw_Data!I165),1,4)),VALUE(RIGHT(TRIM(Raw_Data!I165),4))))</f>
        <v>2020</v>
      </c>
      <c r="K174" s="25" t="str">
        <f>PROPER(TRIM(Raw_Data!J165))</f>
        <v>Business</v>
      </c>
      <c r="L174" s="25" t="str">
        <f t="shared" si="6"/>
        <v>20+</v>
      </c>
      <c r="M174" s="25" t="str">
        <f t="shared" si="7"/>
        <v>Adult Learners</v>
      </c>
      <c r="N174" s="25" t="str">
        <f>IF(ISNUMBER(SEARCH("NON",UPPER(Raw_Data!M165))),"Non-Premium Learner","Premium Learner")</f>
        <v>Premium Learner</v>
      </c>
      <c r="O174" s="25" t="str">
        <f>PROPER(TRIM(Raw_Data!N165))</f>
        <v>Both App &amp; Web</v>
      </c>
      <c r="P174" s="26">
        <f>IF(Raw_Data!O165="",$C$7,Raw_Data!O165)</f>
        <v>62970.75</v>
      </c>
      <c r="Q174" s="25" t="str">
        <f>IF(Raw_Data!O165="","Missing-Imputed","Original")</f>
        <v>Original</v>
      </c>
      <c r="R174" s="26">
        <f>Raw_Data!P165</f>
        <v>60.1</v>
      </c>
      <c r="S174" s="26">
        <f>Raw_Data!Q165</f>
        <v>43414.83</v>
      </c>
      <c r="T174" s="25" t="str">
        <f>IF(Raw_Data!R165="","Unknown",IF(ISNUMBER(SEARCH("ACT",UPPER(Raw_Data!R165))),"Active",IF(ISNUMBER(SEARCH("CLOS",UPPER(Raw_Data!R165))),"Closed","None")))</f>
        <v>Closed</v>
      </c>
      <c r="U174" s="26">
        <f>IF(Raw_Data!S165="",$C$8,VALUE(Raw_Data!S165))</f>
        <v>799</v>
      </c>
      <c r="V174" s="25" t="str">
        <f>IF(Raw_Data!S165="","Missing-Imputed","Original")</f>
        <v>Original</v>
      </c>
      <c r="W174" s="26">
        <f>Raw_Data!T165</f>
        <v>176</v>
      </c>
      <c r="X174" s="25" t="str">
        <f>IF(ISNUMBER(SEARCH("Y",UPPER(TRIM(Raw_Data!U165)))),"Yes","No")</f>
        <v>Yes</v>
      </c>
      <c r="Y174" s="25" t="str">
        <f>IF(ISNUMBER(SEARCH("Y",UPPER(TRIM(Raw_Data!V165)))),"Yes","No")</f>
        <v>Yes</v>
      </c>
      <c r="Z174" s="26">
        <f>Raw_Data!W165</f>
        <v>1</v>
      </c>
      <c r="AA174" s="26">
        <f>Raw_Data!X165</f>
        <v>7.1</v>
      </c>
      <c r="AB174" s="25" t="str">
        <f>IF(COUNTIFS(Raw_Data!$A$2:$A$616,Raw_Data!A165)&gt;1,"Duplicate","Unique")</f>
        <v>Unique</v>
      </c>
      <c r="AC174" s="25" t="str">
        <f t="shared" si="8"/>
        <v>Clean</v>
      </c>
    </row>
    <row r="175" spans="1:29" ht="15" customHeight="1">
      <c r="A175" s="23" t="str">
        <f>Raw_Data!A166</f>
        <v>BYJ1165</v>
      </c>
      <c r="B175" s="23" t="str">
        <f>Raw_Data!B166</f>
        <v>Charan Jani</v>
      </c>
      <c r="C175" s="24">
        <f>IF(OR(Raw_Data!C166="",Raw_Data!C166&lt;$C$5,Raw_Data!C166&gt;$C$6),$C$4,Raw_Data!C166)</f>
        <v>33</v>
      </c>
      <c r="D175" s="23" t="str">
        <f>IF(Raw_Data!C166="","Missing-Imputed",IF(OR(Raw_Data!C166&lt;$C$5,Raw_Data!C166&gt;$C$6),"Outlier-Imputed","Original"))</f>
        <v>Original</v>
      </c>
      <c r="E175" s="23" t="str">
        <f>IF(OR(UPPER(TRIM(Raw_Data!D166))="M",UPPER(TRIM(Raw_Data!D166))="MALE"),"Male","Female")</f>
        <v>Female</v>
      </c>
      <c r="F175" s="23" t="str">
        <f>PROPER(TRIM(Raw_Data!E166))</f>
        <v>Jamalpur</v>
      </c>
      <c r="G175" s="23" t="str">
        <f>PROPER(TRIM(Raw_Data!F166))</f>
        <v>Delhi</v>
      </c>
      <c r="H175" s="23" t="str">
        <f>PROPER(TRIM(Raw_Data!G166))</f>
        <v>Coding</v>
      </c>
      <c r="I175" s="23" t="str">
        <f>PROPER(TRIM(Raw_Data!H166))</f>
        <v>Kolkata Main</v>
      </c>
      <c r="J175" s="24">
        <f>IF(LEN(TRIM(Raw_Data!I166))=4,VALUE(TRIM(Raw_Data!I166)),IF(ISNUMBER(IFERROR(VALUE(MID(TRIM(Raw_Data!I166),1,4)),"NA")),VALUE(MID(TRIM(Raw_Data!I166),1,4)),VALUE(RIGHT(TRIM(Raw_Data!I166),4))))</f>
        <v>2016</v>
      </c>
      <c r="K175" s="23" t="str">
        <f>PROPER(TRIM(Raw_Data!J166))</f>
        <v>Homemaker</v>
      </c>
      <c r="L175" s="23" t="str">
        <f t="shared" si="6"/>
        <v>20+</v>
      </c>
      <c r="M175" s="23" t="str">
        <f t="shared" si="7"/>
        <v>Adult Learners</v>
      </c>
      <c r="N175" s="23" t="str">
        <f>IF(ISNUMBER(SEARCH("NON",UPPER(Raw_Data!M166))),"Non-Premium Learner","Premium Learner")</f>
        <v>Non-Premium Learner</v>
      </c>
      <c r="O175" s="23" t="str">
        <f>PROPER(TRIM(Raw_Data!N166))</f>
        <v>Both App &amp; Web</v>
      </c>
      <c r="P175" s="24">
        <f>IF(Raw_Data!O166="",$C$7,Raw_Data!O166)</f>
        <v>106176.45</v>
      </c>
      <c r="Q175" s="23" t="str">
        <f>IF(Raw_Data!O166="","Missing-Imputed","Original")</f>
        <v>Original</v>
      </c>
      <c r="R175" s="24">
        <f>Raw_Data!P166</f>
        <v>55.5</v>
      </c>
      <c r="S175" s="24">
        <f>Raw_Data!Q166</f>
        <v>59842.04</v>
      </c>
      <c r="T175" s="23" t="str">
        <f>IF(Raw_Data!R166="","Unknown",IF(ISNUMBER(SEARCH("ACT",UPPER(Raw_Data!R166))),"Active",IF(ISNUMBER(SEARCH("CLOS",UPPER(Raw_Data!R166))),"Closed","None")))</f>
        <v>Closed</v>
      </c>
      <c r="U175" s="24">
        <f>IF(Raw_Data!S166="",$C$8,VALUE(Raw_Data!S166))</f>
        <v>889</v>
      </c>
      <c r="V175" s="23" t="str">
        <f>IF(Raw_Data!S166="","Missing-Imputed","Original")</f>
        <v>Original</v>
      </c>
      <c r="W175" s="24">
        <f>Raw_Data!T166</f>
        <v>56</v>
      </c>
      <c r="X175" s="23" t="str">
        <f>IF(ISNUMBER(SEARCH("Y",UPPER(TRIM(Raw_Data!U166)))),"Yes","No")</f>
        <v>No</v>
      </c>
      <c r="Y175" s="23" t="str">
        <f>IF(ISNUMBER(SEARCH("Y",UPPER(TRIM(Raw_Data!V166)))),"Yes","No")</f>
        <v>No</v>
      </c>
      <c r="Z175" s="24">
        <f>Raw_Data!W166</f>
        <v>2</v>
      </c>
      <c r="AA175" s="24">
        <f>Raw_Data!X166</f>
        <v>3.4</v>
      </c>
      <c r="AB175" s="23" t="str">
        <f>IF(COUNTIFS(Raw_Data!$A$2:$A$616,Raw_Data!A166)&gt;1,"Duplicate","Unique")</f>
        <v>Unique</v>
      </c>
      <c r="AC175" s="23" t="str">
        <f t="shared" si="8"/>
        <v>Clean</v>
      </c>
    </row>
    <row r="176" spans="1:29" ht="15" customHeight="1">
      <c r="A176" s="25" t="str">
        <f>Raw_Data!A167</f>
        <v>BYJ1166</v>
      </c>
      <c r="B176" s="25" t="str">
        <f>Raw_Data!B167</f>
        <v>Bhavna Sarma</v>
      </c>
      <c r="C176" s="26">
        <f>IF(OR(Raw_Data!C167="",Raw_Data!C167&lt;$C$5,Raw_Data!C167&gt;$C$6),$C$4,Raw_Data!C167)</f>
        <v>41</v>
      </c>
      <c r="D176" s="25" t="str">
        <f>IF(Raw_Data!C167="","Missing-Imputed",IF(OR(Raw_Data!C167&lt;$C$5,Raw_Data!C167&gt;$C$6),"Outlier-Imputed","Original"))</f>
        <v>Original</v>
      </c>
      <c r="E176" s="25" t="str">
        <f>IF(OR(UPPER(TRIM(Raw_Data!D167))="M",UPPER(TRIM(Raw_Data!D167))="MALE"),"Male","Female")</f>
        <v>Female</v>
      </c>
      <c r="F176" s="25" t="str">
        <f>PROPER(TRIM(Raw_Data!E167))</f>
        <v>Bhilai</v>
      </c>
      <c r="G176" s="25" t="str">
        <f>PROPER(TRIM(Raw_Data!F167))</f>
        <v>Uttar Pradesh</v>
      </c>
      <c r="H176" s="25" t="str">
        <f>PROPER(TRIM(Raw_Data!G167))</f>
        <v>Robotics</v>
      </c>
      <c r="I176" s="25" t="str">
        <f>PROPER(TRIM(Raw_Data!H167))</f>
        <v>Mumbai West</v>
      </c>
      <c r="J176" s="26">
        <f>IF(LEN(TRIM(Raw_Data!I167))=4,VALUE(TRIM(Raw_Data!I167)),IF(ISNUMBER(IFERROR(VALUE(MID(TRIM(Raw_Data!I167),1,4)),"NA")),VALUE(MID(TRIM(Raw_Data!I167),1,4)),VALUE(RIGHT(TRIM(Raw_Data!I167),4))))</f>
        <v>2018</v>
      </c>
      <c r="K176" s="25" t="str">
        <f>PROPER(TRIM(Raw_Data!J167))</f>
        <v>Self-Employed</v>
      </c>
      <c r="L176" s="25" t="str">
        <f t="shared" si="6"/>
        <v>20+</v>
      </c>
      <c r="M176" s="25" t="str">
        <f t="shared" si="7"/>
        <v>Adult Learners</v>
      </c>
      <c r="N176" s="25" t="str">
        <f>IF(ISNUMBER(SEARCH("NON",UPPER(Raw_Data!M167))),"Non-Premium Learner","Premium Learner")</f>
        <v>Non-Premium Learner</v>
      </c>
      <c r="O176" s="25" t="str">
        <f>PROPER(TRIM(Raw_Data!N167))</f>
        <v>Both App &amp; Web</v>
      </c>
      <c r="P176" s="26">
        <f>IF(Raw_Data!O167="",$C$7,Raw_Data!O167)</f>
        <v>94319.54</v>
      </c>
      <c r="Q176" s="25" t="str">
        <f>IF(Raw_Data!O167="","Missing-Imputed","Original")</f>
        <v>Original</v>
      </c>
      <c r="R176" s="26">
        <f>Raw_Data!P167</f>
        <v>23.5</v>
      </c>
      <c r="S176" s="26">
        <f>Raw_Data!Q167</f>
        <v>4298.6400000000003</v>
      </c>
      <c r="T176" s="25" t="str">
        <f>IF(Raw_Data!R167="","Unknown",IF(ISNUMBER(SEARCH("ACT",UPPER(Raw_Data!R167))),"Active",IF(ISNUMBER(SEARCH("CLOS",UPPER(Raw_Data!R167))),"Closed","None")))</f>
        <v>Closed</v>
      </c>
      <c r="U176" s="26">
        <f>IF(Raw_Data!S167="",$C$8,VALUE(Raw_Data!S167))</f>
        <v>889</v>
      </c>
      <c r="V176" s="25" t="str">
        <f>IF(Raw_Data!S167="","Missing-Imputed","Original")</f>
        <v>Original</v>
      </c>
      <c r="W176" s="26">
        <f>Raw_Data!T167</f>
        <v>171</v>
      </c>
      <c r="X176" s="25" t="str">
        <f>IF(ISNUMBER(SEARCH("Y",UPPER(TRIM(Raw_Data!U167)))),"Yes","No")</f>
        <v>No</v>
      </c>
      <c r="Y176" s="25" t="str">
        <f>IF(ISNUMBER(SEARCH("Y",UPPER(TRIM(Raw_Data!V167)))),"Yes","No")</f>
        <v>No</v>
      </c>
      <c r="Z176" s="26">
        <f>Raw_Data!W167</f>
        <v>2</v>
      </c>
      <c r="AA176" s="26">
        <f>Raw_Data!X167</f>
        <v>3.2</v>
      </c>
      <c r="AB176" s="25" t="str">
        <f>IF(COUNTIFS(Raw_Data!$A$2:$A$616,Raw_Data!A167)&gt;1,"Duplicate","Unique")</f>
        <v>Unique</v>
      </c>
      <c r="AC176" s="25" t="str">
        <f t="shared" si="8"/>
        <v>Clean</v>
      </c>
    </row>
    <row r="177" spans="1:29" ht="15" customHeight="1">
      <c r="A177" s="23" t="str">
        <f>Raw_Data!A168</f>
        <v>BYJ1167</v>
      </c>
      <c r="B177" s="23" t="str">
        <f>Raw_Data!B168</f>
        <v>Wriddhish Dutt</v>
      </c>
      <c r="C177" s="24">
        <f>IF(OR(Raw_Data!C168="",Raw_Data!C168&lt;$C$5,Raw_Data!C168&gt;$C$6),$C$4,Raw_Data!C168)</f>
        <v>24</v>
      </c>
      <c r="D177" s="23" t="str">
        <f>IF(Raw_Data!C168="","Missing-Imputed",IF(OR(Raw_Data!C168&lt;$C$5,Raw_Data!C168&gt;$C$6),"Outlier-Imputed","Original"))</f>
        <v>Missing-Imputed</v>
      </c>
      <c r="E177" s="23" t="str">
        <f>IF(OR(UPPER(TRIM(Raw_Data!D168))="M",UPPER(TRIM(Raw_Data!D168))="MALE"),"Male","Female")</f>
        <v>Female</v>
      </c>
      <c r="F177" s="23" t="str">
        <f>PROPER(TRIM(Raw_Data!E168))</f>
        <v>Suryapet</v>
      </c>
      <c r="G177" s="23" t="str">
        <f>PROPER(TRIM(Raw_Data!F168))</f>
        <v>Kerala</v>
      </c>
      <c r="H177" s="23" t="str">
        <f>PROPER(TRIM(Raw_Data!G168))</f>
        <v>Spoken English</v>
      </c>
      <c r="I177" s="23" t="str">
        <f>PROPER(TRIM(Raw_Data!H168))</f>
        <v>Lucknow Hub</v>
      </c>
      <c r="J177" s="24">
        <f>IF(LEN(TRIM(Raw_Data!I168))=4,VALUE(TRIM(Raw_Data!I168)),IF(ISNUMBER(IFERROR(VALUE(MID(TRIM(Raw_Data!I168),1,4)),"NA")),VALUE(MID(TRIM(Raw_Data!I168),1,4)),VALUE(RIGHT(TRIM(Raw_Data!I168),4))))</f>
        <v>2018</v>
      </c>
      <c r="K177" s="23" t="str">
        <f>PROPER(TRIM(Raw_Data!J168))</f>
        <v>Business</v>
      </c>
      <c r="L177" s="23" t="str">
        <f t="shared" si="6"/>
        <v>20+</v>
      </c>
      <c r="M177" s="23" t="str">
        <f t="shared" si="7"/>
        <v>Adult Learners</v>
      </c>
      <c r="N177" s="23" t="str">
        <f>IF(ISNUMBER(SEARCH("NON",UPPER(Raw_Data!M168))),"Non-Premium Learner","Premium Learner")</f>
        <v>Non-Premium Learner</v>
      </c>
      <c r="O177" s="23" t="str">
        <f>PROPER(TRIM(Raw_Data!N168))</f>
        <v>Both App &amp; Web</v>
      </c>
      <c r="P177" s="24">
        <f>IF(Raw_Data!O168="",$C$7,Raw_Data!O168)</f>
        <v>128650.8</v>
      </c>
      <c r="Q177" s="23" t="str">
        <f>IF(Raw_Data!O168="","Missing-Imputed","Original")</f>
        <v>Original</v>
      </c>
      <c r="R177" s="24">
        <f>Raw_Data!P168</f>
        <v>9.1</v>
      </c>
      <c r="S177" s="24">
        <f>Raw_Data!Q168</f>
        <v>56936.45</v>
      </c>
      <c r="T177" s="23" t="str">
        <f>IF(Raw_Data!R168="","Unknown",IF(ISNUMBER(SEARCH("ACT",UPPER(Raw_Data!R168))),"Active",IF(ISNUMBER(SEARCH("CLOS",UPPER(Raw_Data!R168))),"Closed","None")))</f>
        <v>Active</v>
      </c>
      <c r="U177" s="24">
        <f>IF(Raw_Data!S168="",$C$8,VALUE(Raw_Data!S168))</f>
        <v>314</v>
      </c>
      <c r="V177" s="23" t="str">
        <f>IF(Raw_Data!S168="","Missing-Imputed","Original")</f>
        <v>Original</v>
      </c>
      <c r="W177" s="24">
        <f>Raw_Data!T168</f>
        <v>28</v>
      </c>
      <c r="X177" s="23" t="str">
        <f>IF(ISNUMBER(SEARCH("Y",UPPER(TRIM(Raw_Data!U168)))),"Yes","No")</f>
        <v>No</v>
      </c>
      <c r="Y177" s="23" t="str">
        <f>IF(ISNUMBER(SEARCH("Y",UPPER(TRIM(Raw_Data!V168)))),"Yes","No")</f>
        <v>No</v>
      </c>
      <c r="Z177" s="24">
        <f>Raw_Data!W168</f>
        <v>3</v>
      </c>
      <c r="AA177" s="24">
        <f>Raw_Data!X168</f>
        <v>2.2999999999999998</v>
      </c>
      <c r="AB177" s="23" t="str">
        <f>IF(COUNTIFS(Raw_Data!$A$2:$A$616,Raw_Data!A168)&gt;1,"Duplicate","Unique")</f>
        <v>Unique</v>
      </c>
      <c r="AC177" s="23" t="str">
        <f t="shared" si="8"/>
        <v>Imputed</v>
      </c>
    </row>
    <row r="178" spans="1:29" ht="15" customHeight="1">
      <c r="A178" s="25" t="str">
        <f>Raw_Data!A169</f>
        <v>BYJ1168</v>
      </c>
      <c r="B178" s="25" t="str">
        <f>Raw_Data!B169</f>
        <v>Nikita Chander</v>
      </c>
      <c r="C178" s="26">
        <f>IF(OR(Raw_Data!C169="",Raw_Data!C169&lt;$C$5,Raw_Data!C169&gt;$C$6),$C$4,Raw_Data!C169)</f>
        <v>39</v>
      </c>
      <c r="D178" s="25" t="str">
        <f>IF(Raw_Data!C169="","Missing-Imputed",IF(OR(Raw_Data!C169&lt;$C$5,Raw_Data!C169&gt;$C$6),"Outlier-Imputed","Original"))</f>
        <v>Original</v>
      </c>
      <c r="E178" s="25" t="str">
        <f>IF(OR(UPPER(TRIM(Raw_Data!D169))="M",UPPER(TRIM(Raw_Data!D169))="MALE"),"Male","Female")</f>
        <v>Female</v>
      </c>
      <c r="F178" s="25" t="str">
        <f>PROPER(TRIM(Raw_Data!E169))</f>
        <v>Raipur</v>
      </c>
      <c r="G178" s="25" t="str">
        <f>PROPER(TRIM(Raw_Data!F169))</f>
        <v>Maharashtra</v>
      </c>
      <c r="H178" s="25" t="str">
        <f>PROPER(TRIM(Raw_Data!G169))</f>
        <v>Coding</v>
      </c>
      <c r="I178" s="25" t="str">
        <f>PROPER(TRIM(Raw_Data!H169))</f>
        <v>Kolkata Main</v>
      </c>
      <c r="J178" s="26">
        <f>IF(LEN(TRIM(Raw_Data!I169))=4,VALUE(TRIM(Raw_Data!I169)),IF(ISNUMBER(IFERROR(VALUE(MID(TRIM(Raw_Data!I169),1,4)),"NA")),VALUE(MID(TRIM(Raw_Data!I169),1,4)),VALUE(RIGHT(TRIM(Raw_Data!I169),4))))</f>
        <v>2025</v>
      </c>
      <c r="K178" s="25" t="str">
        <f>PROPER(TRIM(Raw_Data!J169))</f>
        <v>Homemaker</v>
      </c>
      <c r="L178" s="25" t="str">
        <f t="shared" si="6"/>
        <v>20+</v>
      </c>
      <c r="M178" s="25" t="str">
        <f t="shared" si="7"/>
        <v>Adult Learners</v>
      </c>
      <c r="N178" s="25" t="str">
        <f>IF(ISNUMBER(SEARCH("NON",UPPER(Raw_Data!M169))),"Non-Premium Learner","Premium Learner")</f>
        <v>Premium Learner</v>
      </c>
      <c r="O178" s="25" t="str">
        <f>PROPER(TRIM(Raw_Data!N169))</f>
        <v>Both App &amp; Web</v>
      </c>
      <c r="P178" s="26">
        <f>IF(Raw_Data!O169="",$C$7,Raw_Data!O169)</f>
        <v>94604.89</v>
      </c>
      <c r="Q178" s="25" t="str">
        <f>IF(Raw_Data!O169="","Missing-Imputed","Original")</f>
        <v>Original</v>
      </c>
      <c r="R178" s="26">
        <f>Raw_Data!P169</f>
        <v>54.1</v>
      </c>
      <c r="S178" s="26">
        <f>Raw_Data!Q169</f>
        <v>500.05</v>
      </c>
      <c r="T178" s="25" t="str">
        <f>IF(Raw_Data!R169="","Unknown",IF(ISNUMBER(SEARCH("ACT",UPPER(Raw_Data!R169))),"Active",IF(ISNUMBER(SEARCH("CLOS",UPPER(Raw_Data!R169))),"Closed","None")))</f>
        <v>Closed</v>
      </c>
      <c r="U178" s="26">
        <f>IF(Raw_Data!S169="",$C$8,VALUE(Raw_Data!S169))</f>
        <v>577</v>
      </c>
      <c r="V178" s="25" t="str">
        <f>IF(Raw_Data!S169="","Missing-Imputed","Original")</f>
        <v>Original</v>
      </c>
      <c r="W178" s="26">
        <f>Raw_Data!T169</f>
        <v>168</v>
      </c>
      <c r="X178" s="25" t="str">
        <f>IF(ISNUMBER(SEARCH("Y",UPPER(TRIM(Raw_Data!U169)))),"Yes","No")</f>
        <v>No</v>
      </c>
      <c r="Y178" s="25" t="str">
        <f>IF(ISNUMBER(SEARCH("Y",UPPER(TRIM(Raw_Data!V169)))),"Yes","No")</f>
        <v>Yes</v>
      </c>
      <c r="Z178" s="26">
        <f>Raw_Data!W169</f>
        <v>4</v>
      </c>
      <c r="AA178" s="26">
        <f>Raw_Data!X169</f>
        <v>2.5</v>
      </c>
      <c r="AB178" s="25" t="str">
        <f>IF(COUNTIFS(Raw_Data!$A$2:$A$616,Raw_Data!A169)&gt;1,"Duplicate","Unique")</f>
        <v>Unique</v>
      </c>
      <c r="AC178" s="25" t="str">
        <f t="shared" si="8"/>
        <v>Clean</v>
      </c>
    </row>
    <row r="179" spans="1:29" ht="15" customHeight="1">
      <c r="A179" s="23" t="str">
        <f>Raw_Data!A170</f>
        <v>BYJ1169</v>
      </c>
      <c r="B179" s="23" t="str">
        <f>Raw_Data!B170</f>
        <v>Jacob Dube</v>
      </c>
      <c r="C179" s="24">
        <f>IF(OR(Raw_Data!C170="",Raw_Data!C170&lt;$C$5,Raw_Data!C170&gt;$C$6),$C$4,Raw_Data!C170)</f>
        <v>12</v>
      </c>
      <c r="D179" s="23" t="str">
        <f>IF(Raw_Data!C170="","Missing-Imputed",IF(OR(Raw_Data!C170&lt;$C$5,Raw_Data!C170&gt;$C$6),"Outlier-Imputed","Original"))</f>
        <v>Original</v>
      </c>
      <c r="E179" s="23" t="str">
        <f>IF(OR(UPPER(TRIM(Raw_Data!D170))="M",UPPER(TRIM(Raw_Data!D170))="MALE"),"Male","Female")</f>
        <v>Female</v>
      </c>
      <c r="F179" s="23" t="str">
        <f>PROPER(TRIM(Raw_Data!E170))</f>
        <v>Jalna</v>
      </c>
      <c r="G179" s="23" t="str">
        <f>PROPER(TRIM(Raw_Data!F170))</f>
        <v>Uttar Pradesh</v>
      </c>
      <c r="H179" s="23" t="str">
        <f>PROPER(TRIM(Raw_Data!G170))</f>
        <v>Mathematics</v>
      </c>
      <c r="I179" s="23" t="str">
        <f>PROPER(TRIM(Raw_Data!H170))</f>
        <v>Mumbai West</v>
      </c>
      <c r="J179" s="24">
        <f>IF(LEN(TRIM(Raw_Data!I170))=4,VALUE(TRIM(Raw_Data!I170)),IF(ISNUMBER(IFERROR(VALUE(MID(TRIM(Raw_Data!I170),1,4)),"NA")),VALUE(MID(TRIM(Raw_Data!I170),1,4)),VALUE(RIGHT(TRIM(Raw_Data!I170),4))))</f>
        <v>2019</v>
      </c>
      <c r="K179" s="23" t="str">
        <f>PROPER(TRIM(Raw_Data!J170))</f>
        <v>Salaried</v>
      </c>
      <c r="L179" s="23" t="str">
        <f t="shared" si="6"/>
        <v>10-13</v>
      </c>
      <c r="M179" s="23" t="str">
        <f t="shared" si="7"/>
        <v>Kids</v>
      </c>
      <c r="N179" s="23" t="str">
        <f>IF(ISNUMBER(SEARCH("NON",UPPER(Raw_Data!M170))),"Non-Premium Learner","Premium Learner")</f>
        <v>Premium Learner</v>
      </c>
      <c r="O179" s="23" t="str">
        <f>PROPER(TRIM(Raw_Data!N170))</f>
        <v>Web Only</v>
      </c>
      <c r="P179" s="24">
        <f>IF(Raw_Data!O170="",$C$7,Raw_Data!O170)</f>
        <v>76040.259999999995</v>
      </c>
      <c r="Q179" s="23" t="str">
        <f>IF(Raw_Data!O170="","Missing-Imputed","Original")</f>
        <v>Original</v>
      </c>
      <c r="R179" s="24">
        <f>Raw_Data!P170</f>
        <v>6.4</v>
      </c>
      <c r="S179" s="24">
        <f>Raw_Data!Q170</f>
        <v>41058.68</v>
      </c>
      <c r="T179" s="23" t="str">
        <f>IF(Raw_Data!R170="","Unknown",IF(ISNUMBER(SEARCH("ACT",UPPER(Raw_Data!R170))),"Active",IF(ISNUMBER(SEARCH("CLOS",UPPER(Raw_Data!R170))),"Closed","None")))</f>
        <v>Closed</v>
      </c>
      <c r="U179" s="24">
        <f>IF(Raw_Data!S170="",$C$8,VALUE(Raw_Data!S170))</f>
        <v>609</v>
      </c>
      <c r="V179" s="23" t="str">
        <f>IF(Raw_Data!S170="","Missing-Imputed","Original")</f>
        <v>Original</v>
      </c>
      <c r="W179" s="24">
        <f>Raw_Data!T170</f>
        <v>128</v>
      </c>
      <c r="X179" s="23" t="str">
        <f>IF(ISNUMBER(SEARCH("Y",UPPER(TRIM(Raw_Data!U170)))),"Yes","No")</f>
        <v>No</v>
      </c>
      <c r="Y179" s="23" t="str">
        <f>IF(ISNUMBER(SEARCH("Y",UPPER(TRIM(Raw_Data!V170)))),"Yes","No")</f>
        <v>No</v>
      </c>
      <c r="Z179" s="24">
        <f>Raw_Data!W170</f>
        <v>1</v>
      </c>
      <c r="AA179" s="24">
        <f>Raw_Data!X170</f>
        <v>8.5</v>
      </c>
      <c r="AB179" s="23" t="str">
        <f>IF(COUNTIFS(Raw_Data!$A$2:$A$616,Raw_Data!A170)&gt;1,"Duplicate","Unique")</f>
        <v>Unique</v>
      </c>
      <c r="AC179" s="23" t="str">
        <f t="shared" si="8"/>
        <v>Clean</v>
      </c>
    </row>
    <row r="180" spans="1:29" ht="15" customHeight="1">
      <c r="A180" s="25" t="str">
        <f>Raw_Data!A171</f>
        <v>BYJ1170</v>
      </c>
      <c r="B180" s="25" t="str">
        <f>Raw_Data!B171</f>
        <v>Ojasvi Subramanian</v>
      </c>
      <c r="C180" s="26">
        <f>IF(OR(Raw_Data!C171="",Raw_Data!C171&lt;$C$5,Raw_Data!C171&gt;$C$6),$C$4,Raw_Data!C171)</f>
        <v>27</v>
      </c>
      <c r="D180" s="25" t="str">
        <f>IF(Raw_Data!C171="","Missing-Imputed",IF(OR(Raw_Data!C171&lt;$C$5,Raw_Data!C171&gt;$C$6),"Outlier-Imputed","Original"))</f>
        <v>Original</v>
      </c>
      <c r="E180" s="25" t="str">
        <f>IF(OR(UPPER(TRIM(Raw_Data!D171))="M",UPPER(TRIM(Raw_Data!D171))="MALE"),"Male","Female")</f>
        <v>Female</v>
      </c>
      <c r="F180" s="25" t="str">
        <f>PROPER(TRIM(Raw_Data!E171))</f>
        <v>Latur</v>
      </c>
      <c r="G180" s="25" t="str">
        <f>PROPER(TRIM(Raw_Data!F171))</f>
        <v>West Bengal</v>
      </c>
      <c r="H180" s="25" t="str">
        <f>PROPER(TRIM(Raw_Data!G171))</f>
        <v>English</v>
      </c>
      <c r="I180" s="25" t="str">
        <f>PROPER(TRIM(Raw_Data!H171))</f>
        <v>Kolkata Main</v>
      </c>
      <c r="J180" s="26">
        <f>IF(LEN(TRIM(Raw_Data!I171))=4,VALUE(TRIM(Raw_Data!I171)),IF(ISNUMBER(IFERROR(VALUE(MID(TRIM(Raw_Data!I171),1,4)),"NA")),VALUE(MID(TRIM(Raw_Data!I171),1,4)),VALUE(RIGHT(TRIM(Raw_Data!I171),4))))</f>
        <v>2019</v>
      </c>
      <c r="K180" s="25" t="str">
        <f>PROPER(TRIM(Raw_Data!J171))</f>
        <v>Homemaker</v>
      </c>
      <c r="L180" s="25" t="str">
        <f t="shared" si="6"/>
        <v>20+</v>
      </c>
      <c r="M180" s="25" t="str">
        <f t="shared" si="7"/>
        <v>Adult Learners</v>
      </c>
      <c r="N180" s="25" t="str">
        <f>IF(ISNUMBER(SEARCH("NON",UPPER(Raw_Data!M171))),"Non-Premium Learner","Premium Learner")</f>
        <v>Non-Premium Learner</v>
      </c>
      <c r="O180" s="25" t="str">
        <f>PROPER(TRIM(Raw_Data!N171))</f>
        <v>Both App &amp; Web</v>
      </c>
      <c r="P180" s="26">
        <f>IF(Raw_Data!O171="",$C$7,Raw_Data!O171)</f>
        <v>24106.959999999999</v>
      </c>
      <c r="Q180" s="25" t="str">
        <f>IF(Raw_Data!O171="","Missing-Imputed","Original")</f>
        <v>Original</v>
      </c>
      <c r="R180" s="26">
        <f>Raw_Data!P171</f>
        <v>48.6</v>
      </c>
      <c r="S180" s="26">
        <f>Raw_Data!Q171</f>
        <v>41042.92</v>
      </c>
      <c r="T180" s="25" t="str">
        <f>IF(Raw_Data!R171="","Unknown",IF(ISNUMBER(SEARCH("ACT",UPPER(Raw_Data!R171))),"Active",IF(ISNUMBER(SEARCH("CLOS",UPPER(Raw_Data!R171))),"Closed","None")))</f>
        <v>Active</v>
      </c>
      <c r="U180" s="26">
        <f>IF(Raw_Data!S171="",$C$8,VALUE(Raw_Data!S171))</f>
        <v>616</v>
      </c>
      <c r="V180" s="25" t="str">
        <f>IF(Raw_Data!S171="","Missing-Imputed","Original")</f>
        <v>Original</v>
      </c>
      <c r="W180" s="26">
        <f>Raw_Data!T171</f>
        <v>134</v>
      </c>
      <c r="X180" s="25" t="str">
        <f>IF(ISNUMBER(SEARCH("Y",UPPER(TRIM(Raw_Data!U171)))),"Yes","No")</f>
        <v>Yes</v>
      </c>
      <c r="Y180" s="25" t="str">
        <f>IF(ISNUMBER(SEARCH("Y",UPPER(TRIM(Raw_Data!V171)))),"Yes","No")</f>
        <v>Yes</v>
      </c>
      <c r="Z180" s="26">
        <f>Raw_Data!W171</f>
        <v>3</v>
      </c>
      <c r="AA180" s="26">
        <f>Raw_Data!X171</f>
        <v>1.1000000000000001</v>
      </c>
      <c r="AB180" s="25" t="str">
        <f>IF(COUNTIFS(Raw_Data!$A$2:$A$616,Raw_Data!A171)&gt;1,"Duplicate","Unique")</f>
        <v>Unique</v>
      </c>
      <c r="AC180" s="25" t="str">
        <f t="shared" si="8"/>
        <v>Clean</v>
      </c>
    </row>
    <row r="181" spans="1:29" ht="15" customHeight="1">
      <c r="A181" s="23" t="str">
        <f>Raw_Data!A172</f>
        <v>BYJ1171</v>
      </c>
      <c r="B181" s="23" t="str">
        <f>Raw_Data!B172</f>
        <v>Maanav Rajagopal</v>
      </c>
      <c r="C181" s="24">
        <f>IF(OR(Raw_Data!C172="",Raw_Data!C172&lt;$C$5,Raw_Data!C172&gt;$C$6),$C$4,Raw_Data!C172)</f>
        <v>17</v>
      </c>
      <c r="D181" s="23" t="str">
        <f>IF(Raw_Data!C172="","Missing-Imputed",IF(OR(Raw_Data!C172&lt;$C$5,Raw_Data!C172&gt;$C$6),"Outlier-Imputed","Original"))</f>
        <v>Original</v>
      </c>
      <c r="E181" s="23" t="str">
        <f>IF(OR(UPPER(TRIM(Raw_Data!D172))="M",UPPER(TRIM(Raw_Data!D172))="MALE"),"Male","Female")</f>
        <v>Female</v>
      </c>
      <c r="F181" s="23" t="str">
        <f>PROPER(TRIM(Raw_Data!E172))</f>
        <v>Khora</v>
      </c>
      <c r="G181" s="23" t="str">
        <f>PROPER(TRIM(Raw_Data!F172))</f>
        <v>Gujarat</v>
      </c>
      <c r="H181" s="23" t="str">
        <f>PROPER(TRIM(Raw_Data!G172))</f>
        <v>Robotics</v>
      </c>
      <c r="I181" s="23" t="str">
        <f>PROPER(TRIM(Raw_Data!H172))</f>
        <v>Kolkata Main</v>
      </c>
      <c r="J181" s="24">
        <f>IF(LEN(TRIM(Raw_Data!I172))=4,VALUE(TRIM(Raw_Data!I172)),IF(ISNUMBER(IFERROR(VALUE(MID(TRIM(Raw_Data!I172),1,4)),"NA")),VALUE(MID(TRIM(Raw_Data!I172),1,4)),VALUE(RIGHT(TRIM(Raw_Data!I172),4))))</f>
        <v>2020</v>
      </c>
      <c r="K181" s="23" t="str">
        <f>PROPER(TRIM(Raw_Data!J172))</f>
        <v>Business</v>
      </c>
      <c r="L181" s="23" t="str">
        <f t="shared" si="6"/>
        <v>17-19</v>
      </c>
      <c r="M181" s="23" t="str">
        <f t="shared" si="7"/>
        <v>Teens</v>
      </c>
      <c r="N181" s="23" t="str">
        <f>IF(ISNUMBER(SEARCH("NON",UPPER(Raw_Data!M172))),"Non-Premium Learner","Premium Learner")</f>
        <v>Non-Premium Learner</v>
      </c>
      <c r="O181" s="23" t="str">
        <f>PROPER(TRIM(Raw_Data!N172))</f>
        <v>App Only</v>
      </c>
      <c r="P181" s="24">
        <f>IF(Raw_Data!O172="",$C$7,Raw_Data!O172)</f>
        <v>8798.74</v>
      </c>
      <c r="Q181" s="23" t="str">
        <f>IF(Raw_Data!O172="","Missing-Imputed","Original")</f>
        <v>Original</v>
      </c>
      <c r="R181" s="24">
        <f>Raw_Data!P172</f>
        <v>51.3</v>
      </c>
      <c r="S181" s="24">
        <f>Raw_Data!Q172</f>
        <v>36336.269999999997</v>
      </c>
      <c r="T181" s="23" t="str">
        <f>IF(Raw_Data!R172="","Unknown",IF(ISNUMBER(SEARCH("ACT",UPPER(Raw_Data!R172))),"Active",IF(ISNUMBER(SEARCH("CLOS",UPPER(Raw_Data!R172))),"Closed","None")))</f>
        <v>None</v>
      </c>
      <c r="U181" s="24">
        <f>IF(Raw_Data!S172="",$C$8,VALUE(Raw_Data!S172))</f>
        <v>537</v>
      </c>
      <c r="V181" s="23" t="str">
        <f>IF(Raw_Data!S172="","Missing-Imputed","Original")</f>
        <v>Original</v>
      </c>
      <c r="W181" s="24">
        <f>Raw_Data!T172</f>
        <v>6</v>
      </c>
      <c r="X181" s="23" t="str">
        <f>IF(ISNUMBER(SEARCH("Y",UPPER(TRIM(Raw_Data!U172)))),"Yes","No")</f>
        <v>No</v>
      </c>
      <c r="Y181" s="23" t="str">
        <f>IF(ISNUMBER(SEARCH("Y",UPPER(TRIM(Raw_Data!V172)))),"Yes","No")</f>
        <v>No</v>
      </c>
      <c r="Z181" s="24">
        <f>Raw_Data!W172</f>
        <v>5</v>
      </c>
      <c r="AA181" s="24">
        <f>Raw_Data!X172</f>
        <v>7.7</v>
      </c>
      <c r="AB181" s="23" t="str">
        <f>IF(COUNTIFS(Raw_Data!$A$2:$A$616,Raw_Data!A172)&gt;1,"Duplicate","Unique")</f>
        <v>Unique</v>
      </c>
      <c r="AC181" s="23" t="str">
        <f t="shared" si="8"/>
        <v>Clean</v>
      </c>
    </row>
    <row r="182" spans="1:29" ht="15" customHeight="1">
      <c r="A182" s="25" t="str">
        <f>Raw_Data!A173</f>
        <v>BYJ1172</v>
      </c>
      <c r="B182" s="25" t="str">
        <f>Raw_Data!B173</f>
        <v>Ekaraj Majumdar</v>
      </c>
      <c r="C182" s="26">
        <f>IF(OR(Raw_Data!C173="",Raw_Data!C173&lt;$C$5,Raw_Data!C173&gt;$C$6),$C$4,Raw_Data!C173)</f>
        <v>17</v>
      </c>
      <c r="D182" s="25" t="str">
        <f>IF(Raw_Data!C173="","Missing-Imputed",IF(OR(Raw_Data!C173&lt;$C$5,Raw_Data!C173&gt;$C$6),"Outlier-Imputed","Original"))</f>
        <v>Original</v>
      </c>
      <c r="E182" s="25" t="str">
        <f>IF(OR(UPPER(TRIM(Raw_Data!D173))="M",UPPER(TRIM(Raw_Data!D173))="MALE"),"Male","Female")</f>
        <v>Female</v>
      </c>
      <c r="F182" s="25" t="str">
        <f>PROPER(TRIM(Raw_Data!E173))</f>
        <v>Mau</v>
      </c>
      <c r="G182" s="25" t="str">
        <f>PROPER(TRIM(Raw_Data!F173))</f>
        <v>Maharashtra</v>
      </c>
      <c r="H182" s="25" t="str">
        <f>PROPER(TRIM(Raw_Data!G173))</f>
        <v>English</v>
      </c>
      <c r="I182" s="25" t="str">
        <f>PROPER(TRIM(Raw_Data!H173))</f>
        <v>Delhi North</v>
      </c>
      <c r="J182" s="26">
        <f>IF(LEN(TRIM(Raw_Data!I173))=4,VALUE(TRIM(Raw_Data!I173)),IF(ISNUMBER(IFERROR(VALUE(MID(TRIM(Raw_Data!I173),1,4)),"NA")),VALUE(MID(TRIM(Raw_Data!I173),1,4)),VALUE(RIGHT(TRIM(Raw_Data!I173),4))))</f>
        <v>2016</v>
      </c>
      <c r="K182" s="25" t="str">
        <f>PROPER(TRIM(Raw_Data!J173))</f>
        <v>Homemaker</v>
      </c>
      <c r="L182" s="25" t="str">
        <f t="shared" si="6"/>
        <v>17-19</v>
      </c>
      <c r="M182" s="25" t="str">
        <f t="shared" si="7"/>
        <v>Teens</v>
      </c>
      <c r="N182" s="25" t="str">
        <f>IF(ISNUMBER(SEARCH("NON",UPPER(Raw_Data!M173))),"Non-Premium Learner","Premium Learner")</f>
        <v>Non-Premium Learner</v>
      </c>
      <c r="O182" s="25" t="str">
        <f>PROPER(TRIM(Raw_Data!N173))</f>
        <v>Both App &amp; Web</v>
      </c>
      <c r="P182" s="26">
        <f>IF(Raw_Data!O173="",$C$7,Raw_Data!O173)</f>
        <v>148295.29999999999</v>
      </c>
      <c r="Q182" s="25" t="str">
        <f>IF(Raw_Data!O173="","Missing-Imputed","Original")</f>
        <v>Original</v>
      </c>
      <c r="R182" s="26">
        <f>Raw_Data!P173</f>
        <v>10</v>
      </c>
      <c r="S182" s="26">
        <f>Raw_Data!Q173</f>
        <v>55626.19</v>
      </c>
      <c r="T182" s="25" t="str">
        <f>IF(Raw_Data!R173="","Unknown",IF(ISNUMBER(SEARCH("ACT",UPPER(Raw_Data!R173))),"Active",IF(ISNUMBER(SEARCH("CLOS",UPPER(Raw_Data!R173))),"Closed","None")))</f>
        <v>Closed</v>
      </c>
      <c r="U182" s="26">
        <f>IF(Raw_Data!S173="",$C$8,VALUE(Raw_Data!S173))</f>
        <v>801</v>
      </c>
      <c r="V182" s="25" t="str">
        <f>IF(Raw_Data!S173="","Missing-Imputed","Original")</f>
        <v>Original</v>
      </c>
      <c r="W182" s="26">
        <f>Raw_Data!T173</f>
        <v>117</v>
      </c>
      <c r="X182" s="25" t="str">
        <f>IF(ISNUMBER(SEARCH("Y",UPPER(TRIM(Raw_Data!U173)))),"Yes","No")</f>
        <v>Yes</v>
      </c>
      <c r="Y182" s="25" t="str">
        <f>IF(ISNUMBER(SEARCH("Y",UPPER(TRIM(Raw_Data!V173)))),"Yes","No")</f>
        <v>No</v>
      </c>
      <c r="Z182" s="26">
        <f>Raw_Data!W173</f>
        <v>5</v>
      </c>
      <c r="AA182" s="26">
        <f>Raw_Data!X173</f>
        <v>6.8</v>
      </c>
      <c r="AB182" s="25" t="str">
        <f>IF(COUNTIFS(Raw_Data!$A$2:$A$616,Raw_Data!A173)&gt;1,"Duplicate","Unique")</f>
        <v>Unique</v>
      </c>
      <c r="AC182" s="25" t="str">
        <f t="shared" si="8"/>
        <v>Clean</v>
      </c>
    </row>
    <row r="183" spans="1:29" ht="15" customHeight="1">
      <c r="A183" s="23" t="str">
        <f>Raw_Data!A174</f>
        <v>BYJ1173</v>
      </c>
      <c r="B183" s="23" t="str">
        <f>Raw_Data!B174</f>
        <v>Aarnav Mandal</v>
      </c>
      <c r="C183" s="24">
        <f>IF(OR(Raw_Data!C174="",Raw_Data!C174&lt;$C$5,Raw_Data!C174&gt;$C$6),$C$4,Raw_Data!C174)</f>
        <v>45</v>
      </c>
      <c r="D183" s="23" t="str">
        <f>IF(Raw_Data!C174="","Missing-Imputed",IF(OR(Raw_Data!C174&lt;$C$5,Raw_Data!C174&gt;$C$6),"Outlier-Imputed","Original"))</f>
        <v>Original</v>
      </c>
      <c r="E183" s="23" t="str">
        <f>IF(OR(UPPER(TRIM(Raw_Data!D174))="M",UPPER(TRIM(Raw_Data!D174))="MALE"),"Male","Female")</f>
        <v>Male</v>
      </c>
      <c r="F183" s="23" t="str">
        <f>PROPER(TRIM(Raw_Data!E174))</f>
        <v>Dharmavaram</v>
      </c>
      <c r="G183" s="23" t="str">
        <f>PROPER(TRIM(Raw_Data!F174))</f>
        <v>Rajasthan</v>
      </c>
      <c r="H183" s="23" t="str">
        <f>PROPER(TRIM(Raw_Data!G174))</f>
        <v>Coding</v>
      </c>
      <c r="I183" s="23" t="str">
        <f>PROPER(TRIM(Raw_Data!H174))</f>
        <v>Delhi North</v>
      </c>
      <c r="J183" s="24">
        <f>IF(LEN(TRIM(Raw_Data!I174))=4,VALUE(TRIM(Raw_Data!I174)),IF(ISNUMBER(IFERROR(VALUE(MID(TRIM(Raw_Data!I174),1,4)),"NA")),VALUE(MID(TRIM(Raw_Data!I174),1,4)),VALUE(RIGHT(TRIM(Raw_Data!I174),4))))</f>
        <v>2024</v>
      </c>
      <c r="K183" s="23" t="str">
        <f>PROPER(TRIM(Raw_Data!J174))</f>
        <v>Government Employee</v>
      </c>
      <c r="L183" s="23" t="str">
        <f t="shared" si="6"/>
        <v>20+</v>
      </c>
      <c r="M183" s="23" t="str">
        <f t="shared" si="7"/>
        <v>Adult Learners</v>
      </c>
      <c r="N183" s="23" t="str">
        <f>IF(ISNUMBER(SEARCH("NON",UPPER(Raw_Data!M174))),"Non-Premium Learner","Premium Learner")</f>
        <v>Non-Premium Learner</v>
      </c>
      <c r="O183" s="23" t="str">
        <f>PROPER(TRIM(Raw_Data!N174))</f>
        <v>App Only</v>
      </c>
      <c r="P183" s="24">
        <f>IF(Raw_Data!O174="",$C$7,Raw_Data!O174)</f>
        <v>32528.3</v>
      </c>
      <c r="Q183" s="23" t="str">
        <f>IF(Raw_Data!O174="","Missing-Imputed","Original")</f>
        <v>Original</v>
      </c>
      <c r="R183" s="24">
        <f>Raw_Data!P174</f>
        <v>71.3</v>
      </c>
      <c r="S183" s="24">
        <f>Raw_Data!Q174</f>
        <v>46420.62</v>
      </c>
      <c r="T183" s="23" t="str">
        <f>IF(Raw_Data!R174="","Unknown",IF(ISNUMBER(SEARCH("ACT",UPPER(Raw_Data!R174))),"Active",IF(ISNUMBER(SEARCH("CLOS",UPPER(Raw_Data!R174))),"Closed","None")))</f>
        <v>Closed</v>
      </c>
      <c r="U183" s="24">
        <f>IF(Raw_Data!S174="",$C$8,VALUE(Raw_Data!S174))</f>
        <v>470</v>
      </c>
      <c r="V183" s="23" t="str">
        <f>IF(Raw_Data!S174="","Missing-Imputed","Original")</f>
        <v>Original</v>
      </c>
      <c r="W183" s="24">
        <f>Raw_Data!T174</f>
        <v>156</v>
      </c>
      <c r="X183" s="23" t="str">
        <f>IF(ISNUMBER(SEARCH("Y",UPPER(TRIM(Raw_Data!U174)))),"Yes","No")</f>
        <v>Yes</v>
      </c>
      <c r="Y183" s="23" t="str">
        <f>IF(ISNUMBER(SEARCH("Y",UPPER(TRIM(Raw_Data!V174)))),"Yes","No")</f>
        <v>No</v>
      </c>
      <c r="Z183" s="24">
        <f>Raw_Data!W174</f>
        <v>1</v>
      </c>
      <c r="AA183" s="24">
        <f>Raw_Data!X174</f>
        <v>6.6</v>
      </c>
      <c r="AB183" s="23" t="str">
        <f>IF(COUNTIFS(Raw_Data!$A$2:$A$616,Raw_Data!A174)&gt;1,"Duplicate","Unique")</f>
        <v>Unique</v>
      </c>
      <c r="AC183" s="23" t="str">
        <f t="shared" si="8"/>
        <v>Clean</v>
      </c>
    </row>
    <row r="184" spans="1:29" ht="15" customHeight="1">
      <c r="A184" s="25" t="str">
        <f>Raw_Data!A175</f>
        <v>BYJ1174</v>
      </c>
      <c r="B184" s="25" t="str">
        <f>Raw_Data!B175</f>
        <v>Manthan Sekhon</v>
      </c>
      <c r="C184" s="26">
        <f>IF(OR(Raw_Data!C175="",Raw_Data!C175&lt;$C$5,Raw_Data!C175&gt;$C$6),$C$4,Raw_Data!C175)</f>
        <v>40</v>
      </c>
      <c r="D184" s="25" t="str">
        <f>IF(Raw_Data!C175="","Missing-Imputed",IF(OR(Raw_Data!C175&lt;$C$5,Raw_Data!C175&gt;$C$6),"Outlier-Imputed","Original"))</f>
        <v>Original</v>
      </c>
      <c r="E184" s="25" t="str">
        <f>IF(OR(UPPER(TRIM(Raw_Data!D175))="M",UPPER(TRIM(Raw_Data!D175))="MALE"),"Male","Female")</f>
        <v>Male</v>
      </c>
      <c r="F184" s="25" t="str">
        <f>PROPER(TRIM(Raw_Data!E175))</f>
        <v>Hapur</v>
      </c>
      <c r="G184" s="25" t="str">
        <f>PROPER(TRIM(Raw_Data!F175))</f>
        <v>Rajasthan</v>
      </c>
      <c r="H184" s="25" t="str">
        <f>PROPER(TRIM(Raw_Data!G175))</f>
        <v>Coding</v>
      </c>
      <c r="I184" s="25" t="str">
        <f>PROPER(TRIM(Raw_Data!H175))</f>
        <v>Mumbai West</v>
      </c>
      <c r="J184" s="26">
        <f>IF(LEN(TRIM(Raw_Data!I175))=4,VALUE(TRIM(Raw_Data!I175)),IF(ISNUMBER(IFERROR(VALUE(MID(TRIM(Raw_Data!I175),1,4)),"NA")),VALUE(MID(TRIM(Raw_Data!I175),1,4)),VALUE(RIGHT(TRIM(Raw_Data!I175),4))))</f>
        <v>2023</v>
      </c>
      <c r="K184" s="25" t="str">
        <f>PROPER(TRIM(Raw_Data!J175))</f>
        <v>Self-Employed</v>
      </c>
      <c r="L184" s="25" t="str">
        <f t="shared" si="6"/>
        <v>20+</v>
      </c>
      <c r="M184" s="25" t="str">
        <f t="shared" si="7"/>
        <v>Adult Learners</v>
      </c>
      <c r="N184" s="25" t="str">
        <f>IF(ISNUMBER(SEARCH("NON",UPPER(Raw_Data!M175))),"Non-Premium Learner","Premium Learner")</f>
        <v>Premium Learner</v>
      </c>
      <c r="O184" s="25" t="str">
        <f>PROPER(TRIM(Raw_Data!N175))</f>
        <v>Both App &amp; Web</v>
      </c>
      <c r="P184" s="26">
        <f>IF(Raw_Data!O175="",$C$7,Raw_Data!O175)</f>
        <v>136538.56</v>
      </c>
      <c r="Q184" s="25" t="str">
        <f>IF(Raw_Data!O175="","Missing-Imputed","Original")</f>
        <v>Original</v>
      </c>
      <c r="R184" s="26">
        <f>Raw_Data!P175</f>
        <v>58.9</v>
      </c>
      <c r="S184" s="26">
        <f>Raw_Data!Q175</f>
        <v>7412.65</v>
      </c>
      <c r="T184" s="25" t="str">
        <f>IF(Raw_Data!R175="","Unknown",IF(ISNUMBER(SEARCH("ACT",UPPER(Raw_Data!R175))),"Active",IF(ISNUMBER(SEARCH("CLOS",UPPER(Raw_Data!R175))),"Closed","None")))</f>
        <v>Active</v>
      </c>
      <c r="U184" s="26">
        <f>IF(Raw_Data!S175="",$C$8,VALUE(Raw_Data!S175))</f>
        <v>671</v>
      </c>
      <c r="V184" s="25" t="str">
        <f>IF(Raw_Data!S175="","Missing-Imputed","Original")</f>
        <v>Original</v>
      </c>
      <c r="W184" s="26">
        <f>Raw_Data!T175</f>
        <v>181</v>
      </c>
      <c r="X184" s="25" t="str">
        <f>IF(ISNUMBER(SEARCH("Y",UPPER(TRIM(Raw_Data!U175)))),"Yes","No")</f>
        <v>No</v>
      </c>
      <c r="Y184" s="25" t="str">
        <f>IF(ISNUMBER(SEARCH("Y",UPPER(TRIM(Raw_Data!V175)))),"Yes","No")</f>
        <v>No</v>
      </c>
      <c r="Z184" s="26">
        <f>Raw_Data!W175</f>
        <v>1</v>
      </c>
      <c r="AA184" s="26">
        <f>Raw_Data!X175</f>
        <v>7</v>
      </c>
      <c r="AB184" s="25" t="str">
        <f>IF(COUNTIFS(Raw_Data!$A$2:$A$616,Raw_Data!A175)&gt;1,"Duplicate","Unique")</f>
        <v>Unique</v>
      </c>
      <c r="AC184" s="25" t="str">
        <f t="shared" si="8"/>
        <v>Clean</v>
      </c>
    </row>
    <row r="185" spans="1:29" ht="15" customHeight="1">
      <c r="A185" s="23" t="str">
        <f>Raw_Data!A176</f>
        <v>BYJ1175</v>
      </c>
      <c r="B185" s="23" t="str">
        <f>Raw_Data!B176</f>
        <v>Krishna Shah</v>
      </c>
      <c r="C185" s="24">
        <f>IF(OR(Raw_Data!C176="",Raw_Data!C176&lt;$C$5,Raw_Data!C176&gt;$C$6),$C$4,Raw_Data!C176)</f>
        <v>15</v>
      </c>
      <c r="D185" s="23" t="str">
        <f>IF(Raw_Data!C176="","Missing-Imputed",IF(OR(Raw_Data!C176&lt;$C$5,Raw_Data!C176&gt;$C$6),"Outlier-Imputed","Original"))</f>
        <v>Original</v>
      </c>
      <c r="E185" s="23" t="str">
        <f>IF(OR(UPPER(TRIM(Raw_Data!D176))="M",UPPER(TRIM(Raw_Data!D176))="MALE"),"Male","Female")</f>
        <v>Male</v>
      </c>
      <c r="F185" s="23" t="str">
        <f>PROPER(TRIM(Raw_Data!E176))</f>
        <v>Maheshtala</v>
      </c>
      <c r="G185" s="23" t="str">
        <f>PROPER(TRIM(Raw_Data!F176))</f>
        <v>Tamil Nadu</v>
      </c>
      <c r="H185" s="23" t="str">
        <f>PROPER(TRIM(Raw_Data!G176))</f>
        <v>Robotics</v>
      </c>
      <c r="I185" s="23" t="str">
        <f>PROPER(TRIM(Raw_Data!H176))</f>
        <v>Hyderabad Hub</v>
      </c>
      <c r="J185" s="24">
        <f>IF(LEN(TRIM(Raw_Data!I176))=4,VALUE(TRIM(Raw_Data!I176)),IF(ISNUMBER(IFERROR(VALUE(MID(TRIM(Raw_Data!I176),1,4)),"NA")),VALUE(MID(TRIM(Raw_Data!I176),1,4)),VALUE(RIGHT(TRIM(Raw_Data!I176),4))))</f>
        <v>2020</v>
      </c>
      <c r="K185" s="23" t="str">
        <f>PROPER(TRIM(Raw_Data!J176))</f>
        <v>Homemaker</v>
      </c>
      <c r="L185" s="23" t="str">
        <f t="shared" si="6"/>
        <v>14-16</v>
      </c>
      <c r="M185" s="23" t="str">
        <f t="shared" si="7"/>
        <v>Teens</v>
      </c>
      <c r="N185" s="23" t="str">
        <f>IF(ISNUMBER(SEARCH("NON",UPPER(Raw_Data!M176))),"Non-Premium Learner","Premium Learner")</f>
        <v>Non-Premium Learner</v>
      </c>
      <c r="O185" s="23" t="str">
        <f>PROPER(TRIM(Raw_Data!N176))</f>
        <v>App Only</v>
      </c>
      <c r="P185" s="24">
        <f>IF(Raw_Data!O176="",$C$7,Raw_Data!O176)</f>
        <v>71742.19</v>
      </c>
      <c r="Q185" s="23" t="str">
        <f>IF(Raw_Data!O176="","Missing-Imputed","Original")</f>
        <v>Missing-Imputed</v>
      </c>
      <c r="R185" s="24">
        <f>Raw_Data!P176</f>
        <v>62.4</v>
      </c>
      <c r="S185" s="24">
        <f>Raw_Data!Q176</f>
        <v>732.47</v>
      </c>
      <c r="T185" s="23" t="str">
        <f>IF(Raw_Data!R176="","Unknown",IF(ISNUMBER(SEARCH("ACT",UPPER(Raw_Data!R176))),"Active",IF(ISNUMBER(SEARCH("CLOS",UPPER(Raw_Data!R176))),"Closed","None")))</f>
        <v>Closed</v>
      </c>
      <c r="U185" s="24">
        <f>IF(Raw_Data!S176="",$C$8,VALUE(Raw_Data!S176))</f>
        <v>856</v>
      </c>
      <c r="V185" s="23" t="str">
        <f>IF(Raw_Data!S176="","Missing-Imputed","Original")</f>
        <v>Original</v>
      </c>
      <c r="W185" s="24">
        <f>Raw_Data!T176</f>
        <v>155</v>
      </c>
      <c r="X185" s="23" t="str">
        <f>IF(ISNUMBER(SEARCH("Y",UPPER(TRIM(Raw_Data!U176)))),"Yes","No")</f>
        <v>No</v>
      </c>
      <c r="Y185" s="23" t="str">
        <f>IF(ISNUMBER(SEARCH("Y",UPPER(TRIM(Raw_Data!V176)))),"Yes","No")</f>
        <v>Yes</v>
      </c>
      <c r="Z185" s="24">
        <f>Raw_Data!W176</f>
        <v>4</v>
      </c>
      <c r="AA185" s="24">
        <f>Raw_Data!X176</f>
        <v>4</v>
      </c>
      <c r="AB185" s="23" t="str">
        <f>IF(COUNTIFS(Raw_Data!$A$2:$A$616,Raw_Data!A176)&gt;1,"Duplicate","Unique")</f>
        <v>Unique</v>
      </c>
      <c r="AC185" s="23" t="str">
        <f t="shared" si="8"/>
        <v>Imputed</v>
      </c>
    </row>
    <row r="186" spans="1:29" ht="15" customHeight="1">
      <c r="A186" s="25" t="str">
        <f>Raw_Data!A177</f>
        <v>BYJ1176</v>
      </c>
      <c r="B186" s="25" t="str">
        <f>Raw_Data!B177</f>
        <v xml:space="preserve">  Leela Kaur  </v>
      </c>
      <c r="C186" s="26">
        <f>IF(OR(Raw_Data!C177="",Raw_Data!C177&lt;$C$5,Raw_Data!C177&gt;$C$6),$C$4,Raw_Data!C177)</f>
        <v>21</v>
      </c>
      <c r="D186" s="25" t="str">
        <f>IF(Raw_Data!C177="","Missing-Imputed",IF(OR(Raw_Data!C177&lt;$C$5,Raw_Data!C177&gt;$C$6),"Outlier-Imputed","Original"))</f>
        <v>Original</v>
      </c>
      <c r="E186" s="25" t="str">
        <f>IF(OR(UPPER(TRIM(Raw_Data!D177))="M",UPPER(TRIM(Raw_Data!D177))="MALE"),"Male","Female")</f>
        <v>Female</v>
      </c>
      <c r="F186" s="25" t="str">
        <f>PROPER(TRIM(Raw_Data!E177))</f>
        <v>Varanasi</v>
      </c>
      <c r="G186" s="25" t="str">
        <f>PROPER(TRIM(Raw_Data!F177))</f>
        <v>Delhi</v>
      </c>
      <c r="H186" s="25" t="str">
        <f>PROPER(TRIM(Raw_Data!G177))</f>
        <v>Coding</v>
      </c>
      <c r="I186" s="25" t="str">
        <f>PROPER(TRIM(Raw_Data!H177))</f>
        <v>Mumbai West</v>
      </c>
      <c r="J186" s="26">
        <f>IF(LEN(TRIM(Raw_Data!I177))=4,VALUE(TRIM(Raw_Data!I177)),IF(ISNUMBER(IFERROR(VALUE(MID(TRIM(Raw_Data!I177),1,4)),"NA")),VALUE(MID(TRIM(Raw_Data!I177),1,4)),VALUE(RIGHT(TRIM(Raw_Data!I177),4))))</f>
        <v>2018</v>
      </c>
      <c r="K186" s="25" t="str">
        <f>PROPER(TRIM(Raw_Data!J177))</f>
        <v>Salaried</v>
      </c>
      <c r="L186" s="25" t="str">
        <f t="shared" si="6"/>
        <v>20+</v>
      </c>
      <c r="M186" s="25" t="str">
        <f t="shared" si="7"/>
        <v>Adult Learners</v>
      </c>
      <c r="N186" s="25" t="str">
        <f>IF(ISNUMBER(SEARCH("NON",UPPER(Raw_Data!M177))),"Non-Premium Learner","Premium Learner")</f>
        <v>Premium Learner</v>
      </c>
      <c r="O186" s="25" t="str">
        <f>PROPER(TRIM(Raw_Data!N177))</f>
        <v>Both App &amp; Web</v>
      </c>
      <c r="P186" s="26">
        <f>IF(Raw_Data!O177="",$C$7,Raw_Data!O177)</f>
        <v>126512.09</v>
      </c>
      <c r="Q186" s="25" t="str">
        <f>IF(Raw_Data!O177="","Missing-Imputed","Original")</f>
        <v>Original</v>
      </c>
      <c r="R186" s="26">
        <f>Raw_Data!P177</f>
        <v>74</v>
      </c>
      <c r="S186" s="26">
        <f>Raw_Data!Q177</f>
        <v>2941.88</v>
      </c>
      <c r="T186" s="25" t="str">
        <f>IF(Raw_Data!R177="","Unknown",IF(ISNUMBER(SEARCH("ACT",UPPER(Raw_Data!R177))),"Active",IF(ISNUMBER(SEARCH("CLOS",UPPER(Raw_Data!R177))),"Closed","None")))</f>
        <v>Closed</v>
      </c>
      <c r="U186" s="26">
        <f>IF(Raw_Data!S177="",$C$8,VALUE(Raw_Data!S177))</f>
        <v>465</v>
      </c>
      <c r="V186" s="25" t="str">
        <f>IF(Raw_Data!S177="","Missing-Imputed","Original")</f>
        <v>Original</v>
      </c>
      <c r="W186" s="26">
        <f>Raw_Data!T177</f>
        <v>156</v>
      </c>
      <c r="X186" s="25" t="str">
        <f>IF(ISNUMBER(SEARCH("Y",UPPER(TRIM(Raw_Data!U177)))),"Yes","No")</f>
        <v>Yes</v>
      </c>
      <c r="Y186" s="25" t="str">
        <f>IF(ISNUMBER(SEARCH("Y",UPPER(TRIM(Raw_Data!V177)))),"Yes","No")</f>
        <v>No</v>
      </c>
      <c r="Z186" s="26">
        <f>Raw_Data!W177</f>
        <v>1</v>
      </c>
      <c r="AA186" s="26">
        <f>Raw_Data!X177</f>
        <v>7</v>
      </c>
      <c r="AB186" s="25" t="str">
        <f>IF(COUNTIFS(Raw_Data!$A$2:$A$616,Raw_Data!A177)&gt;1,"Duplicate","Unique")</f>
        <v>Unique</v>
      </c>
      <c r="AC186" s="25" t="str">
        <f t="shared" si="8"/>
        <v>Clean</v>
      </c>
    </row>
    <row r="187" spans="1:29" ht="15" customHeight="1">
      <c r="A187" s="23" t="str">
        <f>Raw_Data!A178</f>
        <v>BYJ1177</v>
      </c>
      <c r="B187" s="23" t="str">
        <f>Raw_Data!B178</f>
        <v>Urvashi Raj</v>
      </c>
      <c r="C187" s="24">
        <f>IF(OR(Raw_Data!C178="",Raw_Data!C178&lt;$C$5,Raw_Data!C178&gt;$C$6),$C$4,Raw_Data!C178)</f>
        <v>10</v>
      </c>
      <c r="D187" s="23" t="str">
        <f>IF(Raw_Data!C178="","Missing-Imputed",IF(OR(Raw_Data!C178&lt;$C$5,Raw_Data!C178&gt;$C$6),"Outlier-Imputed","Original"))</f>
        <v>Original</v>
      </c>
      <c r="E187" s="23" t="str">
        <f>IF(OR(UPPER(TRIM(Raw_Data!D178))="M",UPPER(TRIM(Raw_Data!D178))="MALE"),"Male","Female")</f>
        <v>Female</v>
      </c>
      <c r="F187" s="23" t="str">
        <f>PROPER(TRIM(Raw_Data!E178))</f>
        <v>Saharanpur</v>
      </c>
      <c r="G187" s="23" t="str">
        <f>PROPER(TRIM(Raw_Data!F178))</f>
        <v>Rajasthan</v>
      </c>
      <c r="H187" s="23" t="str">
        <f>PROPER(TRIM(Raw_Data!G178))</f>
        <v>Science</v>
      </c>
      <c r="I187" s="23" t="str">
        <f>PROPER(TRIM(Raw_Data!H178))</f>
        <v>Bengaluru South</v>
      </c>
      <c r="J187" s="24">
        <f>IF(LEN(TRIM(Raw_Data!I178))=4,VALUE(TRIM(Raw_Data!I178)),IF(ISNUMBER(IFERROR(VALUE(MID(TRIM(Raw_Data!I178),1,4)),"NA")),VALUE(MID(TRIM(Raw_Data!I178),1,4)),VALUE(RIGHT(TRIM(Raw_Data!I178),4))))</f>
        <v>2020</v>
      </c>
      <c r="K187" s="23" t="str">
        <f>PROPER(TRIM(Raw_Data!J178))</f>
        <v>Government Employee</v>
      </c>
      <c r="L187" s="23" t="str">
        <f t="shared" si="6"/>
        <v>10-13</v>
      </c>
      <c r="M187" s="23" t="str">
        <f t="shared" si="7"/>
        <v>Kids</v>
      </c>
      <c r="N187" s="23" t="str">
        <f>IF(ISNUMBER(SEARCH("NON",UPPER(Raw_Data!M178))),"Non-Premium Learner","Premium Learner")</f>
        <v>Premium Learner</v>
      </c>
      <c r="O187" s="23" t="str">
        <f>PROPER(TRIM(Raw_Data!N178))</f>
        <v>App Only</v>
      </c>
      <c r="P187" s="24">
        <f>IF(Raw_Data!O178="",$C$7,Raw_Data!O178)</f>
        <v>20848.82</v>
      </c>
      <c r="Q187" s="23" t="str">
        <f>IF(Raw_Data!O178="","Missing-Imputed","Original")</f>
        <v>Original</v>
      </c>
      <c r="R187" s="24">
        <f>Raw_Data!P178</f>
        <v>52.2</v>
      </c>
      <c r="S187" s="24">
        <f>Raw_Data!Q178</f>
        <v>59231.360000000001</v>
      </c>
      <c r="T187" s="23" t="str">
        <f>IF(Raw_Data!R178="","Unknown",IF(ISNUMBER(SEARCH("ACT",UPPER(Raw_Data!R178))),"Active",IF(ISNUMBER(SEARCH("CLOS",UPPER(Raw_Data!R178))),"Closed","None")))</f>
        <v>Closed</v>
      </c>
      <c r="U187" s="24">
        <f>IF(Raw_Data!S178="",$C$8,VALUE(Raw_Data!S178))</f>
        <v>594</v>
      </c>
      <c r="V187" s="23" t="str">
        <f>IF(Raw_Data!S178="","Missing-Imputed","Original")</f>
        <v>Original</v>
      </c>
      <c r="W187" s="24">
        <f>Raw_Data!T178</f>
        <v>81</v>
      </c>
      <c r="X187" s="23" t="str">
        <f>IF(ISNUMBER(SEARCH("Y",UPPER(TRIM(Raw_Data!U178)))),"Yes","No")</f>
        <v>No</v>
      </c>
      <c r="Y187" s="23" t="str">
        <f>IF(ISNUMBER(SEARCH("Y",UPPER(TRIM(Raw_Data!V178)))),"Yes","No")</f>
        <v>Yes</v>
      </c>
      <c r="Z187" s="24">
        <f>Raw_Data!W178</f>
        <v>5</v>
      </c>
      <c r="AA187" s="24">
        <f>Raw_Data!X178</f>
        <v>6.7</v>
      </c>
      <c r="AB187" s="23" t="str">
        <f>IF(COUNTIFS(Raw_Data!$A$2:$A$616,Raw_Data!A178)&gt;1,"Duplicate","Unique")</f>
        <v>Unique</v>
      </c>
      <c r="AC187" s="23" t="str">
        <f t="shared" si="8"/>
        <v>Clean</v>
      </c>
    </row>
    <row r="188" spans="1:29" ht="15" customHeight="1">
      <c r="A188" s="25" t="str">
        <f>Raw_Data!A179</f>
        <v>BYJ1178</v>
      </c>
      <c r="B188" s="25" t="str">
        <f>Raw_Data!B179</f>
        <v>Balhaar Date</v>
      </c>
      <c r="C188" s="26">
        <f>IF(OR(Raw_Data!C179="",Raw_Data!C179&lt;$C$5,Raw_Data!C179&gt;$C$6),$C$4,Raw_Data!C179)</f>
        <v>45</v>
      </c>
      <c r="D188" s="25" t="str">
        <f>IF(Raw_Data!C179="","Missing-Imputed",IF(OR(Raw_Data!C179&lt;$C$5,Raw_Data!C179&gt;$C$6),"Outlier-Imputed","Original"))</f>
        <v>Original</v>
      </c>
      <c r="E188" s="25" t="str">
        <f>IF(OR(UPPER(TRIM(Raw_Data!D179))="M",UPPER(TRIM(Raw_Data!D179))="MALE"),"Male","Female")</f>
        <v>Male</v>
      </c>
      <c r="F188" s="25" t="str">
        <f>PROPER(TRIM(Raw_Data!E179))</f>
        <v>Salem</v>
      </c>
      <c r="G188" s="25" t="str">
        <f>PROPER(TRIM(Raw_Data!F179))</f>
        <v>Tamil Nadu</v>
      </c>
      <c r="H188" s="25" t="str">
        <f>PROPER(TRIM(Raw_Data!G179))</f>
        <v>Mathematics</v>
      </c>
      <c r="I188" s="25" t="str">
        <f>PROPER(TRIM(Raw_Data!H179))</f>
        <v>Chennai Central</v>
      </c>
      <c r="J188" s="26">
        <f>IF(LEN(TRIM(Raw_Data!I179))=4,VALUE(TRIM(Raw_Data!I179)),IF(ISNUMBER(IFERROR(VALUE(MID(TRIM(Raw_Data!I179),1,4)),"NA")),VALUE(MID(TRIM(Raw_Data!I179),1,4)),VALUE(RIGHT(TRIM(Raw_Data!I179),4))))</f>
        <v>2023</v>
      </c>
      <c r="K188" s="25" t="str">
        <f>PROPER(TRIM(Raw_Data!J179))</f>
        <v>Retired</v>
      </c>
      <c r="L188" s="25" t="str">
        <f t="shared" si="6"/>
        <v>20+</v>
      </c>
      <c r="M188" s="25" t="str">
        <f t="shared" si="7"/>
        <v>Adult Learners</v>
      </c>
      <c r="N188" s="25" t="str">
        <f>IF(ISNUMBER(SEARCH("NON",UPPER(Raw_Data!M179))),"Non-Premium Learner","Premium Learner")</f>
        <v>Non-Premium Learner</v>
      </c>
      <c r="O188" s="25" t="str">
        <f>PROPER(TRIM(Raw_Data!N179))</f>
        <v>Web Only</v>
      </c>
      <c r="P188" s="26">
        <f>IF(Raw_Data!O179="",$C$7,Raw_Data!O179)</f>
        <v>65035.97</v>
      </c>
      <c r="Q188" s="25" t="str">
        <f>IF(Raw_Data!O179="","Missing-Imputed","Original")</f>
        <v>Original</v>
      </c>
      <c r="R188" s="26">
        <f>Raw_Data!P179</f>
        <v>47</v>
      </c>
      <c r="S188" s="26">
        <f>Raw_Data!Q179</f>
        <v>38250.21</v>
      </c>
      <c r="T188" s="25" t="str">
        <f>IF(Raw_Data!R179="","Unknown",IF(ISNUMBER(SEARCH("ACT",UPPER(Raw_Data!R179))),"Active",IF(ISNUMBER(SEARCH("CLOS",UPPER(Raw_Data!R179))),"Closed","None")))</f>
        <v>Active</v>
      </c>
      <c r="U188" s="26">
        <f>IF(Raw_Data!S179="",$C$8,VALUE(Raw_Data!S179))</f>
        <v>588</v>
      </c>
      <c r="V188" s="25" t="str">
        <f>IF(Raw_Data!S179="","Missing-Imputed","Original")</f>
        <v>Original</v>
      </c>
      <c r="W188" s="26">
        <f>Raw_Data!T179</f>
        <v>17</v>
      </c>
      <c r="X188" s="25" t="str">
        <f>IF(ISNUMBER(SEARCH("Y",UPPER(TRIM(Raw_Data!U179)))),"Yes","No")</f>
        <v>No</v>
      </c>
      <c r="Y188" s="25" t="str">
        <f>IF(ISNUMBER(SEARCH("Y",UPPER(TRIM(Raw_Data!V179)))),"Yes","No")</f>
        <v>No</v>
      </c>
      <c r="Z188" s="26">
        <f>Raw_Data!W179</f>
        <v>1</v>
      </c>
      <c r="AA188" s="26">
        <f>Raw_Data!X179</f>
        <v>6.3</v>
      </c>
      <c r="AB188" s="25" t="str">
        <f>IF(COUNTIFS(Raw_Data!$A$2:$A$616,Raw_Data!A179)&gt;1,"Duplicate","Unique")</f>
        <v>Unique</v>
      </c>
      <c r="AC188" s="25" t="str">
        <f t="shared" si="8"/>
        <v>Clean</v>
      </c>
    </row>
    <row r="189" spans="1:29" ht="15" customHeight="1">
      <c r="A189" s="23" t="str">
        <f>Raw_Data!A180</f>
        <v>BYJ1179</v>
      </c>
      <c r="B189" s="23" t="str">
        <f>Raw_Data!B180</f>
        <v>Harish Vora</v>
      </c>
      <c r="C189" s="24">
        <f>IF(OR(Raw_Data!C180="",Raw_Data!C180&lt;$C$5,Raw_Data!C180&gt;$C$6),$C$4,Raw_Data!C180)</f>
        <v>45</v>
      </c>
      <c r="D189" s="23" t="str">
        <f>IF(Raw_Data!C180="","Missing-Imputed",IF(OR(Raw_Data!C180&lt;$C$5,Raw_Data!C180&gt;$C$6),"Outlier-Imputed","Original"))</f>
        <v>Original</v>
      </c>
      <c r="E189" s="23" t="str">
        <f>IF(OR(UPPER(TRIM(Raw_Data!D180))="M",UPPER(TRIM(Raw_Data!D180))="MALE"),"Male","Female")</f>
        <v>Male</v>
      </c>
      <c r="F189" s="23" t="str">
        <f>PROPER(TRIM(Raw_Data!E180))</f>
        <v>Kanpur</v>
      </c>
      <c r="G189" s="23" t="str">
        <f>PROPER(TRIM(Raw_Data!F180))</f>
        <v>Gujarat</v>
      </c>
      <c r="H189" s="23" t="str">
        <f>PROPER(TRIM(Raw_Data!G180))</f>
        <v>Spoken English</v>
      </c>
      <c r="I189" s="23" t="str">
        <f>PROPER(TRIM(Raw_Data!H180))</f>
        <v>Ahmedabad Center</v>
      </c>
      <c r="J189" s="24">
        <f>IF(LEN(TRIM(Raw_Data!I180))=4,VALUE(TRIM(Raw_Data!I180)),IF(ISNUMBER(IFERROR(VALUE(MID(TRIM(Raw_Data!I180),1,4)),"NA")),VALUE(MID(TRIM(Raw_Data!I180),1,4)),VALUE(RIGHT(TRIM(Raw_Data!I180),4))))</f>
        <v>2016</v>
      </c>
      <c r="K189" s="23" t="str">
        <f>PROPER(TRIM(Raw_Data!J180))</f>
        <v>Business</v>
      </c>
      <c r="L189" s="23" t="str">
        <f t="shared" si="6"/>
        <v>20+</v>
      </c>
      <c r="M189" s="23" t="str">
        <f t="shared" si="7"/>
        <v>Adult Learners</v>
      </c>
      <c r="N189" s="23" t="str">
        <f>IF(ISNUMBER(SEARCH("NON",UPPER(Raw_Data!M180))),"Non-Premium Learner","Premium Learner")</f>
        <v>Non-Premium Learner</v>
      </c>
      <c r="O189" s="23" t="str">
        <f>PROPER(TRIM(Raw_Data!N180))</f>
        <v>Both App &amp; Web</v>
      </c>
      <c r="P189" s="24">
        <f>IF(Raw_Data!O180="",$C$7,Raw_Data!O180)</f>
        <v>134909.65</v>
      </c>
      <c r="Q189" s="23" t="str">
        <f>IF(Raw_Data!O180="","Missing-Imputed","Original")</f>
        <v>Original</v>
      </c>
      <c r="R189" s="24">
        <f>Raw_Data!P180</f>
        <v>66.099999999999994</v>
      </c>
      <c r="S189" s="24">
        <f>Raw_Data!Q180</f>
        <v>55667.4</v>
      </c>
      <c r="T189" s="23" t="str">
        <f>IF(Raw_Data!R180="","Unknown",IF(ISNUMBER(SEARCH("ACT",UPPER(Raw_Data!R180))),"Active",IF(ISNUMBER(SEARCH("CLOS",UPPER(Raw_Data!R180))),"Closed","None")))</f>
        <v>Active</v>
      </c>
      <c r="U189" s="24">
        <f>IF(Raw_Data!S180="",$C$8,VALUE(Raw_Data!S180))</f>
        <v>878</v>
      </c>
      <c r="V189" s="23" t="str">
        <f>IF(Raw_Data!S180="","Missing-Imputed","Original")</f>
        <v>Original</v>
      </c>
      <c r="W189" s="24">
        <f>Raw_Data!T180</f>
        <v>80</v>
      </c>
      <c r="X189" s="23" t="str">
        <f>IF(ISNUMBER(SEARCH("Y",UPPER(TRIM(Raw_Data!U180)))),"Yes","No")</f>
        <v>Yes</v>
      </c>
      <c r="Y189" s="23" t="str">
        <f>IF(ISNUMBER(SEARCH("Y",UPPER(TRIM(Raw_Data!V180)))),"Yes","No")</f>
        <v>No</v>
      </c>
      <c r="Z189" s="24">
        <f>Raw_Data!W180</f>
        <v>1</v>
      </c>
      <c r="AA189" s="24">
        <f>Raw_Data!X180</f>
        <v>8.6999999999999993</v>
      </c>
      <c r="AB189" s="23" t="str">
        <f>IF(COUNTIFS(Raw_Data!$A$2:$A$616,Raw_Data!A180)&gt;1,"Duplicate","Unique")</f>
        <v>Unique</v>
      </c>
      <c r="AC189" s="23" t="str">
        <f t="shared" si="8"/>
        <v>Clean</v>
      </c>
    </row>
    <row r="190" spans="1:29" ht="15" customHeight="1">
      <c r="A190" s="25" t="str">
        <f>Raw_Data!A181</f>
        <v>BYJ1180</v>
      </c>
      <c r="B190" s="25" t="str">
        <f>Raw_Data!B181</f>
        <v>Nimrat Dubey</v>
      </c>
      <c r="C190" s="26">
        <f>IF(OR(Raw_Data!C181="",Raw_Data!C181&lt;$C$5,Raw_Data!C181&gt;$C$6),$C$4,Raw_Data!C181)</f>
        <v>24</v>
      </c>
      <c r="D190" s="25" t="str">
        <f>IF(Raw_Data!C181="","Missing-Imputed",IF(OR(Raw_Data!C181&lt;$C$5,Raw_Data!C181&gt;$C$6),"Outlier-Imputed","Original"))</f>
        <v>Outlier-Imputed</v>
      </c>
      <c r="E190" s="25" t="str">
        <f>IF(OR(UPPER(TRIM(Raw_Data!D181))="M",UPPER(TRIM(Raw_Data!D181))="MALE"),"Male","Female")</f>
        <v>Male</v>
      </c>
      <c r="F190" s="25" t="str">
        <f>PROPER(TRIM(Raw_Data!E181))</f>
        <v>Nandyal</v>
      </c>
      <c r="G190" s="25" t="str">
        <f>PROPER(TRIM(Raw_Data!F181))</f>
        <v>Maharashtra</v>
      </c>
      <c r="H190" s="25" t="str">
        <f>PROPER(TRIM(Raw_Data!G181))</f>
        <v>Mathematics</v>
      </c>
      <c r="I190" s="25" t="str">
        <f>PROPER(TRIM(Raw_Data!H181))</f>
        <v>Hyderabad Hub</v>
      </c>
      <c r="J190" s="26">
        <f>IF(LEN(TRIM(Raw_Data!I181))=4,VALUE(TRIM(Raw_Data!I181)),IF(ISNUMBER(IFERROR(VALUE(MID(TRIM(Raw_Data!I181),1,4)),"NA")),VALUE(MID(TRIM(Raw_Data!I181),1,4)),VALUE(RIGHT(TRIM(Raw_Data!I181),4))))</f>
        <v>46024</v>
      </c>
      <c r="K190" s="25" t="str">
        <f>PROPER(TRIM(Raw_Data!J181))</f>
        <v>Self-Employed</v>
      </c>
      <c r="L190" s="25" t="str">
        <f t="shared" si="6"/>
        <v>20+</v>
      </c>
      <c r="M190" s="25" t="str">
        <f t="shared" si="7"/>
        <v>Adult Learners</v>
      </c>
      <c r="N190" s="25" t="str">
        <f>IF(ISNUMBER(SEARCH("NON",UPPER(Raw_Data!M181))),"Non-Premium Learner","Premium Learner")</f>
        <v>Premium Learner</v>
      </c>
      <c r="O190" s="25" t="str">
        <f>PROPER(TRIM(Raw_Data!N181))</f>
        <v>Web Only</v>
      </c>
      <c r="P190" s="26">
        <f>IF(Raw_Data!O181="",$C$7,Raw_Data!O181)</f>
        <v>70526.42</v>
      </c>
      <c r="Q190" s="25" t="str">
        <f>IF(Raw_Data!O181="","Missing-Imputed","Original")</f>
        <v>Original</v>
      </c>
      <c r="R190" s="26">
        <f>Raw_Data!P181</f>
        <v>21.2</v>
      </c>
      <c r="S190" s="26">
        <f>Raw_Data!Q181</f>
        <v>18139.099999999999</v>
      </c>
      <c r="T190" s="25" t="str">
        <f>IF(Raw_Data!R181="","Unknown",IF(ISNUMBER(SEARCH("ACT",UPPER(Raw_Data!R181))),"Active",IF(ISNUMBER(SEARCH("CLOS",UPPER(Raw_Data!R181))),"Closed","None")))</f>
        <v>Active</v>
      </c>
      <c r="U190" s="26">
        <f>IF(Raw_Data!S181="",$C$8,VALUE(Raw_Data!S181))</f>
        <v>338</v>
      </c>
      <c r="V190" s="25" t="str">
        <f>IF(Raw_Data!S181="","Missing-Imputed","Original")</f>
        <v>Original</v>
      </c>
      <c r="W190" s="26">
        <f>Raw_Data!T181</f>
        <v>23</v>
      </c>
      <c r="X190" s="25" t="str">
        <f>IF(ISNUMBER(SEARCH("Y",UPPER(TRIM(Raw_Data!U181)))),"Yes","No")</f>
        <v>No</v>
      </c>
      <c r="Y190" s="25" t="str">
        <f>IF(ISNUMBER(SEARCH("Y",UPPER(TRIM(Raw_Data!V181)))),"Yes","No")</f>
        <v>No</v>
      </c>
      <c r="Z190" s="26">
        <f>Raw_Data!W181</f>
        <v>2</v>
      </c>
      <c r="AA190" s="26">
        <f>Raw_Data!X181</f>
        <v>3.4</v>
      </c>
      <c r="AB190" s="25" t="str">
        <f>IF(COUNTIFS(Raw_Data!$A$2:$A$616,Raw_Data!A181)&gt;1,"Duplicate","Unique")</f>
        <v>Unique</v>
      </c>
      <c r="AC190" s="25" t="str">
        <f t="shared" si="8"/>
        <v>Imputed</v>
      </c>
    </row>
    <row r="191" spans="1:29" ht="15" customHeight="1">
      <c r="A191" s="23" t="str">
        <f>Raw_Data!A182</f>
        <v>BYJ1181</v>
      </c>
      <c r="B191" s="23" t="str">
        <f>Raw_Data!B182</f>
        <v>Hamsini Rao</v>
      </c>
      <c r="C191" s="24">
        <f>IF(OR(Raw_Data!C182="",Raw_Data!C182&lt;$C$5,Raw_Data!C182&gt;$C$6),$C$4,Raw_Data!C182)</f>
        <v>25</v>
      </c>
      <c r="D191" s="23" t="str">
        <f>IF(Raw_Data!C182="","Missing-Imputed",IF(OR(Raw_Data!C182&lt;$C$5,Raw_Data!C182&gt;$C$6),"Outlier-Imputed","Original"))</f>
        <v>Original</v>
      </c>
      <c r="E191" s="23" t="str">
        <f>IF(OR(UPPER(TRIM(Raw_Data!D182))="M",UPPER(TRIM(Raw_Data!D182))="MALE"),"Male","Female")</f>
        <v>Female</v>
      </c>
      <c r="F191" s="23" t="str">
        <f>PROPER(TRIM(Raw_Data!E182))</f>
        <v>Ozhukarai</v>
      </c>
      <c r="G191" s="23" t="str">
        <f>PROPER(TRIM(Raw_Data!F182))</f>
        <v>Karnataka</v>
      </c>
      <c r="H191" s="23" t="str">
        <f>PROPER(TRIM(Raw_Data!G182))</f>
        <v>Science</v>
      </c>
      <c r="I191" s="23" t="str">
        <f>PROPER(TRIM(Raw_Data!H182))</f>
        <v>Delhi North</v>
      </c>
      <c r="J191" s="24">
        <f>IF(LEN(TRIM(Raw_Data!I182))=4,VALUE(TRIM(Raw_Data!I182)),IF(ISNUMBER(IFERROR(VALUE(MID(TRIM(Raw_Data!I182),1,4)),"NA")),VALUE(MID(TRIM(Raw_Data!I182),1,4)),VALUE(RIGHT(TRIM(Raw_Data!I182),4))))</f>
        <v>2016</v>
      </c>
      <c r="K191" s="23" t="str">
        <f>PROPER(TRIM(Raw_Data!J182))</f>
        <v>Salaried</v>
      </c>
      <c r="L191" s="23" t="str">
        <f t="shared" si="6"/>
        <v>20+</v>
      </c>
      <c r="M191" s="23" t="str">
        <f t="shared" si="7"/>
        <v>Adult Learners</v>
      </c>
      <c r="N191" s="23" t="str">
        <f>IF(ISNUMBER(SEARCH("NON",UPPER(Raw_Data!M182))),"Non-Premium Learner","Premium Learner")</f>
        <v>Non-Premium Learner</v>
      </c>
      <c r="O191" s="23" t="str">
        <f>PROPER(TRIM(Raw_Data!N182))</f>
        <v>Both App &amp; Web</v>
      </c>
      <c r="P191" s="24">
        <f>IF(Raw_Data!O182="",$C$7,Raw_Data!O182)</f>
        <v>131421.89000000001</v>
      </c>
      <c r="Q191" s="23" t="str">
        <f>IF(Raw_Data!O182="","Missing-Imputed","Original")</f>
        <v>Original</v>
      </c>
      <c r="R191" s="24">
        <f>Raw_Data!P182</f>
        <v>71.7</v>
      </c>
      <c r="S191" s="24">
        <f>Raw_Data!Q182</f>
        <v>6186.17</v>
      </c>
      <c r="T191" s="23" t="str">
        <f>IF(Raw_Data!R182="","Unknown",IF(ISNUMBER(SEARCH("ACT",UPPER(Raw_Data!R182))),"Active",IF(ISNUMBER(SEARCH("CLOS",UPPER(Raw_Data!R182))),"Closed","None")))</f>
        <v>None</v>
      </c>
      <c r="U191" s="24">
        <f>IF(Raw_Data!S182="",$C$8,VALUE(Raw_Data!S182))</f>
        <v>323</v>
      </c>
      <c r="V191" s="23" t="str">
        <f>IF(Raw_Data!S182="","Missing-Imputed","Original")</f>
        <v>Original</v>
      </c>
      <c r="W191" s="24">
        <f>Raw_Data!T182</f>
        <v>79</v>
      </c>
      <c r="X191" s="23" t="str">
        <f>IF(ISNUMBER(SEARCH("Y",UPPER(TRIM(Raw_Data!U182)))),"Yes","No")</f>
        <v>Yes</v>
      </c>
      <c r="Y191" s="23" t="str">
        <f>IF(ISNUMBER(SEARCH("Y",UPPER(TRIM(Raw_Data!V182)))),"Yes","No")</f>
        <v>Yes</v>
      </c>
      <c r="Z191" s="24">
        <f>Raw_Data!W182</f>
        <v>3</v>
      </c>
      <c r="AA191" s="24">
        <f>Raw_Data!X182</f>
        <v>2.9</v>
      </c>
      <c r="AB191" s="23" t="str">
        <f>IF(COUNTIFS(Raw_Data!$A$2:$A$616,Raw_Data!A182)&gt;1,"Duplicate","Unique")</f>
        <v>Unique</v>
      </c>
      <c r="AC191" s="23" t="str">
        <f t="shared" si="8"/>
        <v>Clean</v>
      </c>
    </row>
    <row r="192" spans="1:29" ht="15" customHeight="1">
      <c r="A192" s="25" t="str">
        <f>Raw_Data!A183</f>
        <v>BYJ1182</v>
      </c>
      <c r="B192" s="25" t="str">
        <f>Raw_Data!B183</f>
        <v>Edhitha Sura</v>
      </c>
      <c r="C192" s="26">
        <f>IF(OR(Raw_Data!C183="",Raw_Data!C183&lt;$C$5,Raw_Data!C183&gt;$C$6),$C$4,Raw_Data!C183)</f>
        <v>13</v>
      </c>
      <c r="D192" s="25" t="str">
        <f>IF(Raw_Data!C183="","Missing-Imputed",IF(OR(Raw_Data!C183&lt;$C$5,Raw_Data!C183&gt;$C$6),"Outlier-Imputed","Original"))</f>
        <v>Original</v>
      </c>
      <c r="E192" s="25" t="str">
        <f>IF(OR(UPPER(TRIM(Raw_Data!D183))="M",UPPER(TRIM(Raw_Data!D183))="MALE"),"Male","Female")</f>
        <v>Female</v>
      </c>
      <c r="F192" s="25" t="str">
        <f>PROPER(TRIM(Raw_Data!E183))</f>
        <v>Tadipatri</v>
      </c>
      <c r="G192" s="25" t="str">
        <f>PROPER(TRIM(Raw_Data!F183))</f>
        <v>Karnataka</v>
      </c>
      <c r="H192" s="25" t="str">
        <f>PROPER(TRIM(Raw_Data!G183))</f>
        <v>Coding</v>
      </c>
      <c r="I192" s="25" t="str">
        <f>PROPER(TRIM(Raw_Data!H183))</f>
        <v>Lucknow Hub</v>
      </c>
      <c r="J192" s="26">
        <f>IF(LEN(TRIM(Raw_Data!I183))=4,VALUE(TRIM(Raw_Data!I183)),IF(ISNUMBER(IFERROR(VALUE(MID(TRIM(Raw_Data!I183),1,4)),"NA")),VALUE(MID(TRIM(Raw_Data!I183),1,4)),VALUE(RIGHT(TRIM(Raw_Data!I183),4))))</f>
        <v>2024</v>
      </c>
      <c r="K192" s="25" t="str">
        <f>PROPER(TRIM(Raw_Data!J183))</f>
        <v>Government Employee</v>
      </c>
      <c r="L192" s="25" t="str">
        <f t="shared" si="6"/>
        <v>10-13</v>
      </c>
      <c r="M192" s="25" t="str">
        <f t="shared" si="7"/>
        <v>Kids</v>
      </c>
      <c r="N192" s="25" t="str">
        <f>IF(ISNUMBER(SEARCH("NON",UPPER(Raw_Data!M183))),"Non-Premium Learner","Premium Learner")</f>
        <v>Non-Premium Learner</v>
      </c>
      <c r="O192" s="25" t="str">
        <f>PROPER(TRIM(Raw_Data!N183))</f>
        <v>App Only</v>
      </c>
      <c r="P192" s="26">
        <f>IF(Raw_Data!O183="",$C$7,Raw_Data!O183)</f>
        <v>141775.28</v>
      </c>
      <c r="Q192" s="25" t="str">
        <f>IF(Raw_Data!O183="","Missing-Imputed","Original")</f>
        <v>Original</v>
      </c>
      <c r="R192" s="26">
        <f>Raw_Data!P183</f>
        <v>48.1</v>
      </c>
      <c r="S192" s="26">
        <f>Raw_Data!Q183</f>
        <v>10276.5</v>
      </c>
      <c r="T192" s="25" t="str">
        <f>IF(Raw_Data!R183="","Unknown",IF(ISNUMBER(SEARCH("ACT",UPPER(Raw_Data!R183))),"Active",IF(ISNUMBER(SEARCH("CLOS",UPPER(Raw_Data!R183))),"Closed","None")))</f>
        <v>Closed</v>
      </c>
      <c r="U192" s="26">
        <f>IF(Raw_Data!S183="",$C$8,VALUE(Raw_Data!S183))</f>
        <v>646</v>
      </c>
      <c r="V192" s="25" t="str">
        <f>IF(Raw_Data!S183="","Missing-Imputed","Original")</f>
        <v>Original</v>
      </c>
      <c r="W192" s="26">
        <f>Raw_Data!T183</f>
        <v>12</v>
      </c>
      <c r="X192" s="25" t="str">
        <f>IF(ISNUMBER(SEARCH("Y",UPPER(TRIM(Raw_Data!U183)))),"Yes","No")</f>
        <v>Yes</v>
      </c>
      <c r="Y192" s="25" t="str">
        <f>IF(ISNUMBER(SEARCH("Y",UPPER(TRIM(Raw_Data!V183)))),"Yes","No")</f>
        <v>No</v>
      </c>
      <c r="Z192" s="26">
        <f>Raw_Data!W183</f>
        <v>1</v>
      </c>
      <c r="AA192" s="26">
        <f>Raw_Data!X183</f>
        <v>3.8</v>
      </c>
      <c r="AB192" s="25" t="str">
        <f>IF(COUNTIFS(Raw_Data!$A$2:$A$616,Raw_Data!A183)&gt;1,"Duplicate","Unique")</f>
        <v>Unique</v>
      </c>
      <c r="AC192" s="25" t="str">
        <f t="shared" si="8"/>
        <v>Clean</v>
      </c>
    </row>
    <row r="193" spans="1:29" ht="15" customHeight="1">
      <c r="A193" s="23" t="str">
        <f>Raw_Data!A184</f>
        <v>BYJ1183</v>
      </c>
      <c r="B193" s="23" t="str">
        <f>Raw_Data!B184</f>
        <v>Wahab Mani</v>
      </c>
      <c r="C193" s="24">
        <f>IF(OR(Raw_Data!C184="",Raw_Data!C184&lt;$C$5,Raw_Data!C184&gt;$C$6),$C$4,Raw_Data!C184)</f>
        <v>44</v>
      </c>
      <c r="D193" s="23" t="str">
        <f>IF(Raw_Data!C184="","Missing-Imputed",IF(OR(Raw_Data!C184&lt;$C$5,Raw_Data!C184&gt;$C$6),"Outlier-Imputed","Original"))</f>
        <v>Original</v>
      </c>
      <c r="E193" s="23" t="str">
        <f>IF(OR(UPPER(TRIM(Raw_Data!D184))="M",UPPER(TRIM(Raw_Data!D184))="MALE"),"Male","Female")</f>
        <v>Female</v>
      </c>
      <c r="F193" s="23" t="str">
        <f>PROPER(TRIM(Raw_Data!E184))</f>
        <v>Mysore</v>
      </c>
      <c r="G193" s="23" t="str">
        <f>PROPER(TRIM(Raw_Data!F184))</f>
        <v>Gujarat</v>
      </c>
      <c r="H193" s="23" t="str">
        <f>PROPER(TRIM(Raw_Data!G184))</f>
        <v>English</v>
      </c>
      <c r="I193" s="23" t="str">
        <f>PROPER(TRIM(Raw_Data!H184))</f>
        <v>Jaipur Center</v>
      </c>
      <c r="J193" s="24">
        <f>IF(LEN(TRIM(Raw_Data!I184))=4,VALUE(TRIM(Raw_Data!I184)),IF(ISNUMBER(IFERROR(VALUE(MID(TRIM(Raw_Data!I184),1,4)),"NA")),VALUE(MID(TRIM(Raw_Data!I184),1,4)),VALUE(RIGHT(TRIM(Raw_Data!I184),4))))</f>
        <v>2017</v>
      </c>
      <c r="K193" s="23" t="str">
        <f>PROPER(TRIM(Raw_Data!J184))</f>
        <v>Salaried</v>
      </c>
      <c r="L193" s="23" t="str">
        <f t="shared" si="6"/>
        <v>20+</v>
      </c>
      <c r="M193" s="23" t="str">
        <f t="shared" si="7"/>
        <v>Adult Learners</v>
      </c>
      <c r="N193" s="23" t="str">
        <f>IF(ISNUMBER(SEARCH("NON",UPPER(Raw_Data!M184))),"Non-Premium Learner","Premium Learner")</f>
        <v>Non-Premium Learner</v>
      </c>
      <c r="O193" s="23" t="str">
        <f>PROPER(TRIM(Raw_Data!N184))</f>
        <v>Web Only</v>
      </c>
      <c r="P193" s="24">
        <f>IF(Raw_Data!O184="",$C$7,Raw_Data!O184)</f>
        <v>19103.13</v>
      </c>
      <c r="Q193" s="23" t="str">
        <f>IF(Raw_Data!O184="","Missing-Imputed","Original")</f>
        <v>Original</v>
      </c>
      <c r="R193" s="24">
        <f>Raw_Data!P184</f>
        <v>53.3</v>
      </c>
      <c r="S193" s="24">
        <f>Raw_Data!Q184</f>
        <v>45989.61</v>
      </c>
      <c r="T193" s="23" t="str">
        <f>IF(Raw_Data!R184="","Unknown",IF(ISNUMBER(SEARCH("ACT",UPPER(Raw_Data!R184))),"Active",IF(ISNUMBER(SEARCH("CLOS",UPPER(Raw_Data!R184))),"Closed","None")))</f>
        <v>Closed</v>
      </c>
      <c r="U193" s="24">
        <f>IF(Raw_Data!S184="",$C$8,VALUE(Raw_Data!S184))</f>
        <v>529</v>
      </c>
      <c r="V193" s="23" t="str">
        <f>IF(Raw_Data!S184="","Missing-Imputed","Original")</f>
        <v>Original</v>
      </c>
      <c r="W193" s="24">
        <f>Raw_Data!T184</f>
        <v>157</v>
      </c>
      <c r="X193" s="23" t="str">
        <f>IF(ISNUMBER(SEARCH("Y",UPPER(TRIM(Raw_Data!U184)))),"Yes","No")</f>
        <v>No</v>
      </c>
      <c r="Y193" s="23" t="str">
        <f>IF(ISNUMBER(SEARCH("Y",UPPER(TRIM(Raw_Data!V184)))),"Yes","No")</f>
        <v>No</v>
      </c>
      <c r="Z193" s="24">
        <f>Raw_Data!W184</f>
        <v>3</v>
      </c>
      <c r="AA193" s="24">
        <f>Raw_Data!X184</f>
        <v>7.2</v>
      </c>
      <c r="AB193" s="23" t="str">
        <f>IF(COUNTIFS(Raw_Data!$A$2:$A$616,Raw_Data!A184)&gt;1,"Duplicate","Unique")</f>
        <v>Unique</v>
      </c>
      <c r="AC193" s="23" t="str">
        <f t="shared" si="8"/>
        <v>Clean</v>
      </c>
    </row>
    <row r="194" spans="1:29" ht="15" customHeight="1">
      <c r="A194" s="25" t="str">
        <f>Raw_Data!A185</f>
        <v>BYJ1184</v>
      </c>
      <c r="B194" s="25" t="str">
        <f>Raw_Data!B185</f>
        <v>Guneet Chaudhry</v>
      </c>
      <c r="C194" s="26">
        <f>IF(OR(Raw_Data!C185="",Raw_Data!C185&lt;$C$5,Raw_Data!C185&gt;$C$6),$C$4,Raw_Data!C185)</f>
        <v>7</v>
      </c>
      <c r="D194" s="25" t="str">
        <f>IF(Raw_Data!C185="","Missing-Imputed",IF(OR(Raw_Data!C185&lt;$C$5,Raw_Data!C185&gt;$C$6),"Outlier-Imputed","Original"))</f>
        <v>Original</v>
      </c>
      <c r="E194" s="25" t="str">
        <f>IF(OR(UPPER(TRIM(Raw_Data!D185))="M",UPPER(TRIM(Raw_Data!D185))="MALE"),"Male","Female")</f>
        <v>Male</v>
      </c>
      <c r="F194" s="25" t="str">
        <f>PROPER(TRIM(Raw_Data!E185))</f>
        <v>Rourkela</v>
      </c>
      <c r="G194" s="25" t="str">
        <f>PROPER(TRIM(Raw_Data!F185))</f>
        <v>Rajasthan</v>
      </c>
      <c r="H194" s="25" t="str">
        <f>PROPER(TRIM(Raw_Data!G185))</f>
        <v>Spoken English</v>
      </c>
      <c r="I194" s="25" t="str">
        <f>PROPER(TRIM(Raw_Data!H185))</f>
        <v>Mumbai West</v>
      </c>
      <c r="J194" s="26">
        <f>IF(LEN(TRIM(Raw_Data!I185))=4,VALUE(TRIM(Raw_Data!I185)),IF(ISNUMBER(IFERROR(VALUE(MID(TRIM(Raw_Data!I185),1,4)),"NA")),VALUE(MID(TRIM(Raw_Data!I185),1,4)),VALUE(RIGHT(TRIM(Raw_Data!I185),4))))</f>
        <v>2020</v>
      </c>
      <c r="K194" s="25" t="str">
        <f>PROPER(TRIM(Raw_Data!J185))</f>
        <v>Government Employee</v>
      </c>
      <c r="L194" s="25" t="str">
        <f t="shared" si="6"/>
        <v>Under 10</v>
      </c>
      <c r="M194" s="25" t="str">
        <f t="shared" si="7"/>
        <v>Kids</v>
      </c>
      <c r="N194" s="25" t="str">
        <f>IF(ISNUMBER(SEARCH("NON",UPPER(Raw_Data!M185))),"Non-Premium Learner","Premium Learner")</f>
        <v>Premium Learner</v>
      </c>
      <c r="O194" s="25" t="str">
        <f>PROPER(TRIM(Raw_Data!N185))</f>
        <v>App Only</v>
      </c>
      <c r="P194" s="26">
        <f>IF(Raw_Data!O185="",$C$7,Raw_Data!O185)</f>
        <v>52251.11</v>
      </c>
      <c r="Q194" s="25" t="str">
        <f>IF(Raw_Data!O185="","Missing-Imputed","Original")</f>
        <v>Original</v>
      </c>
      <c r="R194" s="26">
        <f>Raw_Data!P185</f>
        <v>64.400000000000006</v>
      </c>
      <c r="S194" s="26">
        <f>Raw_Data!Q185</f>
        <v>31964.73</v>
      </c>
      <c r="T194" s="25" t="str">
        <f>IF(Raw_Data!R185="","Unknown",IF(ISNUMBER(SEARCH("ACT",UPPER(Raw_Data!R185))),"Active",IF(ISNUMBER(SEARCH("CLOS",UPPER(Raw_Data!R185))),"Closed","None")))</f>
        <v>Closed</v>
      </c>
      <c r="U194" s="26">
        <f>IF(Raw_Data!S185="",$C$8,VALUE(Raw_Data!S185))</f>
        <v>723</v>
      </c>
      <c r="V194" s="25" t="str">
        <f>IF(Raw_Data!S185="","Missing-Imputed","Original")</f>
        <v>Original</v>
      </c>
      <c r="W194" s="26">
        <f>Raw_Data!T185</f>
        <v>62</v>
      </c>
      <c r="X194" s="25" t="str">
        <f>IF(ISNUMBER(SEARCH("Y",UPPER(TRIM(Raw_Data!U185)))),"Yes","No")</f>
        <v>Yes</v>
      </c>
      <c r="Y194" s="25" t="str">
        <f>IF(ISNUMBER(SEARCH("Y",UPPER(TRIM(Raw_Data!V185)))),"Yes","No")</f>
        <v>No</v>
      </c>
      <c r="Z194" s="26">
        <f>Raw_Data!W185</f>
        <v>3</v>
      </c>
      <c r="AA194" s="26">
        <f>Raw_Data!X185</f>
        <v>2.2999999999999998</v>
      </c>
      <c r="AB194" s="25" t="str">
        <f>IF(COUNTIFS(Raw_Data!$A$2:$A$616,Raw_Data!A185)&gt;1,"Duplicate","Unique")</f>
        <v>Unique</v>
      </c>
      <c r="AC194" s="25" t="str">
        <f t="shared" si="8"/>
        <v>Clean</v>
      </c>
    </row>
    <row r="195" spans="1:29" ht="15" customHeight="1">
      <c r="A195" s="23" t="str">
        <f>Raw_Data!A186</f>
        <v>BYJ1185</v>
      </c>
      <c r="B195" s="23" t="str">
        <f>Raw_Data!B186</f>
        <v>Ayush Batra</v>
      </c>
      <c r="C195" s="24">
        <f>IF(OR(Raw_Data!C186="",Raw_Data!C186&lt;$C$5,Raw_Data!C186&gt;$C$6),$C$4,Raw_Data!C186)</f>
        <v>33</v>
      </c>
      <c r="D195" s="23" t="str">
        <f>IF(Raw_Data!C186="","Missing-Imputed",IF(OR(Raw_Data!C186&lt;$C$5,Raw_Data!C186&gt;$C$6),"Outlier-Imputed","Original"))</f>
        <v>Original</v>
      </c>
      <c r="E195" s="23" t="str">
        <f>IF(OR(UPPER(TRIM(Raw_Data!D186))="M",UPPER(TRIM(Raw_Data!D186))="MALE"),"Male","Female")</f>
        <v>Female</v>
      </c>
      <c r="F195" s="23" t="str">
        <f>PROPER(TRIM(Raw_Data!E186))</f>
        <v>Pimpri-Chinchwad</v>
      </c>
      <c r="G195" s="23" t="str">
        <f>PROPER(TRIM(Raw_Data!F186))</f>
        <v>Maharashtra</v>
      </c>
      <c r="H195" s="23" t="str">
        <f>PROPER(TRIM(Raw_Data!G186))</f>
        <v>Mathematics</v>
      </c>
      <c r="I195" s="23" t="str">
        <f>PROPER(TRIM(Raw_Data!H186))</f>
        <v>Lucknow Hub</v>
      </c>
      <c r="J195" s="24">
        <f>IF(LEN(TRIM(Raw_Data!I186))=4,VALUE(TRIM(Raw_Data!I186)),IF(ISNUMBER(IFERROR(VALUE(MID(TRIM(Raw_Data!I186),1,4)),"NA")),VALUE(MID(TRIM(Raw_Data!I186),1,4)),VALUE(RIGHT(TRIM(Raw_Data!I186),4))))</f>
        <v>2023</v>
      </c>
      <c r="K195" s="23" t="str">
        <f>PROPER(TRIM(Raw_Data!J186))</f>
        <v>Homemaker</v>
      </c>
      <c r="L195" s="23" t="str">
        <f t="shared" si="6"/>
        <v>20+</v>
      </c>
      <c r="M195" s="23" t="str">
        <f t="shared" si="7"/>
        <v>Adult Learners</v>
      </c>
      <c r="N195" s="23" t="str">
        <f>IF(ISNUMBER(SEARCH("NON",UPPER(Raw_Data!M186))),"Non-Premium Learner","Premium Learner")</f>
        <v>Non-Premium Learner</v>
      </c>
      <c r="O195" s="23" t="str">
        <f>PROPER(TRIM(Raw_Data!N186))</f>
        <v>App Only</v>
      </c>
      <c r="P195" s="24">
        <f>IF(Raw_Data!O186="",$C$7,Raw_Data!O186)</f>
        <v>49665.18</v>
      </c>
      <c r="Q195" s="23" t="str">
        <f>IF(Raw_Data!O186="","Missing-Imputed","Original")</f>
        <v>Original</v>
      </c>
      <c r="R195" s="24">
        <f>Raw_Data!P186</f>
        <v>49.9</v>
      </c>
      <c r="S195" s="24">
        <f>Raw_Data!Q186</f>
        <v>41130.519999999997</v>
      </c>
      <c r="T195" s="23" t="str">
        <f>IF(Raw_Data!R186="","Unknown",IF(ISNUMBER(SEARCH("ACT",UPPER(Raw_Data!R186))),"Active",IF(ISNUMBER(SEARCH("CLOS",UPPER(Raw_Data!R186))),"Closed","None")))</f>
        <v>None</v>
      </c>
      <c r="U195" s="24">
        <f>IF(Raw_Data!S186="",$C$8,VALUE(Raw_Data!S186))</f>
        <v>635</v>
      </c>
      <c r="V195" s="23" t="str">
        <f>IF(Raw_Data!S186="","Missing-Imputed","Original")</f>
        <v>Original</v>
      </c>
      <c r="W195" s="24">
        <f>Raw_Data!T186</f>
        <v>169</v>
      </c>
      <c r="X195" s="23" t="str">
        <f>IF(ISNUMBER(SEARCH("Y",UPPER(TRIM(Raw_Data!U186)))),"Yes","No")</f>
        <v>Yes</v>
      </c>
      <c r="Y195" s="23" t="str">
        <f>IF(ISNUMBER(SEARCH("Y",UPPER(TRIM(Raw_Data!V186)))),"Yes","No")</f>
        <v>Yes</v>
      </c>
      <c r="Z195" s="24">
        <f>Raw_Data!W186</f>
        <v>5</v>
      </c>
      <c r="AA195" s="24">
        <f>Raw_Data!X186</f>
        <v>8.1999999999999993</v>
      </c>
      <c r="AB195" s="23" t="str">
        <f>IF(COUNTIFS(Raw_Data!$A$2:$A$616,Raw_Data!A186)&gt;1,"Duplicate","Unique")</f>
        <v>Unique</v>
      </c>
      <c r="AC195" s="23" t="str">
        <f t="shared" si="8"/>
        <v>Clean</v>
      </c>
    </row>
    <row r="196" spans="1:29" ht="15" customHeight="1">
      <c r="A196" s="25" t="str">
        <f>Raw_Data!A187</f>
        <v>BYJ1186</v>
      </c>
      <c r="B196" s="25" t="str">
        <f>Raw_Data!B187</f>
        <v>Jagrati Prasad</v>
      </c>
      <c r="C196" s="26">
        <f>IF(OR(Raw_Data!C187="",Raw_Data!C187&lt;$C$5,Raw_Data!C187&gt;$C$6),$C$4,Raw_Data!C187)</f>
        <v>24</v>
      </c>
      <c r="D196" s="25" t="str">
        <f>IF(Raw_Data!C187="","Missing-Imputed",IF(OR(Raw_Data!C187&lt;$C$5,Raw_Data!C187&gt;$C$6),"Outlier-Imputed","Original"))</f>
        <v>Missing-Imputed</v>
      </c>
      <c r="E196" s="25" t="str">
        <f>IF(OR(UPPER(TRIM(Raw_Data!D187))="M",UPPER(TRIM(Raw_Data!D187))="MALE"),"Male","Female")</f>
        <v>Male</v>
      </c>
      <c r="F196" s="25" t="str">
        <f>PROPER(TRIM(Raw_Data!E187))</f>
        <v>Ulhasnagar</v>
      </c>
      <c r="G196" s="25" t="str">
        <f>PROPER(TRIM(Raw_Data!F187))</f>
        <v>Telangana</v>
      </c>
      <c r="H196" s="25" t="str">
        <f>PROPER(TRIM(Raw_Data!G187))</f>
        <v>Robotics</v>
      </c>
      <c r="I196" s="25" t="str">
        <f>PROPER(TRIM(Raw_Data!H187))</f>
        <v>Lucknow Hub</v>
      </c>
      <c r="J196" s="26">
        <f>IF(LEN(TRIM(Raw_Data!I187))=4,VALUE(TRIM(Raw_Data!I187)),IF(ISNUMBER(IFERROR(VALUE(MID(TRIM(Raw_Data!I187),1,4)),"NA")),VALUE(MID(TRIM(Raw_Data!I187),1,4)),VALUE(RIGHT(TRIM(Raw_Data!I187),4))))</f>
        <v>2025</v>
      </c>
      <c r="K196" s="25" t="str">
        <f>PROPER(TRIM(Raw_Data!J187))</f>
        <v>Retired</v>
      </c>
      <c r="L196" s="25" t="str">
        <f t="shared" si="6"/>
        <v>20+</v>
      </c>
      <c r="M196" s="25" t="str">
        <f t="shared" si="7"/>
        <v>Adult Learners</v>
      </c>
      <c r="N196" s="25" t="str">
        <f>IF(ISNUMBER(SEARCH("NON",UPPER(Raw_Data!M187))),"Non-Premium Learner","Premium Learner")</f>
        <v>Non-Premium Learner</v>
      </c>
      <c r="O196" s="25" t="str">
        <f>PROPER(TRIM(Raw_Data!N187))</f>
        <v>Both App &amp; Web</v>
      </c>
      <c r="P196" s="26">
        <f>IF(Raw_Data!O187="",$C$7,Raw_Data!O187)</f>
        <v>49159.77</v>
      </c>
      <c r="Q196" s="25" t="str">
        <f>IF(Raw_Data!O187="","Missing-Imputed","Original")</f>
        <v>Original</v>
      </c>
      <c r="R196" s="26">
        <f>Raw_Data!P187</f>
        <v>37.6</v>
      </c>
      <c r="S196" s="26">
        <f>Raw_Data!Q187</f>
        <v>58954.82</v>
      </c>
      <c r="T196" s="25" t="str">
        <f>IF(Raw_Data!R187="","Unknown",IF(ISNUMBER(SEARCH("ACT",UPPER(Raw_Data!R187))),"Active",IF(ISNUMBER(SEARCH("CLOS",UPPER(Raw_Data!R187))),"Closed","None")))</f>
        <v>Closed</v>
      </c>
      <c r="U196" s="26" t="e">
        <f>IF(Raw_Data!S187="",$C$8,VALUE(Raw_Data!S187))</f>
        <v>#VALUE!</v>
      </c>
      <c r="V196" s="25" t="str">
        <f>IF(Raw_Data!S187="","Missing-Imputed","Original")</f>
        <v>Original</v>
      </c>
      <c r="W196" s="26">
        <f>Raw_Data!T187</f>
        <v>130</v>
      </c>
      <c r="X196" s="25" t="str">
        <f>IF(ISNUMBER(SEARCH("Y",UPPER(TRIM(Raw_Data!U187)))),"Yes","No")</f>
        <v>No</v>
      </c>
      <c r="Y196" s="25" t="str">
        <f>IF(ISNUMBER(SEARCH("Y",UPPER(TRIM(Raw_Data!V187)))),"Yes","No")</f>
        <v>No</v>
      </c>
      <c r="Z196" s="26">
        <f>Raw_Data!W187</f>
        <v>3</v>
      </c>
      <c r="AA196" s="26">
        <f>Raw_Data!X187</f>
        <v>8.1999999999999993</v>
      </c>
      <c r="AB196" s="25" t="str">
        <f>IF(COUNTIFS(Raw_Data!$A$2:$A$616,Raw_Data!A187)&gt;1,"Duplicate","Unique")</f>
        <v>Unique</v>
      </c>
      <c r="AC196" s="25" t="str">
        <f t="shared" si="8"/>
        <v>Imputed</v>
      </c>
    </row>
    <row r="197" spans="1:29" ht="15" customHeight="1">
      <c r="A197" s="23" t="str">
        <f>Raw_Data!A188</f>
        <v>BYJ1187</v>
      </c>
      <c r="B197" s="23" t="str">
        <f>Raw_Data!B188</f>
        <v>Nisha Gole</v>
      </c>
      <c r="C197" s="24">
        <f>IF(OR(Raw_Data!C188="",Raw_Data!C188&lt;$C$5,Raw_Data!C188&gt;$C$6),$C$4,Raw_Data!C188)</f>
        <v>24</v>
      </c>
      <c r="D197" s="23" t="str">
        <f>IF(Raw_Data!C188="","Missing-Imputed",IF(OR(Raw_Data!C188&lt;$C$5,Raw_Data!C188&gt;$C$6),"Outlier-Imputed","Original"))</f>
        <v>Missing-Imputed</v>
      </c>
      <c r="E197" s="23" t="str">
        <f>IF(OR(UPPER(TRIM(Raw_Data!D188))="M",UPPER(TRIM(Raw_Data!D188))="MALE"),"Male","Female")</f>
        <v>Female</v>
      </c>
      <c r="F197" s="23" t="str">
        <f>PROPER(TRIM(Raw_Data!E188))</f>
        <v>Akola</v>
      </c>
      <c r="G197" s="23" t="str">
        <f>PROPER(TRIM(Raw_Data!F188))</f>
        <v>Tamil Nadu</v>
      </c>
      <c r="H197" s="23" t="str">
        <f>PROPER(TRIM(Raw_Data!G188))</f>
        <v>English</v>
      </c>
      <c r="I197" s="23" t="str">
        <f>PROPER(TRIM(Raw_Data!H188))</f>
        <v>Kolkata Main</v>
      </c>
      <c r="J197" s="24">
        <f>IF(LEN(TRIM(Raw_Data!I188))=4,VALUE(TRIM(Raw_Data!I188)),IF(ISNUMBER(IFERROR(VALUE(MID(TRIM(Raw_Data!I188),1,4)),"NA")),VALUE(MID(TRIM(Raw_Data!I188),1,4)),VALUE(RIGHT(TRIM(Raw_Data!I188),4))))</f>
        <v>2025</v>
      </c>
      <c r="K197" s="23" t="str">
        <f>PROPER(TRIM(Raw_Data!J188))</f>
        <v>Retired</v>
      </c>
      <c r="L197" s="23" t="str">
        <f t="shared" si="6"/>
        <v>20+</v>
      </c>
      <c r="M197" s="23" t="str">
        <f t="shared" si="7"/>
        <v>Adult Learners</v>
      </c>
      <c r="N197" s="23" t="str">
        <f>IF(ISNUMBER(SEARCH("NON",UPPER(Raw_Data!M188))),"Non-Premium Learner","Premium Learner")</f>
        <v>Non-Premium Learner</v>
      </c>
      <c r="O197" s="23" t="str">
        <f>PROPER(TRIM(Raw_Data!N188))</f>
        <v>Both App &amp; Web</v>
      </c>
      <c r="P197" s="24">
        <f>IF(Raw_Data!O188="",$C$7,Raw_Data!O188)</f>
        <v>35626.33</v>
      </c>
      <c r="Q197" s="23" t="str">
        <f>IF(Raw_Data!O188="","Missing-Imputed","Original")</f>
        <v>Original</v>
      </c>
      <c r="R197" s="24">
        <f>Raw_Data!P188</f>
        <v>15.4</v>
      </c>
      <c r="S197" s="24">
        <f>Raw_Data!Q188</f>
        <v>33325.29</v>
      </c>
      <c r="T197" s="23" t="str">
        <f>IF(Raw_Data!R188="","Unknown",IF(ISNUMBER(SEARCH("ACT",UPPER(Raw_Data!R188))),"Active",IF(ISNUMBER(SEARCH("CLOS",UPPER(Raw_Data!R188))),"Closed","None")))</f>
        <v>Closed</v>
      </c>
      <c r="U197" s="24">
        <f>IF(Raw_Data!S188="",$C$8,VALUE(Raw_Data!S188))</f>
        <v>457</v>
      </c>
      <c r="V197" s="23" t="str">
        <f>IF(Raw_Data!S188="","Missing-Imputed","Original")</f>
        <v>Original</v>
      </c>
      <c r="W197" s="24">
        <f>Raw_Data!T188</f>
        <v>171</v>
      </c>
      <c r="X197" s="23" t="str">
        <f>IF(ISNUMBER(SEARCH("Y",UPPER(TRIM(Raw_Data!U188)))),"Yes","No")</f>
        <v>Yes</v>
      </c>
      <c r="Y197" s="23" t="str">
        <f>IF(ISNUMBER(SEARCH("Y",UPPER(TRIM(Raw_Data!V188)))),"Yes","No")</f>
        <v>Yes</v>
      </c>
      <c r="Z197" s="24">
        <f>Raw_Data!W188</f>
        <v>1</v>
      </c>
      <c r="AA197" s="24">
        <f>Raw_Data!X188</f>
        <v>1.7</v>
      </c>
      <c r="AB197" s="23" t="str">
        <f>IF(COUNTIFS(Raw_Data!$A$2:$A$616,Raw_Data!A188)&gt;1,"Duplicate","Unique")</f>
        <v>Unique</v>
      </c>
      <c r="AC197" s="23" t="str">
        <f t="shared" si="8"/>
        <v>Imputed</v>
      </c>
    </row>
    <row r="198" spans="1:29" ht="15" customHeight="1">
      <c r="A198" s="25" t="str">
        <f>Raw_Data!A189</f>
        <v>BYJ1188</v>
      </c>
      <c r="B198" s="25" t="str">
        <f>Raw_Data!B189</f>
        <v>Lavanya Khosla</v>
      </c>
      <c r="C198" s="26">
        <f>IF(OR(Raw_Data!C189="",Raw_Data!C189&lt;$C$5,Raw_Data!C189&gt;$C$6),$C$4,Raw_Data!C189)</f>
        <v>14</v>
      </c>
      <c r="D198" s="25" t="str">
        <f>IF(Raw_Data!C189="","Missing-Imputed",IF(OR(Raw_Data!C189&lt;$C$5,Raw_Data!C189&gt;$C$6),"Outlier-Imputed","Original"))</f>
        <v>Original</v>
      </c>
      <c r="E198" s="25" t="str">
        <f>IF(OR(UPPER(TRIM(Raw_Data!D189))="M",UPPER(TRIM(Raw_Data!D189))="MALE"),"Male","Female")</f>
        <v>Male</v>
      </c>
      <c r="F198" s="25" t="str">
        <f>PROPER(TRIM(Raw_Data!E189))</f>
        <v>Ballia</v>
      </c>
      <c r="G198" s="25" t="str">
        <f>PROPER(TRIM(Raw_Data!F189))</f>
        <v>West Bengal</v>
      </c>
      <c r="H198" s="25" t="str">
        <f>PROPER(TRIM(Raw_Data!G189))</f>
        <v>Spoken English</v>
      </c>
      <c r="I198" s="25" t="str">
        <f>PROPER(TRIM(Raw_Data!H189))</f>
        <v>Lucknow Hub</v>
      </c>
      <c r="J198" s="26">
        <f>IF(LEN(TRIM(Raw_Data!I189))=4,VALUE(TRIM(Raw_Data!I189)),IF(ISNUMBER(IFERROR(VALUE(MID(TRIM(Raw_Data!I189),1,4)),"NA")),VALUE(MID(TRIM(Raw_Data!I189),1,4)),VALUE(RIGHT(TRIM(Raw_Data!I189),4))))</f>
        <v>2022</v>
      </c>
      <c r="K198" s="25" t="str">
        <f>PROPER(TRIM(Raw_Data!J189))</f>
        <v>Government Employee</v>
      </c>
      <c r="L198" s="25" t="str">
        <f t="shared" si="6"/>
        <v>14-16</v>
      </c>
      <c r="M198" s="25" t="str">
        <f t="shared" si="7"/>
        <v>Teens</v>
      </c>
      <c r="N198" s="25" t="str">
        <f>IF(ISNUMBER(SEARCH("NON",UPPER(Raw_Data!M189))),"Non-Premium Learner","Premium Learner")</f>
        <v>Non-Premium Learner</v>
      </c>
      <c r="O198" s="25" t="str">
        <f>PROPER(TRIM(Raw_Data!N189))</f>
        <v>Web Only</v>
      </c>
      <c r="P198" s="26">
        <f>IF(Raw_Data!O189="",$C$7,Raw_Data!O189)</f>
        <v>56519.55</v>
      </c>
      <c r="Q198" s="25" t="str">
        <f>IF(Raw_Data!O189="","Missing-Imputed","Original")</f>
        <v>Original</v>
      </c>
      <c r="R198" s="26">
        <f>Raw_Data!P189</f>
        <v>50.3</v>
      </c>
      <c r="S198" s="26">
        <f>Raw_Data!Q189</f>
        <v>34676.31</v>
      </c>
      <c r="T198" s="25" t="str">
        <f>IF(Raw_Data!R189="","Unknown",IF(ISNUMBER(SEARCH("ACT",UPPER(Raw_Data!R189))),"Active",IF(ISNUMBER(SEARCH("CLOS",UPPER(Raw_Data!R189))),"Closed","None")))</f>
        <v>None</v>
      </c>
      <c r="U198" s="26">
        <f>IF(Raw_Data!S189="",$C$8,VALUE(Raw_Data!S189))</f>
        <v>813</v>
      </c>
      <c r="V198" s="25" t="str">
        <f>IF(Raw_Data!S189="","Missing-Imputed","Original")</f>
        <v>Original</v>
      </c>
      <c r="W198" s="26">
        <f>Raw_Data!T189</f>
        <v>139</v>
      </c>
      <c r="X198" s="25" t="str">
        <f>IF(ISNUMBER(SEARCH("Y",UPPER(TRIM(Raw_Data!U189)))),"Yes","No")</f>
        <v>No</v>
      </c>
      <c r="Y198" s="25" t="str">
        <f>IF(ISNUMBER(SEARCH("Y",UPPER(TRIM(Raw_Data!V189)))),"Yes","No")</f>
        <v>Yes</v>
      </c>
      <c r="Z198" s="26">
        <f>Raw_Data!W189</f>
        <v>3</v>
      </c>
      <c r="AA198" s="26">
        <f>Raw_Data!X189</f>
        <v>1.5</v>
      </c>
      <c r="AB198" s="25" t="str">
        <f>IF(COUNTIFS(Raw_Data!$A$2:$A$616,Raw_Data!A189)&gt;1,"Duplicate","Unique")</f>
        <v>Duplicate</v>
      </c>
      <c r="AC198" s="25" t="str">
        <f t="shared" si="8"/>
        <v>Review-Duplicate</v>
      </c>
    </row>
    <row r="199" spans="1:29" ht="15" customHeight="1">
      <c r="A199" s="23" t="str">
        <f>Raw_Data!A190</f>
        <v>BYJ1189</v>
      </c>
      <c r="B199" s="23" t="str">
        <f>Raw_Data!B190</f>
        <v>Vincent Shenoy</v>
      </c>
      <c r="C199" s="24">
        <f>IF(OR(Raw_Data!C190="",Raw_Data!C190&lt;$C$5,Raw_Data!C190&gt;$C$6),$C$4,Raw_Data!C190)</f>
        <v>15</v>
      </c>
      <c r="D199" s="23" t="str">
        <f>IF(Raw_Data!C190="","Missing-Imputed",IF(OR(Raw_Data!C190&lt;$C$5,Raw_Data!C190&gt;$C$6),"Outlier-Imputed","Original"))</f>
        <v>Original</v>
      </c>
      <c r="E199" s="23" t="str">
        <f>IF(OR(UPPER(TRIM(Raw_Data!D190))="M",UPPER(TRIM(Raw_Data!D190))="MALE"),"Male","Female")</f>
        <v>Female</v>
      </c>
      <c r="F199" s="23" t="str">
        <f>PROPER(TRIM(Raw_Data!E190))</f>
        <v>Jaunpur</v>
      </c>
      <c r="G199" s="23" t="str">
        <f>PROPER(TRIM(Raw_Data!F190))</f>
        <v>Uttar Pradesh</v>
      </c>
      <c r="H199" s="23" t="str">
        <f>PROPER(TRIM(Raw_Data!G190))</f>
        <v>Mathematics</v>
      </c>
      <c r="I199" s="23" t="str">
        <f>PROPER(TRIM(Raw_Data!H190))</f>
        <v>Delhi North</v>
      </c>
      <c r="J199" s="24">
        <f>IF(LEN(TRIM(Raw_Data!I190))=4,VALUE(TRIM(Raw_Data!I190)),IF(ISNUMBER(IFERROR(VALUE(MID(TRIM(Raw_Data!I190),1,4)),"NA")),VALUE(MID(TRIM(Raw_Data!I190),1,4)),VALUE(RIGHT(TRIM(Raw_Data!I190),4))))</f>
        <v>2023</v>
      </c>
      <c r="K199" s="23" t="str">
        <f>PROPER(TRIM(Raw_Data!J190))</f>
        <v>Retired</v>
      </c>
      <c r="L199" s="23" t="str">
        <f t="shared" si="6"/>
        <v>14-16</v>
      </c>
      <c r="M199" s="23" t="str">
        <f t="shared" si="7"/>
        <v>Teens</v>
      </c>
      <c r="N199" s="23" t="str">
        <f>IF(ISNUMBER(SEARCH("NON",UPPER(Raw_Data!M190))),"Non-Premium Learner","Premium Learner")</f>
        <v>Non-Premium Learner</v>
      </c>
      <c r="O199" s="23" t="str">
        <f>PROPER(TRIM(Raw_Data!N190))</f>
        <v>Web Only</v>
      </c>
      <c r="P199" s="24">
        <f>IF(Raw_Data!O190="",$C$7,Raw_Data!O190)</f>
        <v>93890.67</v>
      </c>
      <c r="Q199" s="23" t="str">
        <f>IF(Raw_Data!O190="","Missing-Imputed","Original")</f>
        <v>Original</v>
      </c>
      <c r="R199" s="24">
        <f>Raw_Data!P190</f>
        <v>45.1</v>
      </c>
      <c r="S199" s="24">
        <f>Raw_Data!Q190</f>
        <v>647</v>
      </c>
      <c r="T199" s="23" t="str">
        <f>IF(Raw_Data!R190="","Unknown",IF(ISNUMBER(SEARCH("ACT",UPPER(Raw_Data!R190))),"Active",IF(ISNUMBER(SEARCH("CLOS",UPPER(Raw_Data!R190))),"Closed","None")))</f>
        <v>Closed</v>
      </c>
      <c r="U199" s="24">
        <f>IF(Raw_Data!S190="",$C$8,VALUE(Raw_Data!S190))</f>
        <v>780</v>
      </c>
      <c r="V199" s="23" t="str">
        <f>IF(Raw_Data!S190="","Missing-Imputed","Original")</f>
        <v>Original</v>
      </c>
      <c r="W199" s="24">
        <f>Raw_Data!T190</f>
        <v>84</v>
      </c>
      <c r="X199" s="23" t="str">
        <f>IF(ISNUMBER(SEARCH("Y",UPPER(TRIM(Raw_Data!U190)))),"Yes","No")</f>
        <v>No</v>
      </c>
      <c r="Y199" s="23" t="str">
        <f>IF(ISNUMBER(SEARCH("Y",UPPER(TRIM(Raw_Data!V190)))),"Yes","No")</f>
        <v>No</v>
      </c>
      <c r="Z199" s="24">
        <f>Raw_Data!W190</f>
        <v>2</v>
      </c>
      <c r="AA199" s="24">
        <f>Raw_Data!X190</f>
        <v>0.8</v>
      </c>
      <c r="AB199" s="23" t="str">
        <f>IF(COUNTIFS(Raw_Data!$A$2:$A$616,Raw_Data!A190)&gt;1,"Duplicate","Unique")</f>
        <v>Unique</v>
      </c>
      <c r="AC199" s="23" t="str">
        <f t="shared" si="8"/>
        <v>Clean</v>
      </c>
    </row>
    <row r="200" spans="1:29" ht="15" customHeight="1">
      <c r="A200" s="25" t="str">
        <f>Raw_Data!A191</f>
        <v>BYJ1190</v>
      </c>
      <c r="B200" s="25" t="str">
        <f>Raw_Data!B191</f>
        <v>Aditya Shroff</v>
      </c>
      <c r="C200" s="26">
        <f>IF(OR(Raw_Data!C191="",Raw_Data!C191&lt;$C$5,Raw_Data!C191&gt;$C$6),$C$4,Raw_Data!C191)</f>
        <v>42</v>
      </c>
      <c r="D200" s="25" t="str">
        <f>IF(Raw_Data!C191="","Missing-Imputed",IF(OR(Raw_Data!C191&lt;$C$5,Raw_Data!C191&gt;$C$6),"Outlier-Imputed","Original"))</f>
        <v>Original</v>
      </c>
      <c r="E200" s="25" t="str">
        <f>IF(OR(UPPER(TRIM(Raw_Data!D191))="M",UPPER(TRIM(Raw_Data!D191))="MALE"),"Male","Female")</f>
        <v>Female</v>
      </c>
      <c r="F200" s="25" t="str">
        <f>PROPER(TRIM(Raw_Data!E191))</f>
        <v>Bongaigaon</v>
      </c>
      <c r="G200" s="25" t="str">
        <f>PROPER(TRIM(Raw_Data!F191))</f>
        <v>Kerala</v>
      </c>
      <c r="H200" s="25" t="str">
        <f>PROPER(TRIM(Raw_Data!G191))</f>
        <v>Science</v>
      </c>
      <c r="I200" s="25" t="str">
        <f>PROPER(TRIM(Raw_Data!H191))</f>
        <v>Lucknow Hub</v>
      </c>
      <c r="J200" s="26">
        <f>IF(LEN(TRIM(Raw_Data!I191))=4,VALUE(TRIM(Raw_Data!I191)),IF(ISNUMBER(IFERROR(VALUE(MID(TRIM(Raw_Data!I191),1,4)),"NA")),VALUE(MID(TRIM(Raw_Data!I191),1,4)),VALUE(RIGHT(TRIM(Raw_Data!I191),4))))</f>
        <v>2016</v>
      </c>
      <c r="K200" s="25" t="str">
        <f>PROPER(TRIM(Raw_Data!J191))</f>
        <v>Homemaker</v>
      </c>
      <c r="L200" s="25" t="str">
        <f t="shared" si="6"/>
        <v>20+</v>
      </c>
      <c r="M200" s="25" t="str">
        <f t="shared" si="7"/>
        <v>Adult Learners</v>
      </c>
      <c r="N200" s="25" t="str">
        <f>IF(ISNUMBER(SEARCH("NON",UPPER(Raw_Data!M191))),"Non-Premium Learner","Premium Learner")</f>
        <v>Non-Premium Learner</v>
      </c>
      <c r="O200" s="25" t="str">
        <f>PROPER(TRIM(Raw_Data!N191))</f>
        <v>App Only</v>
      </c>
      <c r="P200" s="26">
        <f>IF(Raw_Data!O191="",$C$7,Raw_Data!O191)</f>
        <v>128459.56</v>
      </c>
      <c r="Q200" s="25" t="str">
        <f>IF(Raw_Data!O191="","Missing-Imputed","Original")</f>
        <v>Original</v>
      </c>
      <c r="R200" s="26">
        <f>Raw_Data!P191</f>
        <v>14.9</v>
      </c>
      <c r="S200" s="26">
        <f>Raw_Data!Q191</f>
        <v>16858.32</v>
      </c>
      <c r="T200" s="25" t="str">
        <f>IF(Raw_Data!R191="","Unknown",IF(ISNUMBER(SEARCH("ACT",UPPER(Raw_Data!R191))),"Active",IF(ISNUMBER(SEARCH("CLOS",UPPER(Raw_Data!R191))),"Closed","None")))</f>
        <v>Closed</v>
      </c>
      <c r="U200" s="26">
        <f>IF(Raw_Data!S191="",$C$8,VALUE(Raw_Data!S191))</f>
        <v>414</v>
      </c>
      <c r="V200" s="25" t="str">
        <f>IF(Raw_Data!S191="","Missing-Imputed","Original")</f>
        <v>Original</v>
      </c>
      <c r="W200" s="26">
        <f>Raw_Data!T191</f>
        <v>151</v>
      </c>
      <c r="X200" s="25" t="str">
        <f>IF(ISNUMBER(SEARCH("Y",UPPER(TRIM(Raw_Data!U191)))),"Yes","No")</f>
        <v>Yes</v>
      </c>
      <c r="Y200" s="25" t="str">
        <f>IF(ISNUMBER(SEARCH("Y",UPPER(TRIM(Raw_Data!V191)))),"Yes","No")</f>
        <v>No</v>
      </c>
      <c r="Z200" s="26">
        <f>Raw_Data!W191</f>
        <v>3</v>
      </c>
      <c r="AA200" s="26">
        <f>Raw_Data!X191</f>
        <v>7.2</v>
      </c>
      <c r="AB200" s="25" t="str">
        <f>IF(COUNTIFS(Raw_Data!$A$2:$A$616,Raw_Data!A191)&gt;1,"Duplicate","Unique")</f>
        <v>Unique</v>
      </c>
      <c r="AC200" s="25" t="str">
        <f t="shared" si="8"/>
        <v>Clean</v>
      </c>
    </row>
    <row r="201" spans="1:29" ht="15" customHeight="1">
      <c r="A201" s="23" t="str">
        <f>Raw_Data!A192</f>
        <v>BYJ1191</v>
      </c>
      <c r="B201" s="23" t="str">
        <f>Raw_Data!B192</f>
        <v>Ethan Sathe</v>
      </c>
      <c r="C201" s="24">
        <f>IF(OR(Raw_Data!C192="",Raw_Data!C192&lt;$C$5,Raw_Data!C192&gt;$C$6),$C$4,Raw_Data!C192)</f>
        <v>39</v>
      </c>
      <c r="D201" s="23" t="str">
        <f>IF(Raw_Data!C192="","Missing-Imputed",IF(OR(Raw_Data!C192&lt;$C$5,Raw_Data!C192&gt;$C$6),"Outlier-Imputed","Original"))</f>
        <v>Original</v>
      </c>
      <c r="E201" s="23" t="str">
        <f>IF(OR(UPPER(TRIM(Raw_Data!D192))="M",UPPER(TRIM(Raw_Data!D192))="MALE"),"Male","Female")</f>
        <v>Male</v>
      </c>
      <c r="F201" s="23" t="str">
        <f>PROPER(TRIM(Raw_Data!E192))</f>
        <v>Dharmavaram</v>
      </c>
      <c r="G201" s="23" t="str">
        <f>PROPER(TRIM(Raw_Data!F192))</f>
        <v>Maharashtra</v>
      </c>
      <c r="H201" s="23" t="str">
        <f>PROPER(TRIM(Raw_Data!G192))</f>
        <v>Science</v>
      </c>
      <c r="I201" s="23" t="str">
        <f>PROPER(TRIM(Raw_Data!H192))</f>
        <v>Ahmedabad Center</v>
      </c>
      <c r="J201" s="24">
        <f>IF(LEN(TRIM(Raw_Data!I192))=4,VALUE(TRIM(Raw_Data!I192)),IF(ISNUMBER(IFERROR(VALUE(MID(TRIM(Raw_Data!I192),1,4)),"NA")),VALUE(MID(TRIM(Raw_Data!I192),1,4)),VALUE(RIGHT(TRIM(Raw_Data!I192),4))))</f>
        <v>2022</v>
      </c>
      <c r="K201" s="23" t="str">
        <f>PROPER(TRIM(Raw_Data!J192))</f>
        <v>Retired</v>
      </c>
      <c r="L201" s="23" t="str">
        <f t="shared" si="6"/>
        <v>20+</v>
      </c>
      <c r="M201" s="23" t="str">
        <f t="shared" si="7"/>
        <v>Adult Learners</v>
      </c>
      <c r="N201" s="23" t="str">
        <f>IF(ISNUMBER(SEARCH("NON",UPPER(Raw_Data!M192))),"Non-Premium Learner","Premium Learner")</f>
        <v>Non-Premium Learner</v>
      </c>
      <c r="O201" s="23" t="str">
        <f>PROPER(TRIM(Raw_Data!N192))</f>
        <v>Both App &amp; Web</v>
      </c>
      <c r="P201" s="24">
        <f>IF(Raw_Data!O192="",$C$7,Raw_Data!O192)</f>
        <v>127065.79</v>
      </c>
      <c r="Q201" s="23" t="str">
        <f>IF(Raw_Data!O192="","Missing-Imputed","Original")</f>
        <v>Original</v>
      </c>
      <c r="R201" s="24">
        <f>Raw_Data!P192</f>
        <v>24.8</v>
      </c>
      <c r="S201" s="24">
        <f>Raw_Data!Q192</f>
        <v>49171.86</v>
      </c>
      <c r="T201" s="23" t="str">
        <f>IF(Raw_Data!R192="","Unknown",IF(ISNUMBER(SEARCH("ACT",UPPER(Raw_Data!R192))),"Active",IF(ISNUMBER(SEARCH("CLOS",UPPER(Raw_Data!R192))),"Closed","None")))</f>
        <v>Active</v>
      </c>
      <c r="U201" s="24">
        <f>IF(Raw_Data!S192="",$C$8,VALUE(Raw_Data!S192))</f>
        <v>775</v>
      </c>
      <c r="V201" s="23" t="str">
        <f>IF(Raw_Data!S192="","Missing-Imputed","Original")</f>
        <v>Original</v>
      </c>
      <c r="W201" s="24">
        <f>Raw_Data!T192</f>
        <v>77</v>
      </c>
      <c r="X201" s="23" t="str">
        <f>IF(ISNUMBER(SEARCH("Y",UPPER(TRIM(Raw_Data!U192)))),"Yes","No")</f>
        <v>No</v>
      </c>
      <c r="Y201" s="23" t="str">
        <f>IF(ISNUMBER(SEARCH("Y",UPPER(TRIM(Raw_Data!V192)))),"Yes","No")</f>
        <v>No</v>
      </c>
      <c r="Z201" s="24">
        <f>Raw_Data!W192</f>
        <v>4</v>
      </c>
      <c r="AA201" s="24">
        <f>Raw_Data!X192</f>
        <v>2.7</v>
      </c>
      <c r="AB201" s="23" t="str">
        <f>IF(COUNTIFS(Raw_Data!$A$2:$A$616,Raw_Data!A192)&gt;1,"Duplicate","Unique")</f>
        <v>Unique</v>
      </c>
      <c r="AC201" s="23" t="str">
        <f t="shared" si="8"/>
        <v>Clean</v>
      </c>
    </row>
    <row r="202" spans="1:29" ht="15" customHeight="1">
      <c r="A202" s="25" t="str">
        <f>Raw_Data!A193</f>
        <v>BYJ1192</v>
      </c>
      <c r="B202" s="25" t="str">
        <f>Raw_Data!B193</f>
        <v>Panini Krishna</v>
      </c>
      <c r="C202" s="26">
        <f>IF(OR(Raw_Data!C193="",Raw_Data!C193&lt;$C$5,Raw_Data!C193&gt;$C$6),$C$4,Raw_Data!C193)</f>
        <v>24</v>
      </c>
      <c r="D202" s="25" t="str">
        <f>IF(Raw_Data!C193="","Missing-Imputed",IF(OR(Raw_Data!C193&lt;$C$5,Raw_Data!C193&gt;$C$6),"Outlier-Imputed","Original"))</f>
        <v>Original</v>
      </c>
      <c r="E202" s="25" t="str">
        <f>IF(OR(UPPER(TRIM(Raw_Data!D193))="M",UPPER(TRIM(Raw_Data!D193))="MALE"),"Male","Female")</f>
        <v>Female</v>
      </c>
      <c r="F202" s="25" t="str">
        <f>PROPER(TRIM(Raw_Data!E193))</f>
        <v>Barasat</v>
      </c>
      <c r="G202" s="25" t="str">
        <f>PROPER(TRIM(Raw_Data!F193))</f>
        <v>Uttar Pradesh</v>
      </c>
      <c r="H202" s="25" t="str">
        <f>PROPER(TRIM(Raw_Data!G193))</f>
        <v>Coding</v>
      </c>
      <c r="I202" s="25" t="str">
        <f>PROPER(TRIM(Raw_Data!H193))</f>
        <v>Bengaluru South</v>
      </c>
      <c r="J202" s="26">
        <f>IF(LEN(TRIM(Raw_Data!I193))=4,VALUE(TRIM(Raw_Data!I193)),IF(ISNUMBER(IFERROR(VALUE(MID(TRIM(Raw_Data!I193),1,4)),"NA")),VALUE(MID(TRIM(Raw_Data!I193),1,4)),VALUE(RIGHT(TRIM(Raw_Data!I193),4))))</f>
        <v>2024</v>
      </c>
      <c r="K202" s="25" t="str">
        <f>PROPER(TRIM(Raw_Data!J193))</f>
        <v>Government Employee</v>
      </c>
      <c r="L202" s="25" t="str">
        <f t="shared" si="6"/>
        <v>20+</v>
      </c>
      <c r="M202" s="25" t="str">
        <f t="shared" si="7"/>
        <v>Adult Learners</v>
      </c>
      <c r="N202" s="25" t="str">
        <f>IF(ISNUMBER(SEARCH("NON",UPPER(Raw_Data!M193))),"Non-Premium Learner","Premium Learner")</f>
        <v>Non-Premium Learner</v>
      </c>
      <c r="O202" s="25" t="str">
        <f>PROPER(TRIM(Raw_Data!N193))</f>
        <v>Web Only</v>
      </c>
      <c r="P202" s="26">
        <f>IF(Raw_Data!O193="",$C$7,Raw_Data!O193)</f>
        <v>44197.29</v>
      </c>
      <c r="Q202" s="25" t="str">
        <f>IF(Raw_Data!O193="","Missing-Imputed","Original")</f>
        <v>Original</v>
      </c>
      <c r="R202" s="26">
        <f>Raw_Data!P193</f>
        <v>24.2</v>
      </c>
      <c r="S202" s="26">
        <f>Raw_Data!Q193</f>
        <v>35050.61</v>
      </c>
      <c r="T202" s="25" t="str">
        <f>IF(Raw_Data!R193="","Unknown",IF(ISNUMBER(SEARCH("ACT",UPPER(Raw_Data!R193))),"Active",IF(ISNUMBER(SEARCH("CLOS",UPPER(Raw_Data!R193))),"Closed","None")))</f>
        <v>Closed</v>
      </c>
      <c r="U202" s="26">
        <f>IF(Raw_Data!S193="",$C$8,VALUE(Raw_Data!S193))</f>
        <v>547</v>
      </c>
      <c r="V202" s="25" t="str">
        <f>IF(Raw_Data!S193="","Missing-Imputed","Original")</f>
        <v>Original</v>
      </c>
      <c r="W202" s="26">
        <f>Raw_Data!T193</f>
        <v>150</v>
      </c>
      <c r="X202" s="25" t="str">
        <f>IF(ISNUMBER(SEARCH("Y",UPPER(TRIM(Raw_Data!U193)))),"Yes","No")</f>
        <v>Yes</v>
      </c>
      <c r="Y202" s="25" t="str">
        <f>IF(ISNUMBER(SEARCH("Y",UPPER(TRIM(Raw_Data!V193)))),"Yes","No")</f>
        <v>Yes</v>
      </c>
      <c r="Z202" s="26">
        <f>Raw_Data!W193</f>
        <v>5</v>
      </c>
      <c r="AA202" s="26">
        <f>Raw_Data!X193</f>
        <v>0.6</v>
      </c>
      <c r="AB202" s="25" t="str">
        <f>IF(COUNTIFS(Raw_Data!$A$2:$A$616,Raw_Data!A193)&gt;1,"Duplicate","Unique")</f>
        <v>Unique</v>
      </c>
      <c r="AC202" s="25" t="str">
        <f t="shared" si="8"/>
        <v>Clean</v>
      </c>
    </row>
    <row r="203" spans="1:29" ht="15" customHeight="1">
      <c r="A203" s="23" t="str">
        <f>Raw_Data!A194</f>
        <v>BYJ1193</v>
      </c>
      <c r="B203" s="23" t="str">
        <f>Raw_Data!B194</f>
        <v xml:space="preserve">  Leena Subramanian  </v>
      </c>
      <c r="C203" s="24">
        <f>IF(OR(Raw_Data!C194="",Raw_Data!C194&lt;$C$5,Raw_Data!C194&gt;$C$6),$C$4,Raw_Data!C194)</f>
        <v>32</v>
      </c>
      <c r="D203" s="23" t="str">
        <f>IF(Raw_Data!C194="","Missing-Imputed",IF(OR(Raw_Data!C194&lt;$C$5,Raw_Data!C194&gt;$C$6),"Outlier-Imputed","Original"))</f>
        <v>Original</v>
      </c>
      <c r="E203" s="23" t="str">
        <f>IF(OR(UPPER(TRIM(Raw_Data!D194))="M",UPPER(TRIM(Raw_Data!D194))="MALE"),"Male","Female")</f>
        <v>Male</v>
      </c>
      <c r="F203" s="23" t="str">
        <f>PROPER(TRIM(Raw_Data!E194))</f>
        <v>Patiala</v>
      </c>
      <c r="G203" s="23" t="str">
        <f>PROPER(TRIM(Raw_Data!F194))</f>
        <v>Rajasthan</v>
      </c>
      <c r="H203" s="23" t="str">
        <f>PROPER(TRIM(Raw_Data!G194))</f>
        <v>Neet Prep</v>
      </c>
      <c r="I203" s="23" t="str">
        <f>PROPER(TRIM(Raw_Data!H194))</f>
        <v>Delhi North</v>
      </c>
      <c r="J203" s="24">
        <f>IF(LEN(TRIM(Raw_Data!I194))=4,VALUE(TRIM(Raw_Data!I194)),IF(ISNUMBER(IFERROR(VALUE(MID(TRIM(Raw_Data!I194),1,4)),"NA")),VALUE(MID(TRIM(Raw_Data!I194),1,4)),VALUE(RIGHT(TRIM(Raw_Data!I194),4))))</f>
        <v>2020</v>
      </c>
      <c r="K203" s="23" t="str">
        <f>PROPER(TRIM(Raw_Data!J194))</f>
        <v>Salaried</v>
      </c>
      <c r="L203" s="23" t="str">
        <f t="shared" ref="L203:L266" si="9">IF(C203&lt;10,"Under 10",IF(C203&lt;=13,"10-13",IF(C203&lt;=16,"14-16",IF(C203&lt;=19,"17-19","20+"))))</f>
        <v>20+</v>
      </c>
      <c r="M203" s="23" t="str">
        <f t="shared" ref="M203:M266" si="10">IF(OR(L203="Under 10",L203="10-13"),"Kids",IF(OR(L203="14-16",L203="17-19"),"Teens","Adult Learners"))</f>
        <v>Adult Learners</v>
      </c>
      <c r="N203" s="23" t="str">
        <f>IF(ISNUMBER(SEARCH("NON",UPPER(Raw_Data!M194))),"Non-Premium Learner","Premium Learner")</f>
        <v>Non-Premium Learner</v>
      </c>
      <c r="O203" s="23" t="str">
        <f>PROPER(TRIM(Raw_Data!N194))</f>
        <v>Both App &amp; Web</v>
      </c>
      <c r="P203" s="24">
        <f>IF(Raw_Data!O194="",$C$7,Raw_Data!O194)</f>
        <v>100207.8</v>
      </c>
      <c r="Q203" s="23" t="str">
        <f>IF(Raw_Data!O194="","Missing-Imputed","Original")</f>
        <v>Original</v>
      </c>
      <c r="R203" s="24">
        <f>Raw_Data!P194</f>
        <v>76.3</v>
      </c>
      <c r="S203" s="24">
        <f>Raw_Data!Q194</f>
        <v>38284.97</v>
      </c>
      <c r="T203" s="23" t="str">
        <f>IF(Raw_Data!R194="","Unknown",IF(ISNUMBER(SEARCH("ACT",UPPER(Raw_Data!R194))),"Active",IF(ISNUMBER(SEARCH("CLOS",UPPER(Raw_Data!R194))),"Closed","None")))</f>
        <v>None</v>
      </c>
      <c r="U203" s="24">
        <f>IF(Raw_Data!S194="",$C$8,VALUE(Raw_Data!S194))</f>
        <v>388</v>
      </c>
      <c r="V203" s="23" t="str">
        <f>IF(Raw_Data!S194="","Missing-Imputed","Original")</f>
        <v>Original</v>
      </c>
      <c r="W203" s="24">
        <f>Raw_Data!T194</f>
        <v>33</v>
      </c>
      <c r="X203" s="23" t="str">
        <f>IF(ISNUMBER(SEARCH("Y",UPPER(TRIM(Raw_Data!U194)))),"Yes","No")</f>
        <v>No</v>
      </c>
      <c r="Y203" s="23" t="str">
        <f>IF(ISNUMBER(SEARCH("Y",UPPER(TRIM(Raw_Data!V194)))),"Yes","No")</f>
        <v>Yes</v>
      </c>
      <c r="Z203" s="24">
        <f>Raw_Data!W194</f>
        <v>3</v>
      </c>
      <c r="AA203" s="24">
        <f>Raw_Data!X194</f>
        <v>3</v>
      </c>
      <c r="AB203" s="23" t="str">
        <f>IF(COUNTIFS(Raw_Data!$A$2:$A$616,Raw_Data!A194)&gt;1,"Duplicate","Unique")</f>
        <v>Unique</v>
      </c>
      <c r="AC203" s="23" t="str">
        <f t="shared" ref="AC203:AC266" si="11">IF(AB203="Duplicate","Review-Duplicate",IF(OR(D203&lt;&gt;"Original",Q203&lt;&gt;"Original",V203&lt;&gt;"Original"),"Imputed","Clean"))</f>
        <v>Clean</v>
      </c>
    </row>
    <row r="204" spans="1:29" ht="15" customHeight="1">
      <c r="A204" s="25" t="str">
        <f>Raw_Data!A195</f>
        <v>BYJ1194</v>
      </c>
      <c r="B204" s="25" t="str">
        <f>Raw_Data!B195</f>
        <v>Jagrati Merchant</v>
      </c>
      <c r="C204" s="26">
        <f>IF(OR(Raw_Data!C195="",Raw_Data!C195&lt;$C$5,Raw_Data!C195&gt;$C$6),$C$4,Raw_Data!C195)</f>
        <v>35</v>
      </c>
      <c r="D204" s="25" t="str">
        <f>IF(Raw_Data!C195="","Missing-Imputed",IF(OR(Raw_Data!C195&lt;$C$5,Raw_Data!C195&gt;$C$6),"Outlier-Imputed","Original"))</f>
        <v>Original</v>
      </c>
      <c r="E204" s="25" t="str">
        <f>IF(OR(UPPER(TRIM(Raw_Data!D195))="M",UPPER(TRIM(Raw_Data!D195))="MALE"),"Male","Female")</f>
        <v>Female</v>
      </c>
      <c r="F204" s="25" t="str">
        <f>PROPER(TRIM(Raw_Data!E195))</f>
        <v>Lucknow</v>
      </c>
      <c r="G204" s="25" t="str">
        <f>PROPER(TRIM(Raw_Data!F195))</f>
        <v>Gujarat</v>
      </c>
      <c r="H204" s="25" t="str">
        <f>PROPER(TRIM(Raw_Data!G195))</f>
        <v>Jee Prep</v>
      </c>
      <c r="I204" s="25" t="str">
        <f>PROPER(TRIM(Raw_Data!H195))</f>
        <v>Mumbai West</v>
      </c>
      <c r="J204" s="26">
        <f>IF(LEN(TRIM(Raw_Data!I195))=4,VALUE(TRIM(Raw_Data!I195)),IF(ISNUMBER(IFERROR(VALUE(MID(TRIM(Raw_Data!I195),1,4)),"NA")),VALUE(MID(TRIM(Raw_Data!I195),1,4)),VALUE(RIGHT(TRIM(Raw_Data!I195),4))))</f>
        <v>2017</v>
      </c>
      <c r="K204" s="25" t="str">
        <f>PROPER(TRIM(Raw_Data!J195))</f>
        <v>Self-Employed</v>
      </c>
      <c r="L204" s="25" t="str">
        <f t="shared" si="9"/>
        <v>20+</v>
      </c>
      <c r="M204" s="25" t="str">
        <f t="shared" si="10"/>
        <v>Adult Learners</v>
      </c>
      <c r="N204" s="25" t="str">
        <f>IF(ISNUMBER(SEARCH("NON",UPPER(Raw_Data!M195))),"Non-Premium Learner","Premium Learner")</f>
        <v>Non-Premium Learner</v>
      </c>
      <c r="O204" s="25" t="str">
        <f>PROPER(TRIM(Raw_Data!N195))</f>
        <v>Web Only</v>
      </c>
      <c r="P204" s="26">
        <f>IF(Raw_Data!O195="",$C$7,Raw_Data!O195)</f>
        <v>143562.82999999999</v>
      </c>
      <c r="Q204" s="25" t="str">
        <f>IF(Raw_Data!O195="","Missing-Imputed","Original")</f>
        <v>Original</v>
      </c>
      <c r="R204" s="26">
        <f>Raw_Data!P195</f>
        <v>38</v>
      </c>
      <c r="S204" s="26">
        <f>Raw_Data!Q195</f>
        <v>29503.31</v>
      </c>
      <c r="T204" s="25" t="str">
        <f>IF(Raw_Data!R195="","Unknown",IF(ISNUMBER(SEARCH("ACT",UPPER(Raw_Data!R195))),"Active",IF(ISNUMBER(SEARCH("CLOS",UPPER(Raw_Data!R195))),"Closed","None")))</f>
        <v>Active</v>
      </c>
      <c r="U204" s="26">
        <f>IF(Raw_Data!S195="",$C$8,VALUE(Raw_Data!S195))</f>
        <v>482</v>
      </c>
      <c r="V204" s="25" t="str">
        <f>IF(Raw_Data!S195="","Missing-Imputed","Original")</f>
        <v>Original</v>
      </c>
      <c r="W204" s="26">
        <f>Raw_Data!T195</f>
        <v>27</v>
      </c>
      <c r="X204" s="25" t="str">
        <f>IF(ISNUMBER(SEARCH("Y",UPPER(TRIM(Raw_Data!U195)))),"Yes","No")</f>
        <v>Yes</v>
      </c>
      <c r="Y204" s="25" t="str">
        <f>IF(ISNUMBER(SEARCH("Y",UPPER(TRIM(Raw_Data!V195)))),"Yes","No")</f>
        <v>Yes</v>
      </c>
      <c r="Z204" s="26">
        <f>Raw_Data!W195</f>
        <v>4</v>
      </c>
      <c r="AA204" s="26">
        <f>Raw_Data!X195</f>
        <v>6.6</v>
      </c>
      <c r="AB204" s="25" t="str">
        <f>IF(COUNTIFS(Raw_Data!$A$2:$A$616,Raw_Data!A195)&gt;1,"Duplicate","Unique")</f>
        <v>Unique</v>
      </c>
      <c r="AC204" s="25" t="str">
        <f t="shared" si="11"/>
        <v>Clean</v>
      </c>
    </row>
    <row r="205" spans="1:29" ht="15" customHeight="1">
      <c r="A205" s="23" t="str">
        <f>Raw_Data!A196</f>
        <v>BYJ1195</v>
      </c>
      <c r="B205" s="23" t="str">
        <f>Raw_Data!B196</f>
        <v>Anvi Anand</v>
      </c>
      <c r="C205" s="24">
        <f>IF(OR(Raw_Data!C196="",Raw_Data!C196&lt;$C$5,Raw_Data!C196&gt;$C$6),$C$4,Raw_Data!C196)</f>
        <v>42</v>
      </c>
      <c r="D205" s="23" t="str">
        <f>IF(Raw_Data!C196="","Missing-Imputed",IF(OR(Raw_Data!C196&lt;$C$5,Raw_Data!C196&gt;$C$6),"Outlier-Imputed","Original"))</f>
        <v>Original</v>
      </c>
      <c r="E205" s="23" t="str">
        <f>IF(OR(UPPER(TRIM(Raw_Data!D196))="M",UPPER(TRIM(Raw_Data!D196))="MALE"),"Male","Female")</f>
        <v>Female</v>
      </c>
      <c r="F205" s="23" t="str">
        <f>PROPER(TRIM(Raw_Data!E196))</f>
        <v>Medininagar</v>
      </c>
      <c r="G205" s="23" t="str">
        <f>PROPER(TRIM(Raw_Data!F196))</f>
        <v>Rajasthan</v>
      </c>
      <c r="H205" s="23" t="str">
        <f>PROPER(TRIM(Raw_Data!G196))</f>
        <v>Science</v>
      </c>
      <c r="I205" s="23" t="str">
        <f>PROPER(TRIM(Raw_Data!H196))</f>
        <v>Chennai Central</v>
      </c>
      <c r="J205" s="24">
        <f>IF(LEN(TRIM(Raw_Data!I196))=4,VALUE(TRIM(Raw_Data!I196)),IF(ISNUMBER(IFERROR(VALUE(MID(TRIM(Raw_Data!I196),1,4)),"NA")),VALUE(MID(TRIM(Raw_Data!I196),1,4)),VALUE(RIGHT(TRIM(Raw_Data!I196),4))))</f>
        <v>46035</v>
      </c>
      <c r="K205" s="23" t="str">
        <f>PROPER(TRIM(Raw_Data!J196))</f>
        <v>Business</v>
      </c>
      <c r="L205" s="23" t="str">
        <f t="shared" si="9"/>
        <v>20+</v>
      </c>
      <c r="M205" s="23" t="str">
        <f t="shared" si="10"/>
        <v>Adult Learners</v>
      </c>
      <c r="N205" s="23" t="str">
        <f>IF(ISNUMBER(SEARCH("NON",UPPER(Raw_Data!M196))),"Non-Premium Learner","Premium Learner")</f>
        <v>Non-Premium Learner</v>
      </c>
      <c r="O205" s="23" t="str">
        <f>PROPER(TRIM(Raw_Data!N196))</f>
        <v>Both App &amp; Web</v>
      </c>
      <c r="P205" s="24">
        <f>IF(Raw_Data!O196="",$C$7,Raw_Data!O196)</f>
        <v>5537.04</v>
      </c>
      <c r="Q205" s="23" t="str">
        <f>IF(Raw_Data!O196="","Missing-Imputed","Original")</f>
        <v>Original</v>
      </c>
      <c r="R205" s="24">
        <f>Raw_Data!P196</f>
        <v>62.8</v>
      </c>
      <c r="S205" s="24">
        <f>Raw_Data!Q196</f>
        <v>28688.37</v>
      </c>
      <c r="T205" s="23" t="str">
        <f>IF(Raw_Data!R196="","Unknown",IF(ISNUMBER(SEARCH("ACT",UPPER(Raw_Data!R196))),"Active",IF(ISNUMBER(SEARCH("CLOS",UPPER(Raw_Data!R196))),"Closed","None")))</f>
        <v>Closed</v>
      </c>
      <c r="U205" s="24">
        <f>IF(Raw_Data!S196="",$C$8,VALUE(Raw_Data!S196))</f>
        <v>371</v>
      </c>
      <c r="V205" s="23" t="str">
        <f>IF(Raw_Data!S196="","Missing-Imputed","Original")</f>
        <v>Original</v>
      </c>
      <c r="W205" s="24">
        <f>Raw_Data!T196</f>
        <v>0</v>
      </c>
      <c r="X205" s="23" t="str">
        <f>IF(ISNUMBER(SEARCH("Y",UPPER(TRIM(Raw_Data!U196)))),"Yes","No")</f>
        <v>No</v>
      </c>
      <c r="Y205" s="23" t="str">
        <f>IF(ISNUMBER(SEARCH("Y",UPPER(TRIM(Raw_Data!V196)))),"Yes","No")</f>
        <v>Yes</v>
      </c>
      <c r="Z205" s="24">
        <f>Raw_Data!W196</f>
        <v>3</v>
      </c>
      <c r="AA205" s="24">
        <f>Raw_Data!X196</f>
        <v>6.3</v>
      </c>
      <c r="AB205" s="23" t="str">
        <f>IF(COUNTIFS(Raw_Data!$A$2:$A$616,Raw_Data!A196)&gt;1,"Duplicate","Unique")</f>
        <v>Unique</v>
      </c>
      <c r="AC205" s="23" t="str">
        <f t="shared" si="11"/>
        <v>Clean</v>
      </c>
    </row>
    <row r="206" spans="1:29" ht="15" customHeight="1">
      <c r="A206" s="25" t="str">
        <f>Raw_Data!A197</f>
        <v>BYJ1196</v>
      </c>
      <c r="B206" s="25" t="str">
        <f>Raw_Data!B197</f>
        <v>Bhavini Karpe</v>
      </c>
      <c r="C206" s="26">
        <f>IF(OR(Raw_Data!C197="",Raw_Data!C197&lt;$C$5,Raw_Data!C197&gt;$C$6),$C$4,Raw_Data!C197)</f>
        <v>11</v>
      </c>
      <c r="D206" s="25" t="str">
        <f>IF(Raw_Data!C197="","Missing-Imputed",IF(OR(Raw_Data!C197&lt;$C$5,Raw_Data!C197&gt;$C$6),"Outlier-Imputed","Original"))</f>
        <v>Original</v>
      </c>
      <c r="E206" s="25" t="str">
        <f>IF(OR(UPPER(TRIM(Raw_Data!D197))="M",UPPER(TRIM(Raw_Data!D197))="MALE"),"Male","Female")</f>
        <v>Female</v>
      </c>
      <c r="F206" s="25" t="str">
        <f>PROPER(TRIM(Raw_Data!E197))</f>
        <v>Muzaffarnagar</v>
      </c>
      <c r="G206" s="25" t="str">
        <f>PROPER(TRIM(Raw_Data!F197))</f>
        <v>Gujarat</v>
      </c>
      <c r="H206" s="25" t="str">
        <f>PROPER(TRIM(Raw_Data!G197))</f>
        <v>Mathematics</v>
      </c>
      <c r="I206" s="25" t="str">
        <f>PROPER(TRIM(Raw_Data!H197))</f>
        <v>Ahmedabad Center</v>
      </c>
      <c r="J206" s="26">
        <f>IF(LEN(TRIM(Raw_Data!I197))=4,VALUE(TRIM(Raw_Data!I197)),IF(ISNUMBER(IFERROR(VALUE(MID(TRIM(Raw_Data!I197),1,4)),"NA")),VALUE(MID(TRIM(Raw_Data!I197),1,4)),VALUE(RIGHT(TRIM(Raw_Data!I197),4))))</f>
        <v>2020</v>
      </c>
      <c r="K206" s="25" t="str">
        <f>PROPER(TRIM(Raw_Data!J197))</f>
        <v>Government Employee</v>
      </c>
      <c r="L206" s="25" t="str">
        <f t="shared" si="9"/>
        <v>10-13</v>
      </c>
      <c r="M206" s="25" t="str">
        <f t="shared" si="10"/>
        <v>Kids</v>
      </c>
      <c r="N206" s="25" t="str">
        <f>IF(ISNUMBER(SEARCH("NON",UPPER(Raw_Data!M197))),"Non-Premium Learner","Premium Learner")</f>
        <v>Premium Learner</v>
      </c>
      <c r="O206" s="25" t="str">
        <f>PROPER(TRIM(Raw_Data!N197))</f>
        <v>App Only</v>
      </c>
      <c r="P206" s="26">
        <f>IF(Raw_Data!O197="",$C$7,Raw_Data!O197)</f>
        <v>48336.2</v>
      </c>
      <c r="Q206" s="25" t="str">
        <f>IF(Raw_Data!O197="","Missing-Imputed","Original")</f>
        <v>Original</v>
      </c>
      <c r="R206" s="26">
        <f>Raw_Data!P197</f>
        <v>13</v>
      </c>
      <c r="S206" s="26">
        <f>Raw_Data!Q197</f>
        <v>41330.550000000003</v>
      </c>
      <c r="T206" s="25" t="str">
        <f>IF(Raw_Data!R197="","Unknown",IF(ISNUMBER(SEARCH("ACT",UPPER(Raw_Data!R197))),"Active",IF(ISNUMBER(SEARCH("CLOS",UPPER(Raw_Data!R197))),"Closed","None")))</f>
        <v>Closed</v>
      </c>
      <c r="U206" s="26">
        <f>IF(Raw_Data!S197="",$C$8,VALUE(Raw_Data!S197))</f>
        <v>748</v>
      </c>
      <c r="V206" s="25" t="str">
        <f>IF(Raw_Data!S197="","Missing-Imputed","Original")</f>
        <v>Original</v>
      </c>
      <c r="W206" s="26">
        <f>Raw_Data!T197</f>
        <v>35</v>
      </c>
      <c r="X206" s="25" t="str">
        <f>IF(ISNUMBER(SEARCH("Y",UPPER(TRIM(Raw_Data!U197)))),"Yes","No")</f>
        <v>Yes</v>
      </c>
      <c r="Y206" s="25" t="str">
        <f>IF(ISNUMBER(SEARCH("Y",UPPER(TRIM(Raw_Data!V197)))),"Yes","No")</f>
        <v>Yes</v>
      </c>
      <c r="Z206" s="26">
        <f>Raw_Data!W197</f>
        <v>4</v>
      </c>
      <c r="AA206" s="26">
        <f>Raw_Data!X197</f>
        <v>3.8</v>
      </c>
      <c r="AB206" s="25" t="str">
        <f>IF(COUNTIFS(Raw_Data!$A$2:$A$616,Raw_Data!A197)&gt;1,"Duplicate","Unique")</f>
        <v>Unique</v>
      </c>
      <c r="AC206" s="25" t="str">
        <f t="shared" si="11"/>
        <v>Clean</v>
      </c>
    </row>
    <row r="207" spans="1:29" ht="15" customHeight="1">
      <c r="A207" s="23" t="str">
        <f>Raw_Data!A198</f>
        <v>BYJ1197</v>
      </c>
      <c r="B207" s="23" t="str">
        <f>Raw_Data!B198</f>
        <v>Zashil Devan</v>
      </c>
      <c r="C207" s="24">
        <f>IF(OR(Raw_Data!C198="",Raw_Data!C198&lt;$C$5,Raw_Data!C198&gt;$C$6),$C$4,Raw_Data!C198)</f>
        <v>37</v>
      </c>
      <c r="D207" s="23" t="str">
        <f>IF(Raw_Data!C198="","Missing-Imputed",IF(OR(Raw_Data!C198&lt;$C$5,Raw_Data!C198&gt;$C$6),"Outlier-Imputed","Original"))</f>
        <v>Original</v>
      </c>
      <c r="E207" s="23" t="str">
        <f>IF(OR(UPPER(TRIM(Raw_Data!D198))="M",UPPER(TRIM(Raw_Data!D198))="MALE"),"Male","Female")</f>
        <v>Female</v>
      </c>
      <c r="F207" s="23" t="str">
        <f>PROPER(TRIM(Raw_Data!E198))</f>
        <v>Thane</v>
      </c>
      <c r="G207" s="23" t="str">
        <f>PROPER(TRIM(Raw_Data!F198))</f>
        <v>Tamil Nadu</v>
      </c>
      <c r="H207" s="23" t="str">
        <f>PROPER(TRIM(Raw_Data!G198))</f>
        <v>Neet Prep</v>
      </c>
      <c r="I207" s="23" t="str">
        <f>PROPER(TRIM(Raw_Data!H198))</f>
        <v>Chennai Central</v>
      </c>
      <c r="J207" s="24">
        <f>IF(LEN(TRIM(Raw_Data!I198))=4,VALUE(TRIM(Raw_Data!I198)),IF(ISNUMBER(IFERROR(VALUE(MID(TRIM(Raw_Data!I198),1,4)),"NA")),VALUE(MID(TRIM(Raw_Data!I198),1,4)),VALUE(RIGHT(TRIM(Raw_Data!I198),4))))</f>
        <v>2022</v>
      </c>
      <c r="K207" s="23" t="str">
        <f>PROPER(TRIM(Raw_Data!J198))</f>
        <v>Retired</v>
      </c>
      <c r="L207" s="23" t="str">
        <f t="shared" si="9"/>
        <v>20+</v>
      </c>
      <c r="M207" s="23" t="str">
        <f t="shared" si="10"/>
        <v>Adult Learners</v>
      </c>
      <c r="N207" s="23" t="str">
        <f>IF(ISNUMBER(SEARCH("NON",UPPER(Raw_Data!M198))),"Non-Premium Learner","Premium Learner")</f>
        <v>Non-Premium Learner</v>
      </c>
      <c r="O207" s="23" t="str">
        <f>PROPER(TRIM(Raw_Data!N198))</f>
        <v>Both App &amp; Web</v>
      </c>
      <c r="P207" s="24">
        <f>IF(Raw_Data!O198="",$C$7,Raw_Data!O198)</f>
        <v>89005.13</v>
      </c>
      <c r="Q207" s="23" t="str">
        <f>IF(Raw_Data!O198="","Missing-Imputed","Original")</f>
        <v>Original</v>
      </c>
      <c r="R207" s="24">
        <f>Raw_Data!P198</f>
        <v>7.8</v>
      </c>
      <c r="S207" s="24">
        <f>Raw_Data!Q198</f>
        <v>8495.43</v>
      </c>
      <c r="T207" s="23" t="str">
        <f>IF(Raw_Data!R198="","Unknown",IF(ISNUMBER(SEARCH("ACT",UPPER(Raw_Data!R198))),"Active",IF(ISNUMBER(SEARCH("CLOS",UPPER(Raw_Data!R198))),"Closed","None")))</f>
        <v>None</v>
      </c>
      <c r="U207" s="24">
        <f>IF(Raw_Data!S198="",$C$8,VALUE(Raw_Data!S198))</f>
        <v>782</v>
      </c>
      <c r="V207" s="23" t="str">
        <f>IF(Raw_Data!S198="","Missing-Imputed","Original")</f>
        <v>Original</v>
      </c>
      <c r="W207" s="24">
        <f>Raw_Data!T198</f>
        <v>158</v>
      </c>
      <c r="X207" s="23" t="str">
        <f>IF(ISNUMBER(SEARCH("Y",UPPER(TRIM(Raw_Data!U198)))),"Yes","No")</f>
        <v>Yes</v>
      </c>
      <c r="Y207" s="23" t="str">
        <f>IF(ISNUMBER(SEARCH("Y",UPPER(TRIM(Raw_Data!V198)))),"Yes","No")</f>
        <v>Yes</v>
      </c>
      <c r="Z207" s="24">
        <f>Raw_Data!W198</f>
        <v>2</v>
      </c>
      <c r="AA207" s="24">
        <f>Raw_Data!X198</f>
        <v>5.9</v>
      </c>
      <c r="AB207" s="23" t="str">
        <f>IF(COUNTIFS(Raw_Data!$A$2:$A$616,Raw_Data!A198)&gt;1,"Duplicate","Unique")</f>
        <v>Unique</v>
      </c>
      <c r="AC207" s="23" t="str">
        <f t="shared" si="11"/>
        <v>Clean</v>
      </c>
    </row>
    <row r="208" spans="1:29" ht="15" customHeight="1">
      <c r="A208" s="25" t="str">
        <f>Raw_Data!A199</f>
        <v>BYJ1198</v>
      </c>
      <c r="B208" s="25" t="str">
        <f>Raw_Data!B199</f>
        <v>Ridhi Bandi</v>
      </c>
      <c r="C208" s="26">
        <f>IF(OR(Raw_Data!C199="",Raw_Data!C199&lt;$C$5,Raw_Data!C199&gt;$C$6),$C$4,Raw_Data!C199)</f>
        <v>12</v>
      </c>
      <c r="D208" s="25" t="str">
        <f>IF(Raw_Data!C199="","Missing-Imputed",IF(OR(Raw_Data!C199&lt;$C$5,Raw_Data!C199&gt;$C$6),"Outlier-Imputed","Original"))</f>
        <v>Original</v>
      </c>
      <c r="E208" s="25" t="str">
        <f>IF(OR(UPPER(TRIM(Raw_Data!D199))="M",UPPER(TRIM(Raw_Data!D199))="MALE"),"Male","Female")</f>
        <v>Female</v>
      </c>
      <c r="F208" s="25" t="str">
        <f>PROPER(TRIM(Raw_Data!E199))</f>
        <v>Mira-Bhayandar</v>
      </c>
      <c r="G208" s="25" t="str">
        <f>PROPER(TRIM(Raw_Data!F199))</f>
        <v>Kerala</v>
      </c>
      <c r="H208" s="25" t="str">
        <f>PROPER(TRIM(Raw_Data!G199))</f>
        <v>Mathematics</v>
      </c>
      <c r="I208" s="25" t="str">
        <f>PROPER(TRIM(Raw_Data!H199))</f>
        <v>Bengaluru South</v>
      </c>
      <c r="J208" s="26">
        <f>IF(LEN(TRIM(Raw_Data!I199))=4,VALUE(TRIM(Raw_Data!I199)),IF(ISNUMBER(IFERROR(VALUE(MID(TRIM(Raw_Data!I199),1,4)),"NA")),VALUE(MID(TRIM(Raw_Data!I199),1,4)),VALUE(RIGHT(TRIM(Raw_Data!I199),4))))</f>
        <v>2017</v>
      </c>
      <c r="K208" s="25" t="str">
        <f>PROPER(TRIM(Raw_Data!J199))</f>
        <v>Salaried</v>
      </c>
      <c r="L208" s="25" t="str">
        <f t="shared" si="9"/>
        <v>10-13</v>
      </c>
      <c r="M208" s="25" t="str">
        <f t="shared" si="10"/>
        <v>Kids</v>
      </c>
      <c r="N208" s="25" t="str">
        <f>IF(ISNUMBER(SEARCH("NON",UPPER(Raw_Data!M199))),"Non-Premium Learner","Premium Learner")</f>
        <v>Non-Premium Learner</v>
      </c>
      <c r="O208" s="25" t="str">
        <f>PROPER(TRIM(Raw_Data!N199))</f>
        <v>Both App &amp; Web</v>
      </c>
      <c r="P208" s="26">
        <f>IF(Raw_Data!O199="",$C$7,Raw_Data!O199)</f>
        <v>103367.69</v>
      </c>
      <c r="Q208" s="25" t="str">
        <f>IF(Raw_Data!O199="","Missing-Imputed","Original")</f>
        <v>Original</v>
      </c>
      <c r="R208" s="26">
        <f>Raw_Data!P199</f>
        <v>78.2</v>
      </c>
      <c r="S208" s="26">
        <f>Raw_Data!Q199</f>
        <v>34558.019999999997</v>
      </c>
      <c r="T208" s="25" t="str">
        <f>IF(Raw_Data!R199="","Unknown",IF(ISNUMBER(SEARCH("ACT",UPPER(Raw_Data!R199))),"Active",IF(ISNUMBER(SEARCH("CLOS",UPPER(Raw_Data!R199))),"Closed","None")))</f>
        <v>Active</v>
      </c>
      <c r="U208" s="26">
        <f>IF(Raw_Data!S199="",$C$8,VALUE(Raw_Data!S199))</f>
        <v>518</v>
      </c>
      <c r="V208" s="25" t="str">
        <f>IF(Raw_Data!S199="","Missing-Imputed","Original")</f>
        <v>Original</v>
      </c>
      <c r="W208" s="26">
        <f>Raw_Data!T199</f>
        <v>151</v>
      </c>
      <c r="X208" s="25" t="str">
        <f>IF(ISNUMBER(SEARCH("Y",UPPER(TRIM(Raw_Data!U199)))),"Yes","No")</f>
        <v>Yes</v>
      </c>
      <c r="Y208" s="25" t="str">
        <f>IF(ISNUMBER(SEARCH("Y",UPPER(TRIM(Raw_Data!V199)))),"Yes","No")</f>
        <v>Yes</v>
      </c>
      <c r="Z208" s="26">
        <f>Raw_Data!W199</f>
        <v>3</v>
      </c>
      <c r="AA208" s="26">
        <f>Raw_Data!X199</f>
        <v>1.7</v>
      </c>
      <c r="AB208" s="25" t="str">
        <f>IF(COUNTIFS(Raw_Data!$A$2:$A$616,Raw_Data!A199)&gt;1,"Duplicate","Unique")</f>
        <v>Unique</v>
      </c>
      <c r="AC208" s="25" t="str">
        <f t="shared" si="11"/>
        <v>Clean</v>
      </c>
    </row>
    <row r="209" spans="1:29" ht="15" customHeight="1">
      <c r="A209" s="23" t="str">
        <f>Raw_Data!A200</f>
        <v>BYJ1199</v>
      </c>
      <c r="B209" s="23" t="str">
        <f>Raw_Data!B200</f>
        <v>Chakrika Narain</v>
      </c>
      <c r="C209" s="24">
        <f>IF(OR(Raw_Data!C200="",Raw_Data!C200&lt;$C$5,Raw_Data!C200&gt;$C$6),$C$4,Raw_Data!C200)</f>
        <v>41</v>
      </c>
      <c r="D209" s="23" t="str">
        <f>IF(Raw_Data!C200="","Missing-Imputed",IF(OR(Raw_Data!C200&lt;$C$5,Raw_Data!C200&gt;$C$6),"Outlier-Imputed","Original"))</f>
        <v>Original</v>
      </c>
      <c r="E209" s="23" t="str">
        <f>IF(OR(UPPER(TRIM(Raw_Data!D200))="M",UPPER(TRIM(Raw_Data!D200))="MALE"),"Male","Female")</f>
        <v>Male</v>
      </c>
      <c r="F209" s="23" t="str">
        <f>PROPER(TRIM(Raw_Data!E200))</f>
        <v>Akola</v>
      </c>
      <c r="G209" s="23" t="str">
        <f>PROPER(TRIM(Raw_Data!F200))</f>
        <v>Kerala</v>
      </c>
      <c r="H209" s="23" t="str">
        <f>PROPER(TRIM(Raw_Data!G200))</f>
        <v>Coding</v>
      </c>
      <c r="I209" s="23" t="str">
        <f>PROPER(TRIM(Raw_Data!H200))</f>
        <v>Mumbai West</v>
      </c>
      <c r="J209" s="24">
        <f>IF(LEN(TRIM(Raw_Data!I200))=4,VALUE(TRIM(Raw_Data!I200)),IF(ISNUMBER(IFERROR(VALUE(MID(TRIM(Raw_Data!I200),1,4)),"NA")),VALUE(MID(TRIM(Raw_Data!I200),1,4)),VALUE(RIGHT(TRIM(Raw_Data!I200),4))))</f>
        <v>2017</v>
      </c>
      <c r="K209" s="23" t="str">
        <f>PROPER(TRIM(Raw_Data!J200))</f>
        <v>Business</v>
      </c>
      <c r="L209" s="23" t="str">
        <f t="shared" si="9"/>
        <v>20+</v>
      </c>
      <c r="M209" s="23" t="str">
        <f t="shared" si="10"/>
        <v>Adult Learners</v>
      </c>
      <c r="N209" s="23" t="str">
        <f>IF(ISNUMBER(SEARCH("NON",UPPER(Raw_Data!M200))),"Non-Premium Learner","Premium Learner")</f>
        <v>Premium Learner</v>
      </c>
      <c r="O209" s="23" t="str">
        <f>PROPER(TRIM(Raw_Data!N200))</f>
        <v>App Only</v>
      </c>
      <c r="P209" s="24">
        <f>IF(Raw_Data!O200="",$C$7,Raw_Data!O200)</f>
        <v>6047.48</v>
      </c>
      <c r="Q209" s="23" t="str">
        <f>IF(Raw_Data!O200="","Missing-Imputed","Original")</f>
        <v>Original</v>
      </c>
      <c r="R209" s="24">
        <f>Raw_Data!P200</f>
        <v>58</v>
      </c>
      <c r="S209" s="24">
        <f>Raw_Data!Q200</f>
        <v>35623.83</v>
      </c>
      <c r="T209" s="23" t="str">
        <f>IF(Raw_Data!R200="","Unknown",IF(ISNUMBER(SEARCH("ACT",UPPER(Raw_Data!R200))),"Active",IF(ISNUMBER(SEARCH("CLOS",UPPER(Raw_Data!R200))),"Closed","None")))</f>
        <v>Closed</v>
      </c>
      <c r="U209" s="24">
        <f>IF(Raw_Data!S200="",$C$8,VALUE(Raw_Data!S200))</f>
        <v>787</v>
      </c>
      <c r="V209" s="23" t="str">
        <f>IF(Raw_Data!S200="","Missing-Imputed","Original")</f>
        <v>Original</v>
      </c>
      <c r="W209" s="24">
        <f>Raw_Data!T200</f>
        <v>52</v>
      </c>
      <c r="X209" s="23" t="str">
        <f>IF(ISNUMBER(SEARCH("Y",UPPER(TRIM(Raw_Data!U200)))),"Yes","No")</f>
        <v>Yes</v>
      </c>
      <c r="Y209" s="23" t="str">
        <f>IF(ISNUMBER(SEARCH("Y",UPPER(TRIM(Raw_Data!V200)))),"Yes","No")</f>
        <v>No</v>
      </c>
      <c r="Z209" s="24">
        <f>Raw_Data!W200</f>
        <v>2</v>
      </c>
      <c r="AA209" s="24">
        <f>Raw_Data!X200</f>
        <v>8.5</v>
      </c>
      <c r="AB209" s="23" t="str">
        <f>IF(COUNTIFS(Raw_Data!$A$2:$A$616,Raw_Data!A200)&gt;1,"Duplicate","Unique")</f>
        <v>Unique</v>
      </c>
      <c r="AC209" s="23" t="str">
        <f t="shared" si="11"/>
        <v>Clean</v>
      </c>
    </row>
    <row r="210" spans="1:29" ht="15" customHeight="1">
      <c r="A210" s="25" t="str">
        <f>Raw_Data!A201</f>
        <v>BYJ1200</v>
      </c>
      <c r="B210" s="25" t="str">
        <f>Raw_Data!B201</f>
        <v>Kevin Zacharia</v>
      </c>
      <c r="C210" s="26">
        <f>IF(OR(Raw_Data!C201="",Raw_Data!C201&lt;$C$5,Raw_Data!C201&gt;$C$6),$C$4,Raw_Data!C201)</f>
        <v>24</v>
      </c>
      <c r="D210" s="25" t="str">
        <f>IF(Raw_Data!C201="","Missing-Imputed",IF(OR(Raw_Data!C201&lt;$C$5,Raw_Data!C201&gt;$C$6),"Outlier-Imputed","Original"))</f>
        <v>Outlier-Imputed</v>
      </c>
      <c r="E210" s="25" t="str">
        <f>IF(OR(UPPER(TRIM(Raw_Data!D201))="M",UPPER(TRIM(Raw_Data!D201))="MALE"),"Male","Female")</f>
        <v>Female</v>
      </c>
      <c r="F210" s="25" t="str">
        <f>PROPER(TRIM(Raw_Data!E201))</f>
        <v>Bettiah</v>
      </c>
      <c r="G210" s="25" t="str">
        <f>PROPER(TRIM(Raw_Data!F201))</f>
        <v>Telangana</v>
      </c>
      <c r="H210" s="25" t="str">
        <f>PROPER(TRIM(Raw_Data!G201))</f>
        <v>Neet Prep</v>
      </c>
      <c r="I210" s="25" t="str">
        <f>PROPER(TRIM(Raw_Data!H201))</f>
        <v>Kolkata Main</v>
      </c>
      <c r="J210" s="26">
        <f>IF(LEN(TRIM(Raw_Data!I201))=4,VALUE(TRIM(Raw_Data!I201)),IF(ISNUMBER(IFERROR(VALUE(MID(TRIM(Raw_Data!I201),1,4)),"NA")),VALUE(MID(TRIM(Raw_Data!I201),1,4)),VALUE(RIGHT(TRIM(Raw_Data!I201),4))))</f>
        <v>2016</v>
      </c>
      <c r="K210" s="25" t="str">
        <f>PROPER(TRIM(Raw_Data!J201))</f>
        <v>Salaried</v>
      </c>
      <c r="L210" s="25" t="str">
        <f t="shared" si="9"/>
        <v>20+</v>
      </c>
      <c r="M210" s="25" t="str">
        <f t="shared" si="10"/>
        <v>Adult Learners</v>
      </c>
      <c r="N210" s="25" t="str">
        <f>IF(ISNUMBER(SEARCH("NON",UPPER(Raw_Data!M201))),"Non-Premium Learner","Premium Learner")</f>
        <v>Non-Premium Learner</v>
      </c>
      <c r="O210" s="25" t="str">
        <f>PROPER(TRIM(Raw_Data!N201))</f>
        <v>Both App &amp; Web</v>
      </c>
      <c r="P210" s="26">
        <f>IF(Raw_Data!O201="",$C$7,Raw_Data!O201)</f>
        <v>57475.69</v>
      </c>
      <c r="Q210" s="25" t="str">
        <f>IF(Raw_Data!O201="","Missing-Imputed","Original")</f>
        <v>Original</v>
      </c>
      <c r="R210" s="26">
        <f>Raw_Data!P201</f>
        <v>45.5</v>
      </c>
      <c r="S210" s="26">
        <f>Raw_Data!Q201</f>
        <v>13156.57</v>
      </c>
      <c r="T210" s="25" t="str">
        <f>IF(Raw_Data!R201="","Unknown",IF(ISNUMBER(SEARCH("ACT",UPPER(Raw_Data!R201))),"Active",IF(ISNUMBER(SEARCH("CLOS",UPPER(Raw_Data!R201))),"Closed","None")))</f>
        <v>None</v>
      </c>
      <c r="U210" s="26">
        <f>IF(Raw_Data!S201="",$C$8,VALUE(Raw_Data!S201))</f>
        <v>583</v>
      </c>
      <c r="V210" s="25" t="str">
        <f>IF(Raw_Data!S201="","Missing-Imputed","Original")</f>
        <v>Original</v>
      </c>
      <c r="W210" s="26">
        <f>Raw_Data!T201</f>
        <v>28</v>
      </c>
      <c r="X210" s="25" t="str">
        <f>IF(ISNUMBER(SEARCH("Y",UPPER(TRIM(Raw_Data!U201)))),"Yes","No")</f>
        <v>Yes</v>
      </c>
      <c r="Y210" s="25" t="str">
        <f>IF(ISNUMBER(SEARCH("Y",UPPER(TRIM(Raw_Data!V201)))),"Yes","No")</f>
        <v>No</v>
      </c>
      <c r="Z210" s="26">
        <f>Raw_Data!W201</f>
        <v>2</v>
      </c>
      <c r="AA210" s="26">
        <f>Raw_Data!X201</f>
        <v>6.2</v>
      </c>
      <c r="AB210" s="25" t="str">
        <f>IF(COUNTIFS(Raw_Data!$A$2:$A$616,Raw_Data!A201)&gt;1,"Duplicate","Unique")</f>
        <v>Unique</v>
      </c>
      <c r="AC210" s="25" t="str">
        <f t="shared" si="11"/>
        <v>Imputed</v>
      </c>
    </row>
    <row r="211" spans="1:29" ht="15" customHeight="1">
      <c r="A211" s="23" t="str">
        <f>Raw_Data!A202</f>
        <v>BYJ1201</v>
      </c>
      <c r="B211" s="23" t="str">
        <f>Raw_Data!B202</f>
        <v xml:space="preserve">  Nitesh Kurian  </v>
      </c>
      <c r="C211" s="24">
        <f>IF(OR(Raw_Data!C202="",Raw_Data!C202&lt;$C$5,Raw_Data!C202&gt;$C$6),$C$4,Raw_Data!C202)</f>
        <v>24</v>
      </c>
      <c r="D211" s="23" t="str">
        <f>IF(Raw_Data!C202="","Missing-Imputed",IF(OR(Raw_Data!C202&lt;$C$5,Raw_Data!C202&gt;$C$6),"Outlier-Imputed","Original"))</f>
        <v>Original</v>
      </c>
      <c r="E211" s="23" t="str">
        <f>IF(OR(UPPER(TRIM(Raw_Data!D202))="M",UPPER(TRIM(Raw_Data!D202))="MALE"),"Male","Female")</f>
        <v>Male</v>
      </c>
      <c r="F211" s="23" t="str">
        <f>PROPER(TRIM(Raw_Data!E202))</f>
        <v>Sagar</v>
      </c>
      <c r="G211" s="23" t="str">
        <f>PROPER(TRIM(Raw_Data!F202))</f>
        <v>Kerala</v>
      </c>
      <c r="H211" s="23" t="str">
        <f>PROPER(TRIM(Raw_Data!G202))</f>
        <v>Spoken English</v>
      </c>
      <c r="I211" s="23" t="str">
        <f>PROPER(TRIM(Raw_Data!H202))</f>
        <v>Chennai Central</v>
      </c>
      <c r="J211" s="24">
        <f>IF(LEN(TRIM(Raw_Data!I202))=4,VALUE(TRIM(Raw_Data!I202)),IF(ISNUMBER(IFERROR(VALUE(MID(TRIM(Raw_Data!I202),1,4)),"NA")),VALUE(MID(TRIM(Raw_Data!I202),1,4)),VALUE(RIGHT(TRIM(Raw_Data!I202),4))))</f>
        <v>2017</v>
      </c>
      <c r="K211" s="23" t="str">
        <f>PROPER(TRIM(Raw_Data!J202))</f>
        <v>Business</v>
      </c>
      <c r="L211" s="23" t="str">
        <f t="shared" si="9"/>
        <v>20+</v>
      </c>
      <c r="M211" s="23" t="str">
        <f t="shared" si="10"/>
        <v>Adult Learners</v>
      </c>
      <c r="N211" s="23" t="str">
        <f>IF(ISNUMBER(SEARCH("NON",UPPER(Raw_Data!M202))),"Non-Premium Learner","Premium Learner")</f>
        <v>Non-Premium Learner</v>
      </c>
      <c r="O211" s="23" t="str">
        <f>PROPER(TRIM(Raw_Data!N202))</f>
        <v>App Only</v>
      </c>
      <c r="P211" s="24">
        <f>IF(Raw_Data!O202="",$C$7,Raw_Data!O202)</f>
        <v>15274.63</v>
      </c>
      <c r="Q211" s="23" t="str">
        <f>IF(Raw_Data!O202="","Missing-Imputed","Original")</f>
        <v>Original</v>
      </c>
      <c r="R211" s="24">
        <f>Raw_Data!P202</f>
        <v>38.4</v>
      </c>
      <c r="S211" s="24">
        <f>Raw_Data!Q202</f>
        <v>34785.71</v>
      </c>
      <c r="T211" s="23" t="str">
        <f>IF(Raw_Data!R202="","Unknown",IF(ISNUMBER(SEARCH("ACT",UPPER(Raw_Data!R202))),"Active",IF(ISNUMBER(SEARCH("CLOS",UPPER(Raw_Data!R202))),"Closed","None")))</f>
        <v>Closed</v>
      </c>
      <c r="U211" s="24">
        <f>IF(Raw_Data!S202="",$C$8,VALUE(Raw_Data!S202))</f>
        <v>633</v>
      </c>
      <c r="V211" s="23" t="str">
        <f>IF(Raw_Data!S202="","Missing-Imputed","Original")</f>
        <v>Original</v>
      </c>
      <c r="W211" s="24">
        <f>Raw_Data!T202</f>
        <v>28</v>
      </c>
      <c r="X211" s="23" t="str">
        <f>IF(ISNUMBER(SEARCH("Y",UPPER(TRIM(Raw_Data!U202)))),"Yes","No")</f>
        <v>No</v>
      </c>
      <c r="Y211" s="23" t="str">
        <f>IF(ISNUMBER(SEARCH("Y",UPPER(TRIM(Raw_Data!V202)))),"Yes","No")</f>
        <v>Yes</v>
      </c>
      <c r="Z211" s="24">
        <f>Raw_Data!W202</f>
        <v>4</v>
      </c>
      <c r="AA211" s="24">
        <f>Raw_Data!X202</f>
        <v>7.9</v>
      </c>
      <c r="AB211" s="23" t="str">
        <f>IF(COUNTIFS(Raw_Data!$A$2:$A$616,Raw_Data!A202)&gt;1,"Duplicate","Unique")</f>
        <v>Unique</v>
      </c>
      <c r="AC211" s="23" t="str">
        <f t="shared" si="11"/>
        <v>Clean</v>
      </c>
    </row>
    <row r="212" spans="1:29" ht="15" customHeight="1">
      <c r="A212" s="25" t="str">
        <f>Raw_Data!A203</f>
        <v>BYJ1202</v>
      </c>
      <c r="B212" s="25" t="str">
        <f>Raw_Data!B203</f>
        <v>Ishwar Sidhu</v>
      </c>
      <c r="C212" s="26">
        <f>IF(OR(Raw_Data!C203="",Raw_Data!C203&lt;$C$5,Raw_Data!C203&gt;$C$6),$C$4,Raw_Data!C203)</f>
        <v>36</v>
      </c>
      <c r="D212" s="25" t="str">
        <f>IF(Raw_Data!C203="","Missing-Imputed",IF(OR(Raw_Data!C203&lt;$C$5,Raw_Data!C203&gt;$C$6),"Outlier-Imputed","Original"))</f>
        <v>Original</v>
      </c>
      <c r="E212" s="25" t="str">
        <f>IF(OR(UPPER(TRIM(Raw_Data!D203))="M",UPPER(TRIM(Raw_Data!D203))="MALE"),"Male","Female")</f>
        <v>Female</v>
      </c>
      <c r="F212" s="25" t="str">
        <f>PROPER(TRIM(Raw_Data!E203))</f>
        <v>Ajmer</v>
      </c>
      <c r="G212" s="25" t="str">
        <f>PROPER(TRIM(Raw_Data!F203))</f>
        <v>Maharashtra</v>
      </c>
      <c r="H212" s="25" t="str">
        <f>PROPER(TRIM(Raw_Data!G203))</f>
        <v>English</v>
      </c>
      <c r="I212" s="25" t="str">
        <f>PROPER(TRIM(Raw_Data!H203))</f>
        <v>Lucknow Hub</v>
      </c>
      <c r="J212" s="26">
        <f>IF(LEN(TRIM(Raw_Data!I203))=4,VALUE(TRIM(Raw_Data!I203)),IF(ISNUMBER(IFERROR(VALUE(MID(TRIM(Raw_Data!I203),1,4)),"NA")),VALUE(MID(TRIM(Raw_Data!I203),1,4)),VALUE(RIGHT(TRIM(Raw_Data!I203),4))))</f>
        <v>2023</v>
      </c>
      <c r="K212" s="25" t="str">
        <f>PROPER(TRIM(Raw_Data!J203))</f>
        <v>Business</v>
      </c>
      <c r="L212" s="25" t="str">
        <f t="shared" si="9"/>
        <v>20+</v>
      </c>
      <c r="M212" s="25" t="str">
        <f t="shared" si="10"/>
        <v>Adult Learners</v>
      </c>
      <c r="N212" s="25" t="str">
        <f>IF(ISNUMBER(SEARCH("NON",UPPER(Raw_Data!M203))),"Non-Premium Learner","Premium Learner")</f>
        <v>Non-Premium Learner</v>
      </c>
      <c r="O212" s="25" t="str">
        <f>PROPER(TRIM(Raw_Data!N203))</f>
        <v>Web Only</v>
      </c>
      <c r="P212" s="26">
        <f>IF(Raw_Data!O203="",$C$7,Raw_Data!O203)</f>
        <v>146455.6</v>
      </c>
      <c r="Q212" s="25" t="str">
        <f>IF(Raw_Data!O203="","Missing-Imputed","Original")</f>
        <v>Original</v>
      </c>
      <c r="R212" s="26">
        <f>Raw_Data!P203</f>
        <v>14.5</v>
      </c>
      <c r="S212" s="26">
        <f>Raw_Data!Q203</f>
        <v>41532.629999999997</v>
      </c>
      <c r="T212" s="25" t="str">
        <f>IF(Raw_Data!R203="","Unknown",IF(ISNUMBER(SEARCH("ACT",UPPER(Raw_Data!R203))),"Active",IF(ISNUMBER(SEARCH("CLOS",UPPER(Raw_Data!R203))),"Closed","None")))</f>
        <v>Active</v>
      </c>
      <c r="U212" s="26">
        <f>IF(Raw_Data!S203="",$C$8,VALUE(Raw_Data!S203))</f>
        <v>439</v>
      </c>
      <c r="V212" s="25" t="str">
        <f>IF(Raw_Data!S203="","Missing-Imputed","Original")</f>
        <v>Original</v>
      </c>
      <c r="W212" s="26">
        <f>Raw_Data!T203</f>
        <v>119</v>
      </c>
      <c r="X212" s="25" t="str">
        <f>IF(ISNUMBER(SEARCH("Y",UPPER(TRIM(Raw_Data!U203)))),"Yes","No")</f>
        <v>No</v>
      </c>
      <c r="Y212" s="25" t="str">
        <f>IF(ISNUMBER(SEARCH("Y",UPPER(TRIM(Raw_Data!V203)))),"Yes","No")</f>
        <v>Yes</v>
      </c>
      <c r="Z212" s="26">
        <f>Raw_Data!W203</f>
        <v>2</v>
      </c>
      <c r="AA212" s="26">
        <f>Raw_Data!X203</f>
        <v>8</v>
      </c>
      <c r="AB212" s="25" t="str">
        <f>IF(COUNTIFS(Raw_Data!$A$2:$A$616,Raw_Data!A203)&gt;1,"Duplicate","Unique")</f>
        <v>Unique</v>
      </c>
      <c r="AC212" s="25" t="str">
        <f t="shared" si="11"/>
        <v>Clean</v>
      </c>
    </row>
    <row r="213" spans="1:29" ht="15" customHeight="1">
      <c r="A213" s="23" t="str">
        <f>Raw_Data!A204</f>
        <v>BYJ1203</v>
      </c>
      <c r="B213" s="23" t="str">
        <f>Raw_Data!B204</f>
        <v>Mekhala Pau</v>
      </c>
      <c r="C213" s="24">
        <f>IF(OR(Raw_Data!C204="",Raw_Data!C204&lt;$C$5,Raw_Data!C204&gt;$C$6),$C$4,Raw_Data!C204)</f>
        <v>45</v>
      </c>
      <c r="D213" s="23" t="str">
        <f>IF(Raw_Data!C204="","Missing-Imputed",IF(OR(Raw_Data!C204&lt;$C$5,Raw_Data!C204&gt;$C$6),"Outlier-Imputed","Original"))</f>
        <v>Original</v>
      </c>
      <c r="E213" s="23" t="str">
        <f>IF(OR(UPPER(TRIM(Raw_Data!D204))="M",UPPER(TRIM(Raw_Data!D204))="MALE"),"Male","Female")</f>
        <v>Male</v>
      </c>
      <c r="F213" s="23" t="str">
        <f>PROPER(TRIM(Raw_Data!E204))</f>
        <v>Tenali</v>
      </c>
      <c r="G213" s="23" t="str">
        <f>PROPER(TRIM(Raw_Data!F204))</f>
        <v>Delhi</v>
      </c>
      <c r="H213" s="23" t="str">
        <f>PROPER(TRIM(Raw_Data!G204))</f>
        <v>Mathematics</v>
      </c>
      <c r="I213" s="23" t="str">
        <f>PROPER(TRIM(Raw_Data!H204))</f>
        <v>Kolkata Main</v>
      </c>
      <c r="J213" s="24">
        <f>IF(LEN(TRIM(Raw_Data!I204))=4,VALUE(TRIM(Raw_Data!I204)),IF(ISNUMBER(IFERROR(VALUE(MID(TRIM(Raw_Data!I204),1,4)),"NA")),VALUE(MID(TRIM(Raw_Data!I204),1,4)),VALUE(RIGHT(TRIM(Raw_Data!I204),4))))</f>
        <v>2024</v>
      </c>
      <c r="K213" s="23" t="str">
        <f>PROPER(TRIM(Raw_Data!J204))</f>
        <v>Government Employee</v>
      </c>
      <c r="L213" s="23" t="str">
        <f t="shared" si="9"/>
        <v>20+</v>
      </c>
      <c r="M213" s="23" t="str">
        <f t="shared" si="10"/>
        <v>Adult Learners</v>
      </c>
      <c r="N213" s="23" t="str">
        <f>IF(ISNUMBER(SEARCH("NON",UPPER(Raw_Data!M204))),"Non-Premium Learner","Premium Learner")</f>
        <v>Non-Premium Learner</v>
      </c>
      <c r="O213" s="23" t="str">
        <f>PROPER(TRIM(Raw_Data!N204))</f>
        <v>App Only</v>
      </c>
      <c r="P213" s="24">
        <f>IF(Raw_Data!O204="",$C$7,Raw_Data!O204)</f>
        <v>110852.57</v>
      </c>
      <c r="Q213" s="23" t="str">
        <f>IF(Raw_Data!O204="","Missing-Imputed","Original")</f>
        <v>Original</v>
      </c>
      <c r="R213" s="24">
        <f>Raw_Data!P204</f>
        <v>23.5</v>
      </c>
      <c r="S213" s="24">
        <f>Raw_Data!Q204</f>
        <v>19637.759999999998</v>
      </c>
      <c r="T213" s="23" t="str">
        <f>IF(Raw_Data!R204="","Unknown",IF(ISNUMBER(SEARCH("ACT",UPPER(Raw_Data!R204))),"Active",IF(ISNUMBER(SEARCH("CLOS",UPPER(Raw_Data!R204))),"Closed","None")))</f>
        <v>None</v>
      </c>
      <c r="U213" s="24">
        <f>IF(Raw_Data!S204="",$C$8,VALUE(Raw_Data!S204))</f>
        <v>452</v>
      </c>
      <c r="V213" s="23" t="str">
        <f>IF(Raw_Data!S204="","Missing-Imputed","Original")</f>
        <v>Original</v>
      </c>
      <c r="W213" s="24">
        <f>Raw_Data!T204</f>
        <v>1</v>
      </c>
      <c r="X213" s="23" t="str">
        <f>IF(ISNUMBER(SEARCH("Y",UPPER(TRIM(Raw_Data!U204)))),"Yes","No")</f>
        <v>No</v>
      </c>
      <c r="Y213" s="23" t="str">
        <f>IF(ISNUMBER(SEARCH("Y",UPPER(TRIM(Raw_Data!V204)))),"Yes","No")</f>
        <v>Yes</v>
      </c>
      <c r="Z213" s="24">
        <f>Raw_Data!W204</f>
        <v>5</v>
      </c>
      <c r="AA213" s="24">
        <f>Raw_Data!X204</f>
        <v>0.8</v>
      </c>
      <c r="AB213" s="23" t="str">
        <f>IF(COUNTIFS(Raw_Data!$A$2:$A$616,Raw_Data!A204)&gt;1,"Duplicate","Unique")</f>
        <v>Unique</v>
      </c>
      <c r="AC213" s="23" t="str">
        <f t="shared" si="11"/>
        <v>Clean</v>
      </c>
    </row>
    <row r="214" spans="1:29" ht="15" customHeight="1">
      <c r="A214" s="25" t="str">
        <f>Raw_Data!A205</f>
        <v>BYJ1204</v>
      </c>
      <c r="B214" s="25" t="str">
        <f>Raw_Data!B205</f>
        <v>Aishani Yadav</v>
      </c>
      <c r="C214" s="26">
        <f>IF(OR(Raw_Data!C205="",Raw_Data!C205&lt;$C$5,Raw_Data!C205&gt;$C$6),$C$4,Raw_Data!C205)</f>
        <v>12</v>
      </c>
      <c r="D214" s="25" t="str">
        <f>IF(Raw_Data!C205="","Missing-Imputed",IF(OR(Raw_Data!C205&lt;$C$5,Raw_Data!C205&gt;$C$6),"Outlier-Imputed","Original"))</f>
        <v>Original</v>
      </c>
      <c r="E214" s="25" t="str">
        <f>IF(OR(UPPER(TRIM(Raw_Data!D205))="M",UPPER(TRIM(Raw_Data!D205))="MALE"),"Male","Female")</f>
        <v>Female</v>
      </c>
      <c r="F214" s="25" t="str">
        <f>PROPER(TRIM(Raw_Data!E205))</f>
        <v>Malda</v>
      </c>
      <c r="G214" s="25" t="str">
        <f>PROPER(TRIM(Raw_Data!F205))</f>
        <v>Uttar Pradesh</v>
      </c>
      <c r="H214" s="25" t="str">
        <f>PROPER(TRIM(Raw_Data!G205))</f>
        <v>Coding</v>
      </c>
      <c r="I214" s="25" t="str">
        <f>PROPER(TRIM(Raw_Data!H205))</f>
        <v>Kolkata Main</v>
      </c>
      <c r="J214" s="26">
        <f>IF(LEN(TRIM(Raw_Data!I205))=4,VALUE(TRIM(Raw_Data!I205)),IF(ISNUMBER(IFERROR(VALUE(MID(TRIM(Raw_Data!I205),1,4)),"NA")),VALUE(MID(TRIM(Raw_Data!I205),1,4)),VALUE(RIGHT(TRIM(Raw_Data!I205),4))))</f>
        <v>2019</v>
      </c>
      <c r="K214" s="25" t="str">
        <f>PROPER(TRIM(Raw_Data!J205))</f>
        <v>Business</v>
      </c>
      <c r="L214" s="25" t="str">
        <f t="shared" si="9"/>
        <v>10-13</v>
      </c>
      <c r="M214" s="25" t="str">
        <f t="shared" si="10"/>
        <v>Kids</v>
      </c>
      <c r="N214" s="25" t="str">
        <f>IF(ISNUMBER(SEARCH("NON",UPPER(Raw_Data!M205))),"Non-Premium Learner","Premium Learner")</f>
        <v>Non-Premium Learner</v>
      </c>
      <c r="O214" s="25" t="str">
        <f>PROPER(TRIM(Raw_Data!N205))</f>
        <v>Web Only</v>
      </c>
      <c r="P214" s="26">
        <f>IF(Raw_Data!O205="",$C$7,Raw_Data!O205)</f>
        <v>102010.16</v>
      </c>
      <c r="Q214" s="25" t="str">
        <f>IF(Raw_Data!O205="","Missing-Imputed","Original")</f>
        <v>Original</v>
      </c>
      <c r="R214" s="26">
        <f>Raw_Data!P205</f>
        <v>39.4</v>
      </c>
      <c r="S214" s="26">
        <f>Raw_Data!Q205</f>
        <v>34222.85</v>
      </c>
      <c r="T214" s="25" t="str">
        <f>IF(Raw_Data!R205="","Unknown",IF(ISNUMBER(SEARCH("ACT",UPPER(Raw_Data!R205))),"Active",IF(ISNUMBER(SEARCH("CLOS",UPPER(Raw_Data!R205))),"Closed","None")))</f>
        <v>None</v>
      </c>
      <c r="U214" s="26">
        <f>IF(Raw_Data!S205="",$C$8,VALUE(Raw_Data!S205))</f>
        <v>765</v>
      </c>
      <c r="V214" s="25" t="str">
        <f>IF(Raw_Data!S205="","Missing-Imputed","Original")</f>
        <v>Original</v>
      </c>
      <c r="W214" s="26">
        <f>Raw_Data!T205</f>
        <v>35</v>
      </c>
      <c r="X214" s="25" t="str">
        <f>IF(ISNUMBER(SEARCH("Y",UPPER(TRIM(Raw_Data!U205)))),"Yes","No")</f>
        <v>No</v>
      </c>
      <c r="Y214" s="25" t="str">
        <f>IF(ISNUMBER(SEARCH("Y",UPPER(TRIM(Raw_Data!V205)))),"Yes","No")</f>
        <v>No</v>
      </c>
      <c r="Z214" s="26">
        <f>Raw_Data!W205</f>
        <v>1</v>
      </c>
      <c r="AA214" s="26">
        <f>Raw_Data!X205</f>
        <v>7.8</v>
      </c>
      <c r="AB214" s="25" t="str">
        <f>IF(COUNTIFS(Raw_Data!$A$2:$A$616,Raw_Data!A205)&gt;1,"Duplicate","Unique")</f>
        <v>Unique</v>
      </c>
      <c r="AC214" s="25" t="str">
        <f t="shared" si="11"/>
        <v>Clean</v>
      </c>
    </row>
    <row r="215" spans="1:29" ht="15" customHeight="1">
      <c r="A215" s="23" t="str">
        <f>Raw_Data!A206</f>
        <v>BYJ1205</v>
      </c>
      <c r="B215" s="23" t="str">
        <f>Raw_Data!B206</f>
        <v xml:space="preserve">  Adweta Raj  </v>
      </c>
      <c r="C215" s="24">
        <f>IF(OR(Raw_Data!C206="",Raw_Data!C206&lt;$C$5,Raw_Data!C206&gt;$C$6),$C$4,Raw_Data!C206)</f>
        <v>27</v>
      </c>
      <c r="D215" s="23" t="str">
        <f>IF(Raw_Data!C206="","Missing-Imputed",IF(OR(Raw_Data!C206&lt;$C$5,Raw_Data!C206&gt;$C$6),"Outlier-Imputed","Original"))</f>
        <v>Original</v>
      </c>
      <c r="E215" s="23" t="str">
        <f>IF(OR(UPPER(TRIM(Raw_Data!D206))="M",UPPER(TRIM(Raw_Data!D206))="MALE"),"Male","Female")</f>
        <v>Male</v>
      </c>
      <c r="F215" s="23" t="str">
        <f>PROPER(TRIM(Raw_Data!E206))</f>
        <v>Moradabad</v>
      </c>
      <c r="G215" s="23" t="str">
        <f>PROPER(TRIM(Raw_Data!F206))</f>
        <v>Telangana</v>
      </c>
      <c r="H215" s="23" t="str">
        <f>PROPER(TRIM(Raw_Data!G206))</f>
        <v>English</v>
      </c>
      <c r="I215" s="23" t="str">
        <f>PROPER(TRIM(Raw_Data!H206))</f>
        <v>Bengaluru South</v>
      </c>
      <c r="J215" s="24">
        <f>IF(LEN(TRIM(Raw_Data!I206))=4,VALUE(TRIM(Raw_Data!I206)),IF(ISNUMBER(IFERROR(VALUE(MID(TRIM(Raw_Data!I206),1,4)),"NA")),VALUE(MID(TRIM(Raw_Data!I206),1,4)),VALUE(RIGHT(TRIM(Raw_Data!I206),4))))</f>
        <v>2025</v>
      </c>
      <c r="K215" s="23" t="str">
        <f>PROPER(TRIM(Raw_Data!J206))</f>
        <v>Government Employee</v>
      </c>
      <c r="L215" s="23" t="str">
        <f t="shared" si="9"/>
        <v>20+</v>
      </c>
      <c r="M215" s="23" t="str">
        <f t="shared" si="10"/>
        <v>Adult Learners</v>
      </c>
      <c r="N215" s="23" t="str">
        <f>IF(ISNUMBER(SEARCH("NON",UPPER(Raw_Data!M206))),"Non-Premium Learner","Premium Learner")</f>
        <v>Non-Premium Learner</v>
      </c>
      <c r="O215" s="23" t="str">
        <f>PROPER(TRIM(Raw_Data!N206))</f>
        <v>App Only</v>
      </c>
      <c r="P215" s="24">
        <f>IF(Raw_Data!O206="",$C$7,Raw_Data!O206)</f>
        <v>21090.15</v>
      </c>
      <c r="Q215" s="23" t="str">
        <f>IF(Raw_Data!O206="","Missing-Imputed","Original")</f>
        <v>Original</v>
      </c>
      <c r="R215" s="24">
        <f>Raw_Data!P206</f>
        <v>51.4</v>
      </c>
      <c r="S215" s="24">
        <f>Raw_Data!Q206</f>
        <v>21934.27</v>
      </c>
      <c r="T215" s="23" t="str">
        <f>IF(Raw_Data!R206="","Unknown",IF(ISNUMBER(SEARCH("ACT",UPPER(Raw_Data!R206))),"Active",IF(ISNUMBER(SEARCH("CLOS",UPPER(Raw_Data!R206))),"Closed","None")))</f>
        <v>Active</v>
      </c>
      <c r="U215" s="24">
        <f>IF(Raw_Data!S206="",$C$8,VALUE(Raw_Data!S206))</f>
        <v>874</v>
      </c>
      <c r="V215" s="23" t="str">
        <f>IF(Raw_Data!S206="","Missing-Imputed","Original")</f>
        <v>Original</v>
      </c>
      <c r="W215" s="24">
        <f>Raw_Data!T206</f>
        <v>52</v>
      </c>
      <c r="X215" s="23" t="str">
        <f>IF(ISNUMBER(SEARCH("Y",UPPER(TRIM(Raw_Data!U206)))),"Yes","No")</f>
        <v>Yes</v>
      </c>
      <c r="Y215" s="23" t="str">
        <f>IF(ISNUMBER(SEARCH("Y",UPPER(TRIM(Raw_Data!V206)))),"Yes","No")</f>
        <v>Yes</v>
      </c>
      <c r="Z215" s="24">
        <f>Raw_Data!W206</f>
        <v>4</v>
      </c>
      <c r="AA215" s="24">
        <f>Raw_Data!X206</f>
        <v>6.8</v>
      </c>
      <c r="AB215" s="23" t="str">
        <f>IF(COUNTIFS(Raw_Data!$A$2:$A$616,Raw_Data!A206)&gt;1,"Duplicate","Unique")</f>
        <v>Unique</v>
      </c>
      <c r="AC215" s="23" t="str">
        <f t="shared" si="11"/>
        <v>Clean</v>
      </c>
    </row>
    <row r="216" spans="1:29" ht="15" customHeight="1">
      <c r="A216" s="25" t="str">
        <f>Raw_Data!A207</f>
        <v>BYJ1206</v>
      </c>
      <c r="B216" s="25" t="str">
        <f>Raw_Data!B207</f>
        <v>Urishilla Bakshi</v>
      </c>
      <c r="C216" s="26">
        <f>IF(OR(Raw_Data!C207="",Raw_Data!C207&lt;$C$5,Raw_Data!C207&gt;$C$6),$C$4,Raw_Data!C207)</f>
        <v>19</v>
      </c>
      <c r="D216" s="25" t="str">
        <f>IF(Raw_Data!C207="","Missing-Imputed",IF(OR(Raw_Data!C207&lt;$C$5,Raw_Data!C207&gt;$C$6),"Outlier-Imputed","Original"))</f>
        <v>Original</v>
      </c>
      <c r="E216" s="25" t="str">
        <f>IF(OR(UPPER(TRIM(Raw_Data!D207))="M",UPPER(TRIM(Raw_Data!D207))="MALE"),"Male","Female")</f>
        <v>Male</v>
      </c>
      <c r="F216" s="25" t="str">
        <f>PROPER(TRIM(Raw_Data!E207))</f>
        <v>Phagwara</v>
      </c>
      <c r="G216" s="25" t="str">
        <f>PROPER(TRIM(Raw_Data!F207))</f>
        <v>Telangana</v>
      </c>
      <c r="H216" s="25" t="str">
        <f>PROPER(TRIM(Raw_Data!G207))</f>
        <v>Robotics</v>
      </c>
      <c r="I216" s="25" t="str">
        <f>PROPER(TRIM(Raw_Data!H207))</f>
        <v>Hyderabad Hub</v>
      </c>
      <c r="J216" s="26">
        <f>IF(LEN(TRIM(Raw_Data!I207))=4,VALUE(TRIM(Raw_Data!I207)),IF(ISNUMBER(IFERROR(VALUE(MID(TRIM(Raw_Data!I207),1,4)),"NA")),VALUE(MID(TRIM(Raw_Data!I207),1,4)),VALUE(RIGHT(TRIM(Raw_Data!I207),4))))</f>
        <v>2016</v>
      </c>
      <c r="K216" s="25" t="str">
        <f>PROPER(TRIM(Raw_Data!J207))</f>
        <v>Self-Employed</v>
      </c>
      <c r="L216" s="25" t="str">
        <f t="shared" si="9"/>
        <v>17-19</v>
      </c>
      <c r="M216" s="25" t="str">
        <f t="shared" si="10"/>
        <v>Teens</v>
      </c>
      <c r="N216" s="25" t="str">
        <f>IF(ISNUMBER(SEARCH("NON",UPPER(Raw_Data!M207))),"Non-Premium Learner","Premium Learner")</f>
        <v>Non-Premium Learner</v>
      </c>
      <c r="O216" s="25" t="str">
        <f>PROPER(TRIM(Raw_Data!N207))</f>
        <v>App Only</v>
      </c>
      <c r="P216" s="26">
        <f>IF(Raw_Data!O207="",$C$7,Raw_Data!O207)</f>
        <v>73173.759999999995</v>
      </c>
      <c r="Q216" s="25" t="str">
        <f>IF(Raw_Data!O207="","Missing-Imputed","Original")</f>
        <v>Original</v>
      </c>
      <c r="R216" s="26">
        <f>Raw_Data!P207</f>
        <v>66.900000000000006</v>
      </c>
      <c r="S216" s="26">
        <f>Raw_Data!Q207</f>
        <v>53967.07</v>
      </c>
      <c r="T216" s="25" t="str">
        <f>IF(Raw_Data!R207="","Unknown",IF(ISNUMBER(SEARCH("ACT",UPPER(Raw_Data!R207))),"Active",IF(ISNUMBER(SEARCH("CLOS",UPPER(Raw_Data!R207))),"Closed","None")))</f>
        <v>Closed</v>
      </c>
      <c r="U216" s="26">
        <f>IF(Raw_Data!S207="",$C$8,VALUE(Raw_Data!S207))</f>
        <v>676</v>
      </c>
      <c r="V216" s="25" t="str">
        <f>IF(Raw_Data!S207="","Missing-Imputed","Original")</f>
        <v>Original</v>
      </c>
      <c r="W216" s="26">
        <f>Raw_Data!T207</f>
        <v>177</v>
      </c>
      <c r="X216" s="25" t="str">
        <f>IF(ISNUMBER(SEARCH("Y",UPPER(TRIM(Raw_Data!U207)))),"Yes","No")</f>
        <v>Yes</v>
      </c>
      <c r="Y216" s="25" t="str">
        <f>IF(ISNUMBER(SEARCH("Y",UPPER(TRIM(Raw_Data!V207)))),"Yes","No")</f>
        <v>No</v>
      </c>
      <c r="Z216" s="26">
        <f>Raw_Data!W207</f>
        <v>1</v>
      </c>
      <c r="AA216" s="26">
        <f>Raw_Data!X207</f>
        <v>3.8</v>
      </c>
      <c r="AB216" s="25" t="str">
        <f>IF(COUNTIFS(Raw_Data!$A$2:$A$616,Raw_Data!A207)&gt;1,"Duplicate","Unique")</f>
        <v>Unique</v>
      </c>
      <c r="AC216" s="25" t="str">
        <f t="shared" si="11"/>
        <v>Clean</v>
      </c>
    </row>
    <row r="217" spans="1:29" ht="15" customHeight="1">
      <c r="A217" s="23" t="str">
        <f>Raw_Data!A208</f>
        <v>BYJ1207</v>
      </c>
      <c r="B217" s="23" t="str">
        <f>Raw_Data!B208</f>
        <v>Dev Shetty</v>
      </c>
      <c r="C217" s="24">
        <f>IF(OR(Raw_Data!C208="",Raw_Data!C208&lt;$C$5,Raw_Data!C208&gt;$C$6),$C$4,Raw_Data!C208)</f>
        <v>10</v>
      </c>
      <c r="D217" s="23" t="str">
        <f>IF(Raw_Data!C208="","Missing-Imputed",IF(OR(Raw_Data!C208&lt;$C$5,Raw_Data!C208&gt;$C$6),"Outlier-Imputed","Original"))</f>
        <v>Original</v>
      </c>
      <c r="E217" s="23" t="str">
        <f>IF(OR(UPPER(TRIM(Raw_Data!D208))="M",UPPER(TRIM(Raw_Data!D208))="MALE"),"Male","Female")</f>
        <v>Male</v>
      </c>
      <c r="F217" s="23" t="str">
        <f>PROPER(TRIM(Raw_Data!E208))</f>
        <v>Alappuzha</v>
      </c>
      <c r="G217" s="23" t="str">
        <f>PROPER(TRIM(Raw_Data!F208))</f>
        <v>Maharashtra</v>
      </c>
      <c r="H217" s="23" t="str">
        <f>PROPER(TRIM(Raw_Data!G208))</f>
        <v>Spoken English</v>
      </c>
      <c r="I217" s="23" t="str">
        <f>PROPER(TRIM(Raw_Data!H208))</f>
        <v>Mumbai West</v>
      </c>
      <c r="J217" s="24">
        <f>IF(LEN(TRIM(Raw_Data!I208))=4,VALUE(TRIM(Raw_Data!I208)),IF(ISNUMBER(IFERROR(VALUE(MID(TRIM(Raw_Data!I208),1,4)),"NA")),VALUE(MID(TRIM(Raw_Data!I208),1,4)),VALUE(RIGHT(TRIM(Raw_Data!I208),4))))</f>
        <v>2019</v>
      </c>
      <c r="K217" s="23" t="str">
        <f>PROPER(TRIM(Raw_Data!J208))</f>
        <v>Homemaker</v>
      </c>
      <c r="L217" s="23" t="str">
        <f t="shared" si="9"/>
        <v>10-13</v>
      </c>
      <c r="M217" s="23" t="str">
        <f t="shared" si="10"/>
        <v>Kids</v>
      </c>
      <c r="N217" s="23" t="str">
        <f>IF(ISNUMBER(SEARCH("NON",UPPER(Raw_Data!M208))),"Non-Premium Learner","Premium Learner")</f>
        <v>Non-Premium Learner</v>
      </c>
      <c r="O217" s="23" t="str">
        <f>PROPER(TRIM(Raw_Data!N208))</f>
        <v>App Only</v>
      </c>
      <c r="P217" s="24">
        <f>IF(Raw_Data!O208="",$C$7,Raw_Data!O208)</f>
        <v>73716.210000000006</v>
      </c>
      <c r="Q217" s="23" t="str">
        <f>IF(Raw_Data!O208="","Missing-Imputed","Original")</f>
        <v>Original</v>
      </c>
      <c r="R217" s="24">
        <f>Raw_Data!P208</f>
        <v>60.3</v>
      </c>
      <c r="S217" s="24">
        <f>Raw_Data!Q208</f>
        <v>1288.94</v>
      </c>
      <c r="T217" s="23" t="str">
        <f>IF(Raw_Data!R208="","Unknown",IF(ISNUMBER(SEARCH("ACT",UPPER(Raw_Data!R208))),"Active",IF(ISNUMBER(SEARCH("CLOS",UPPER(Raw_Data!R208))),"Closed","None")))</f>
        <v>Active</v>
      </c>
      <c r="U217" s="24">
        <f>IF(Raw_Data!S208="",$C$8,VALUE(Raw_Data!S208))</f>
        <v>322</v>
      </c>
      <c r="V217" s="23" t="str">
        <f>IF(Raw_Data!S208="","Missing-Imputed","Original")</f>
        <v>Original</v>
      </c>
      <c r="W217" s="24">
        <f>Raw_Data!T208</f>
        <v>59</v>
      </c>
      <c r="X217" s="23" t="str">
        <f>IF(ISNUMBER(SEARCH("Y",UPPER(TRIM(Raw_Data!U208)))),"Yes","No")</f>
        <v>No</v>
      </c>
      <c r="Y217" s="23" t="str">
        <f>IF(ISNUMBER(SEARCH("Y",UPPER(TRIM(Raw_Data!V208)))),"Yes","No")</f>
        <v>No</v>
      </c>
      <c r="Z217" s="24">
        <f>Raw_Data!W208</f>
        <v>4</v>
      </c>
      <c r="AA217" s="24">
        <f>Raw_Data!X208</f>
        <v>5.5</v>
      </c>
      <c r="AB217" s="23" t="str">
        <f>IF(COUNTIFS(Raw_Data!$A$2:$A$616,Raw_Data!A208)&gt;1,"Duplicate","Unique")</f>
        <v>Unique</v>
      </c>
      <c r="AC217" s="23" t="str">
        <f t="shared" si="11"/>
        <v>Clean</v>
      </c>
    </row>
    <row r="218" spans="1:29" ht="15" customHeight="1">
      <c r="A218" s="25" t="str">
        <f>Raw_Data!A209</f>
        <v>BYJ1208</v>
      </c>
      <c r="B218" s="25" t="str">
        <f>Raw_Data!B209</f>
        <v>Logan Bath</v>
      </c>
      <c r="C218" s="26">
        <f>IF(OR(Raw_Data!C209="",Raw_Data!C209&lt;$C$5,Raw_Data!C209&gt;$C$6),$C$4,Raw_Data!C209)</f>
        <v>34</v>
      </c>
      <c r="D218" s="25" t="str">
        <f>IF(Raw_Data!C209="","Missing-Imputed",IF(OR(Raw_Data!C209&lt;$C$5,Raw_Data!C209&gt;$C$6),"Outlier-Imputed","Original"))</f>
        <v>Original</v>
      </c>
      <c r="E218" s="25" t="str">
        <f>IF(OR(UPPER(TRIM(Raw_Data!D209))="M",UPPER(TRIM(Raw_Data!D209))="MALE"),"Male","Female")</f>
        <v>Female</v>
      </c>
      <c r="F218" s="25" t="str">
        <f>PROPER(TRIM(Raw_Data!E209))</f>
        <v>Avadi</v>
      </c>
      <c r="G218" s="25" t="str">
        <f>PROPER(TRIM(Raw_Data!F209))</f>
        <v>Telangana</v>
      </c>
      <c r="H218" s="25" t="str">
        <f>PROPER(TRIM(Raw_Data!G209))</f>
        <v>Science</v>
      </c>
      <c r="I218" s="25" t="str">
        <f>PROPER(TRIM(Raw_Data!H209))</f>
        <v>Hyderabad Hub</v>
      </c>
      <c r="J218" s="26">
        <f>IF(LEN(TRIM(Raw_Data!I209))=4,VALUE(TRIM(Raw_Data!I209)),IF(ISNUMBER(IFERROR(VALUE(MID(TRIM(Raw_Data!I209),1,4)),"NA")),VALUE(MID(TRIM(Raw_Data!I209),1,4)),VALUE(RIGHT(TRIM(Raw_Data!I209),4))))</f>
        <v>2019</v>
      </c>
      <c r="K218" s="25" t="str">
        <f>PROPER(TRIM(Raw_Data!J209))</f>
        <v>Salaried</v>
      </c>
      <c r="L218" s="25" t="str">
        <f t="shared" si="9"/>
        <v>20+</v>
      </c>
      <c r="M218" s="25" t="str">
        <f t="shared" si="10"/>
        <v>Adult Learners</v>
      </c>
      <c r="N218" s="25" t="str">
        <f>IF(ISNUMBER(SEARCH("NON",UPPER(Raw_Data!M209))),"Non-Premium Learner","Premium Learner")</f>
        <v>Premium Learner</v>
      </c>
      <c r="O218" s="25" t="str">
        <f>PROPER(TRIM(Raw_Data!N209))</f>
        <v>App Only</v>
      </c>
      <c r="P218" s="26">
        <f>IF(Raw_Data!O209="",$C$7,Raw_Data!O209)</f>
        <v>94701.38</v>
      </c>
      <c r="Q218" s="25" t="str">
        <f>IF(Raw_Data!O209="","Missing-Imputed","Original")</f>
        <v>Original</v>
      </c>
      <c r="R218" s="26">
        <f>Raw_Data!P209</f>
        <v>45.1</v>
      </c>
      <c r="S218" s="26">
        <f>Raw_Data!Q209</f>
        <v>10936.83</v>
      </c>
      <c r="T218" s="25" t="str">
        <f>IF(Raw_Data!R209="","Unknown",IF(ISNUMBER(SEARCH("ACT",UPPER(Raw_Data!R209))),"Active",IF(ISNUMBER(SEARCH("CLOS",UPPER(Raw_Data!R209))),"Closed","None")))</f>
        <v>Active</v>
      </c>
      <c r="U218" s="26">
        <f>IF(Raw_Data!S209="",$C$8,VALUE(Raw_Data!S209))</f>
        <v>465</v>
      </c>
      <c r="V218" s="25" t="str">
        <f>IF(Raw_Data!S209="","Missing-Imputed","Original")</f>
        <v>Original</v>
      </c>
      <c r="W218" s="26">
        <f>Raw_Data!T209</f>
        <v>10</v>
      </c>
      <c r="X218" s="25" t="str">
        <f>IF(ISNUMBER(SEARCH("Y",UPPER(TRIM(Raw_Data!U209)))),"Yes","No")</f>
        <v>No</v>
      </c>
      <c r="Y218" s="25" t="str">
        <f>IF(ISNUMBER(SEARCH("Y",UPPER(TRIM(Raw_Data!V209)))),"Yes","No")</f>
        <v>No</v>
      </c>
      <c r="Z218" s="26">
        <f>Raw_Data!W209</f>
        <v>3</v>
      </c>
      <c r="AA218" s="26">
        <f>Raw_Data!X209</f>
        <v>2.1</v>
      </c>
      <c r="AB218" s="25" t="str">
        <f>IF(COUNTIFS(Raw_Data!$A$2:$A$616,Raw_Data!A209)&gt;1,"Duplicate","Unique")</f>
        <v>Unique</v>
      </c>
      <c r="AC218" s="25" t="str">
        <f t="shared" si="11"/>
        <v>Clean</v>
      </c>
    </row>
    <row r="219" spans="1:29" ht="15" customHeight="1">
      <c r="A219" s="23" t="str">
        <f>Raw_Data!A210</f>
        <v>BYJ1209</v>
      </c>
      <c r="B219" s="23" t="str">
        <f>Raw_Data!B210</f>
        <v>Jack Chatterjee</v>
      </c>
      <c r="C219" s="24">
        <f>IF(OR(Raw_Data!C210="",Raw_Data!C210&lt;$C$5,Raw_Data!C210&gt;$C$6),$C$4,Raw_Data!C210)</f>
        <v>24</v>
      </c>
      <c r="D219" s="23" t="str">
        <f>IF(Raw_Data!C210="","Missing-Imputed",IF(OR(Raw_Data!C210&lt;$C$5,Raw_Data!C210&gt;$C$6),"Outlier-Imputed","Original"))</f>
        <v>Outlier-Imputed</v>
      </c>
      <c r="E219" s="23" t="str">
        <f>IF(OR(UPPER(TRIM(Raw_Data!D210))="M",UPPER(TRIM(Raw_Data!D210))="MALE"),"Male","Female")</f>
        <v>Female</v>
      </c>
      <c r="F219" s="23" t="str">
        <f>PROPER(TRIM(Raw_Data!E210))</f>
        <v>Siwan</v>
      </c>
      <c r="G219" s="23" t="str">
        <f>PROPER(TRIM(Raw_Data!F210))</f>
        <v>Uttar Pradesh</v>
      </c>
      <c r="H219" s="23" t="str">
        <f>PROPER(TRIM(Raw_Data!G210))</f>
        <v>Science</v>
      </c>
      <c r="I219" s="23" t="str">
        <f>PROPER(TRIM(Raw_Data!H210))</f>
        <v>Jaipur Center</v>
      </c>
      <c r="J219" s="24">
        <f>IF(LEN(TRIM(Raw_Data!I210))=4,VALUE(TRIM(Raw_Data!I210)),IF(ISNUMBER(IFERROR(VALUE(MID(TRIM(Raw_Data!I210),1,4)),"NA")),VALUE(MID(TRIM(Raw_Data!I210),1,4)),VALUE(RIGHT(TRIM(Raw_Data!I210),4))))</f>
        <v>2020</v>
      </c>
      <c r="K219" s="23" t="str">
        <f>PROPER(TRIM(Raw_Data!J210))</f>
        <v>Self-Employed</v>
      </c>
      <c r="L219" s="23" t="str">
        <f t="shared" si="9"/>
        <v>20+</v>
      </c>
      <c r="M219" s="23" t="str">
        <f t="shared" si="10"/>
        <v>Adult Learners</v>
      </c>
      <c r="N219" s="23" t="str">
        <f>IF(ISNUMBER(SEARCH("NON",UPPER(Raw_Data!M210))),"Non-Premium Learner","Premium Learner")</f>
        <v>Non-Premium Learner</v>
      </c>
      <c r="O219" s="23" t="str">
        <f>PROPER(TRIM(Raw_Data!N210))</f>
        <v>Web Only</v>
      </c>
      <c r="P219" s="24">
        <f>IF(Raw_Data!O210="",$C$7,Raw_Data!O210)</f>
        <v>27627.72</v>
      </c>
      <c r="Q219" s="23" t="str">
        <f>IF(Raw_Data!O210="","Missing-Imputed","Original")</f>
        <v>Original</v>
      </c>
      <c r="R219" s="24">
        <f>Raw_Data!P210</f>
        <v>46</v>
      </c>
      <c r="S219" s="24">
        <f>Raw_Data!Q210</f>
        <v>30444.54</v>
      </c>
      <c r="T219" s="23" t="str">
        <f>IF(Raw_Data!R210="","Unknown",IF(ISNUMBER(SEARCH("ACT",UPPER(Raw_Data!R210))),"Active",IF(ISNUMBER(SEARCH("CLOS",UPPER(Raw_Data!R210))),"Closed","None")))</f>
        <v>None</v>
      </c>
      <c r="U219" s="24">
        <f>IF(Raw_Data!S210="",$C$8,VALUE(Raw_Data!S210))</f>
        <v>785</v>
      </c>
      <c r="V219" s="23" t="str">
        <f>IF(Raw_Data!S210="","Missing-Imputed","Original")</f>
        <v>Original</v>
      </c>
      <c r="W219" s="24">
        <f>Raw_Data!T210</f>
        <v>193</v>
      </c>
      <c r="X219" s="23" t="str">
        <f>IF(ISNUMBER(SEARCH("Y",UPPER(TRIM(Raw_Data!U210)))),"Yes","No")</f>
        <v>Yes</v>
      </c>
      <c r="Y219" s="23" t="str">
        <f>IF(ISNUMBER(SEARCH("Y",UPPER(TRIM(Raw_Data!V210)))),"Yes","No")</f>
        <v>No</v>
      </c>
      <c r="Z219" s="24">
        <f>Raw_Data!W210</f>
        <v>4</v>
      </c>
      <c r="AA219" s="24">
        <f>Raw_Data!X210</f>
        <v>8.1999999999999993</v>
      </c>
      <c r="AB219" s="23" t="str">
        <f>IF(COUNTIFS(Raw_Data!$A$2:$A$616,Raw_Data!A210)&gt;1,"Duplicate","Unique")</f>
        <v>Unique</v>
      </c>
      <c r="AC219" s="23" t="str">
        <f t="shared" si="11"/>
        <v>Imputed</v>
      </c>
    </row>
    <row r="220" spans="1:29" ht="15" customHeight="1">
      <c r="A220" s="25" t="str">
        <f>Raw_Data!A211</f>
        <v>BYJ1210</v>
      </c>
      <c r="B220" s="25" t="str">
        <f>Raw_Data!B211</f>
        <v>Lipika Setty</v>
      </c>
      <c r="C220" s="26">
        <f>IF(OR(Raw_Data!C211="",Raw_Data!C211&lt;$C$5,Raw_Data!C211&gt;$C$6),$C$4,Raw_Data!C211)</f>
        <v>25</v>
      </c>
      <c r="D220" s="25" t="str">
        <f>IF(Raw_Data!C211="","Missing-Imputed",IF(OR(Raw_Data!C211&lt;$C$5,Raw_Data!C211&gt;$C$6),"Outlier-Imputed","Original"))</f>
        <v>Original</v>
      </c>
      <c r="E220" s="25" t="str">
        <f>IF(OR(UPPER(TRIM(Raw_Data!D211))="M",UPPER(TRIM(Raw_Data!D211))="MALE"),"Male","Female")</f>
        <v>Male</v>
      </c>
      <c r="F220" s="25" t="str">
        <f>PROPER(TRIM(Raw_Data!E211))</f>
        <v>Panvel</v>
      </c>
      <c r="G220" s="25" t="str">
        <f>PROPER(TRIM(Raw_Data!F211))</f>
        <v>Delhi</v>
      </c>
      <c r="H220" s="25" t="str">
        <f>PROPER(TRIM(Raw_Data!G211))</f>
        <v>Spoken English</v>
      </c>
      <c r="I220" s="25" t="str">
        <f>PROPER(TRIM(Raw_Data!H211))</f>
        <v>Pune East</v>
      </c>
      <c r="J220" s="26">
        <f>IF(LEN(TRIM(Raw_Data!I211))=4,VALUE(TRIM(Raw_Data!I211)),IF(ISNUMBER(IFERROR(VALUE(MID(TRIM(Raw_Data!I211),1,4)),"NA")),VALUE(MID(TRIM(Raw_Data!I211),1,4)),VALUE(RIGHT(TRIM(Raw_Data!I211),4))))</f>
        <v>2017</v>
      </c>
      <c r="K220" s="25" t="str">
        <f>PROPER(TRIM(Raw_Data!J211))</f>
        <v>Government Employee</v>
      </c>
      <c r="L220" s="25" t="str">
        <f t="shared" si="9"/>
        <v>20+</v>
      </c>
      <c r="M220" s="25" t="str">
        <f t="shared" si="10"/>
        <v>Adult Learners</v>
      </c>
      <c r="N220" s="25" t="str">
        <f>IF(ISNUMBER(SEARCH("NON",UPPER(Raw_Data!M211))),"Non-Premium Learner","Premium Learner")</f>
        <v>Non-Premium Learner</v>
      </c>
      <c r="O220" s="25" t="str">
        <f>PROPER(TRIM(Raw_Data!N211))</f>
        <v>Web Only</v>
      </c>
      <c r="P220" s="26">
        <f>IF(Raw_Data!O211="",$C$7,Raw_Data!O211)</f>
        <v>33378.769999999997</v>
      </c>
      <c r="Q220" s="25" t="str">
        <f>IF(Raw_Data!O211="","Missing-Imputed","Original")</f>
        <v>Original</v>
      </c>
      <c r="R220" s="26">
        <f>Raw_Data!P211</f>
        <v>68.7</v>
      </c>
      <c r="S220" s="26">
        <f>Raw_Data!Q211</f>
        <v>40623.800000000003</v>
      </c>
      <c r="T220" s="25" t="str">
        <f>IF(Raw_Data!R211="","Unknown",IF(ISNUMBER(SEARCH("ACT",UPPER(Raw_Data!R211))),"Active",IF(ISNUMBER(SEARCH("CLOS",UPPER(Raw_Data!R211))),"Closed","None")))</f>
        <v>Active</v>
      </c>
      <c r="U220" s="26">
        <f>IF(Raw_Data!S211="",$C$8,VALUE(Raw_Data!S211))</f>
        <v>499</v>
      </c>
      <c r="V220" s="25" t="str">
        <f>IF(Raw_Data!S211="","Missing-Imputed","Original")</f>
        <v>Original</v>
      </c>
      <c r="W220" s="26">
        <f>Raw_Data!T211</f>
        <v>154</v>
      </c>
      <c r="X220" s="25" t="str">
        <f>IF(ISNUMBER(SEARCH("Y",UPPER(TRIM(Raw_Data!U211)))),"Yes","No")</f>
        <v>Yes</v>
      </c>
      <c r="Y220" s="25" t="str">
        <f>IF(ISNUMBER(SEARCH("Y",UPPER(TRIM(Raw_Data!V211)))),"Yes","No")</f>
        <v>No</v>
      </c>
      <c r="Z220" s="26">
        <f>Raw_Data!W211</f>
        <v>4</v>
      </c>
      <c r="AA220" s="26">
        <f>Raw_Data!X211</f>
        <v>3.6</v>
      </c>
      <c r="AB220" s="25" t="str">
        <f>IF(COUNTIFS(Raw_Data!$A$2:$A$616,Raw_Data!A211)&gt;1,"Duplicate","Unique")</f>
        <v>Unique</v>
      </c>
      <c r="AC220" s="25" t="str">
        <f t="shared" si="11"/>
        <v>Clean</v>
      </c>
    </row>
    <row r="221" spans="1:29" ht="15" customHeight="1">
      <c r="A221" s="23" t="str">
        <f>Raw_Data!A212</f>
        <v>BYJ1211</v>
      </c>
      <c r="B221" s="23" t="str">
        <f>Raw_Data!B212</f>
        <v>Mohammed Sachdeva</v>
      </c>
      <c r="C221" s="24">
        <f>IF(OR(Raw_Data!C212="",Raw_Data!C212&lt;$C$5,Raw_Data!C212&gt;$C$6),$C$4,Raw_Data!C212)</f>
        <v>28</v>
      </c>
      <c r="D221" s="23" t="str">
        <f>IF(Raw_Data!C212="","Missing-Imputed",IF(OR(Raw_Data!C212&lt;$C$5,Raw_Data!C212&gt;$C$6),"Outlier-Imputed","Original"))</f>
        <v>Original</v>
      </c>
      <c r="E221" s="23" t="str">
        <f>IF(OR(UPPER(TRIM(Raw_Data!D212))="M",UPPER(TRIM(Raw_Data!D212))="MALE"),"Male","Female")</f>
        <v>Female</v>
      </c>
      <c r="F221" s="23" t="str">
        <f>PROPER(TRIM(Raw_Data!E212))</f>
        <v>Unnao</v>
      </c>
      <c r="G221" s="23" t="str">
        <f>PROPER(TRIM(Raw_Data!F212))</f>
        <v>Karnataka</v>
      </c>
      <c r="H221" s="23" t="str">
        <f>PROPER(TRIM(Raw_Data!G212))</f>
        <v>English</v>
      </c>
      <c r="I221" s="23" t="str">
        <f>PROPER(TRIM(Raw_Data!H212))</f>
        <v>Ahmedabad Center</v>
      </c>
      <c r="J221" s="24">
        <f>IF(LEN(TRIM(Raw_Data!I212))=4,VALUE(TRIM(Raw_Data!I212)),IF(ISNUMBER(IFERROR(VALUE(MID(TRIM(Raw_Data!I212),1,4)),"NA")),VALUE(MID(TRIM(Raw_Data!I212),1,4)),VALUE(RIGHT(TRIM(Raw_Data!I212),4))))</f>
        <v>2022</v>
      </c>
      <c r="K221" s="23" t="str">
        <f>PROPER(TRIM(Raw_Data!J212))</f>
        <v>Retired</v>
      </c>
      <c r="L221" s="23" t="str">
        <f t="shared" si="9"/>
        <v>20+</v>
      </c>
      <c r="M221" s="23" t="str">
        <f t="shared" si="10"/>
        <v>Adult Learners</v>
      </c>
      <c r="N221" s="23" t="str">
        <f>IF(ISNUMBER(SEARCH("NON",UPPER(Raw_Data!M212))),"Non-Premium Learner","Premium Learner")</f>
        <v>Non-Premium Learner</v>
      </c>
      <c r="O221" s="23" t="str">
        <f>PROPER(TRIM(Raw_Data!N212))</f>
        <v>Web Only</v>
      </c>
      <c r="P221" s="24">
        <f>IF(Raw_Data!O212="",$C$7,Raw_Data!O212)</f>
        <v>25237.31</v>
      </c>
      <c r="Q221" s="23" t="str">
        <f>IF(Raw_Data!O212="","Missing-Imputed","Original")</f>
        <v>Original</v>
      </c>
      <c r="R221" s="24">
        <f>Raw_Data!P212</f>
        <v>11.5</v>
      </c>
      <c r="S221" s="24">
        <f>Raw_Data!Q212</f>
        <v>12467.03</v>
      </c>
      <c r="T221" s="23" t="str">
        <f>IF(Raw_Data!R212="","Unknown",IF(ISNUMBER(SEARCH("ACT",UPPER(Raw_Data!R212))),"Active",IF(ISNUMBER(SEARCH("CLOS",UPPER(Raw_Data!R212))),"Closed","None")))</f>
        <v>Closed</v>
      </c>
      <c r="U221" s="24">
        <f>IF(Raw_Data!S212="",$C$8,VALUE(Raw_Data!S212))</f>
        <v>643</v>
      </c>
      <c r="V221" s="23" t="str">
        <f>IF(Raw_Data!S212="","Missing-Imputed","Original")</f>
        <v>Original</v>
      </c>
      <c r="W221" s="24">
        <f>Raw_Data!T212</f>
        <v>151</v>
      </c>
      <c r="X221" s="23" t="str">
        <f>IF(ISNUMBER(SEARCH("Y",UPPER(TRIM(Raw_Data!U212)))),"Yes","No")</f>
        <v>No</v>
      </c>
      <c r="Y221" s="23" t="str">
        <f>IF(ISNUMBER(SEARCH("Y",UPPER(TRIM(Raw_Data!V212)))),"Yes","No")</f>
        <v>Yes</v>
      </c>
      <c r="Z221" s="24">
        <f>Raw_Data!W212</f>
        <v>3</v>
      </c>
      <c r="AA221" s="24">
        <f>Raw_Data!X212</f>
        <v>4</v>
      </c>
      <c r="AB221" s="23" t="str">
        <f>IF(COUNTIFS(Raw_Data!$A$2:$A$616,Raw_Data!A212)&gt;1,"Duplicate","Unique")</f>
        <v>Unique</v>
      </c>
      <c r="AC221" s="23" t="str">
        <f t="shared" si="11"/>
        <v>Clean</v>
      </c>
    </row>
    <row r="222" spans="1:29" ht="15" customHeight="1">
      <c r="A222" s="25" t="str">
        <f>Raw_Data!A213</f>
        <v>BYJ1212</v>
      </c>
      <c r="B222" s="25" t="str">
        <f>Raw_Data!B213</f>
        <v>Ati Bali</v>
      </c>
      <c r="C222" s="26">
        <f>IF(OR(Raw_Data!C213="",Raw_Data!C213&lt;$C$5,Raw_Data!C213&gt;$C$6),$C$4,Raw_Data!C213)</f>
        <v>14</v>
      </c>
      <c r="D222" s="25" t="str">
        <f>IF(Raw_Data!C213="","Missing-Imputed",IF(OR(Raw_Data!C213&lt;$C$5,Raw_Data!C213&gt;$C$6),"Outlier-Imputed","Original"))</f>
        <v>Original</v>
      </c>
      <c r="E222" s="25" t="str">
        <f>IF(OR(UPPER(TRIM(Raw_Data!D213))="M",UPPER(TRIM(Raw_Data!D213))="MALE"),"Male","Female")</f>
        <v>Male</v>
      </c>
      <c r="F222" s="25" t="str">
        <f>PROPER(TRIM(Raw_Data!E213))</f>
        <v>Bellary</v>
      </c>
      <c r="G222" s="25" t="str">
        <f>PROPER(TRIM(Raw_Data!F213))</f>
        <v>Telangana</v>
      </c>
      <c r="H222" s="25" t="str">
        <f>PROPER(TRIM(Raw_Data!G213))</f>
        <v>Spoken English</v>
      </c>
      <c r="I222" s="25" t="str">
        <f>PROPER(TRIM(Raw_Data!H213))</f>
        <v>Chennai Central</v>
      </c>
      <c r="J222" s="26">
        <f>IF(LEN(TRIM(Raw_Data!I213))=4,VALUE(TRIM(Raw_Data!I213)),IF(ISNUMBER(IFERROR(VALUE(MID(TRIM(Raw_Data!I213),1,4)),"NA")),VALUE(MID(TRIM(Raw_Data!I213),1,4)),VALUE(RIGHT(TRIM(Raw_Data!I213),4))))</f>
        <v>2020</v>
      </c>
      <c r="K222" s="25" t="str">
        <f>PROPER(TRIM(Raw_Data!J213))</f>
        <v>Government Employee</v>
      </c>
      <c r="L222" s="25" t="str">
        <f t="shared" si="9"/>
        <v>14-16</v>
      </c>
      <c r="M222" s="25" t="str">
        <f t="shared" si="10"/>
        <v>Teens</v>
      </c>
      <c r="N222" s="25" t="str">
        <f>IF(ISNUMBER(SEARCH("NON",UPPER(Raw_Data!M213))),"Non-Premium Learner","Premium Learner")</f>
        <v>Non-Premium Learner</v>
      </c>
      <c r="O222" s="25" t="str">
        <f>PROPER(TRIM(Raw_Data!N213))</f>
        <v>App Only</v>
      </c>
      <c r="P222" s="26">
        <f>IF(Raw_Data!O213="",$C$7,Raw_Data!O213)</f>
        <v>27333.48</v>
      </c>
      <c r="Q222" s="25" t="str">
        <f>IF(Raw_Data!O213="","Missing-Imputed","Original")</f>
        <v>Original</v>
      </c>
      <c r="R222" s="26">
        <f>Raw_Data!P213</f>
        <v>53</v>
      </c>
      <c r="S222" s="26">
        <f>Raw_Data!Q213</f>
        <v>38193.65</v>
      </c>
      <c r="T222" s="25" t="str">
        <f>IF(Raw_Data!R213="","Unknown",IF(ISNUMBER(SEARCH("ACT",UPPER(Raw_Data!R213))),"Active",IF(ISNUMBER(SEARCH("CLOS",UPPER(Raw_Data!R213))),"Closed","None")))</f>
        <v>Active</v>
      </c>
      <c r="U222" s="26">
        <f>IF(Raw_Data!S213="",$C$8,VALUE(Raw_Data!S213))</f>
        <v>727</v>
      </c>
      <c r="V222" s="25" t="str">
        <f>IF(Raw_Data!S213="","Missing-Imputed","Original")</f>
        <v>Original</v>
      </c>
      <c r="W222" s="26">
        <f>Raw_Data!T213</f>
        <v>176</v>
      </c>
      <c r="X222" s="25" t="str">
        <f>IF(ISNUMBER(SEARCH("Y",UPPER(TRIM(Raw_Data!U213)))),"Yes","No")</f>
        <v>Yes</v>
      </c>
      <c r="Y222" s="25" t="str">
        <f>IF(ISNUMBER(SEARCH("Y",UPPER(TRIM(Raw_Data!V213)))),"Yes","No")</f>
        <v>Yes</v>
      </c>
      <c r="Z222" s="26">
        <f>Raw_Data!W213</f>
        <v>4</v>
      </c>
      <c r="AA222" s="26">
        <f>Raw_Data!X213</f>
        <v>9</v>
      </c>
      <c r="AB222" s="25" t="str">
        <f>IF(COUNTIFS(Raw_Data!$A$2:$A$616,Raw_Data!A213)&gt;1,"Duplicate","Unique")</f>
        <v>Unique</v>
      </c>
      <c r="AC222" s="25" t="str">
        <f t="shared" si="11"/>
        <v>Clean</v>
      </c>
    </row>
    <row r="223" spans="1:29" ht="15" customHeight="1">
      <c r="A223" s="23" t="str">
        <f>Raw_Data!A214</f>
        <v>BYJ1213</v>
      </c>
      <c r="B223" s="23" t="str">
        <f>Raw_Data!B214</f>
        <v xml:space="preserve">  Sai Keer  </v>
      </c>
      <c r="C223" s="24">
        <f>IF(OR(Raw_Data!C214="",Raw_Data!C214&lt;$C$5,Raw_Data!C214&gt;$C$6),$C$4,Raw_Data!C214)</f>
        <v>43</v>
      </c>
      <c r="D223" s="23" t="str">
        <f>IF(Raw_Data!C214="","Missing-Imputed",IF(OR(Raw_Data!C214&lt;$C$5,Raw_Data!C214&gt;$C$6),"Outlier-Imputed","Original"))</f>
        <v>Original</v>
      </c>
      <c r="E223" s="23" t="str">
        <f>IF(OR(UPPER(TRIM(Raw_Data!D214))="M",UPPER(TRIM(Raw_Data!D214))="MALE"),"Male","Female")</f>
        <v>Female</v>
      </c>
      <c r="F223" s="23" t="str">
        <f>PROPER(TRIM(Raw_Data!E214))</f>
        <v>Navi Mumbai</v>
      </c>
      <c r="G223" s="23" t="str">
        <f>PROPER(TRIM(Raw_Data!F214))</f>
        <v>Telangana</v>
      </c>
      <c r="H223" s="23" t="str">
        <f>PROPER(TRIM(Raw_Data!G214))</f>
        <v>Spoken English</v>
      </c>
      <c r="I223" s="23" t="str">
        <f>PROPER(TRIM(Raw_Data!H214))</f>
        <v>Bengaluru South</v>
      </c>
      <c r="J223" s="24">
        <f>IF(LEN(TRIM(Raw_Data!I214))=4,VALUE(TRIM(Raw_Data!I214)),IF(ISNUMBER(IFERROR(VALUE(MID(TRIM(Raw_Data!I214),1,4)),"NA")),VALUE(MID(TRIM(Raw_Data!I214),1,4)),VALUE(RIGHT(TRIM(Raw_Data!I214),4))))</f>
        <v>2021</v>
      </c>
      <c r="K223" s="23" t="str">
        <f>PROPER(TRIM(Raw_Data!J214))</f>
        <v>Homemaker</v>
      </c>
      <c r="L223" s="23" t="str">
        <f t="shared" si="9"/>
        <v>20+</v>
      </c>
      <c r="M223" s="23" t="str">
        <f t="shared" si="10"/>
        <v>Adult Learners</v>
      </c>
      <c r="N223" s="23" t="str">
        <f>IF(ISNUMBER(SEARCH("NON",UPPER(Raw_Data!M214))),"Non-Premium Learner","Premium Learner")</f>
        <v>Premium Learner</v>
      </c>
      <c r="O223" s="23" t="str">
        <f>PROPER(TRIM(Raw_Data!N214))</f>
        <v>Web Only</v>
      </c>
      <c r="P223" s="24">
        <f>IF(Raw_Data!O214="",$C$7,Raw_Data!O214)</f>
        <v>71851.38</v>
      </c>
      <c r="Q223" s="23" t="str">
        <f>IF(Raw_Data!O214="","Missing-Imputed","Original")</f>
        <v>Original</v>
      </c>
      <c r="R223" s="24">
        <f>Raw_Data!P214</f>
        <v>31.8</v>
      </c>
      <c r="S223" s="24">
        <f>Raw_Data!Q214</f>
        <v>3173.3</v>
      </c>
      <c r="T223" s="23" t="str">
        <f>IF(Raw_Data!R214="","Unknown",IF(ISNUMBER(SEARCH("ACT",UPPER(Raw_Data!R214))),"Active",IF(ISNUMBER(SEARCH("CLOS",UPPER(Raw_Data!R214))),"Closed","None")))</f>
        <v>Closed</v>
      </c>
      <c r="U223" s="24">
        <f>IF(Raw_Data!S214="",$C$8,VALUE(Raw_Data!S214))</f>
        <v>664</v>
      </c>
      <c r="V223" s="23" t="str">
        <f>IF(Raw_Data!S214="","Missing-Imputed","Original")</f>
        <v>Original</v>
      </c>
      <c r="W223" s="24">
        <f>Raw_Data!T214</f>
        <v>74</v>
      </c>
      <c r="X223" s="23" t="str">
        <f>IF(ISNUMBER(SEARCH("Y",UPPER(TRIM(Raw_Data!U214)))),"Yes","No")</f>
        <v>Yes</v>
      </c>
      <c r="Y223" s="23" t="str">
        <f>IF(ISNUMBER(SEARCH("Y",UPPER(TRIM(Raw_Data!V214)))),"Yes","No")</f>
        <v>Yes</v>
      </c>
      <c r="Z223" s="24">
        <f>Raw_Data!W214</f>
        <v>5</v>
      </c>
      <c r="AA223" s="24">
        <f>Raw_Data!X214</f>
        <v>6.9</v>
      </c>
      <c r="AB223" s="23" t="str">
        <f>IF(COUNTIFS(Raw_Data!$A$2:$A$616,Raw_Data!A214)&gt;1,"Duplicate","Unique")</f>
        <v>Unique</v>
      </c>
      <c r="AC223" s="23" t="str">
        <f t="shared" si="11"/>
        <v>Clean</v>
      </c>
    </row>
    <row r="224" spans="1:29" ht="15" customHeight="1">
      <c r="A224" s="25" t="str">
        <f>Raw_Data!A215</f>
        <v>BYJ1214</v>
      </c>
      <c r="B224" s="25" t="str">
        <f>Raw_Data!B215</f>
        <v>Jagrati Bhat</v>
      </c>
      <c r="C224" s="26">
        <f>IF(OR(Raw_Data!C215="",Raw_Data!C215&lt;$C$5,Raw_Data!C215&gt;$C$6),$C$4,Raw_Data!C215)</f>
        <v>25</v>
      </c>
      <c r="D224" s="25" t="str">
        <f>IF(Raw_Data!C215="","Missing-Imputed",IF(OR(Raw_Data!C215&lt;$C$5,Raw_Data!C215&gt;$C$6),"Outlier-Imputed","Original"))</f>
        <v>Original</v>
      </c>
      <c r="E224" s="25" t="str">
        <f>IF(OR(UPPER(TRIM(Raw_Data!D215))="M",UPPER(TRIM(Raw_Data!D215))="MALE"),"Male","Female")</f>
        <v>Female</v>
      </c>
      <c r="F224" s="25" t="str">
        <f>PROPER(TRIM(Raw_Data!E215))</f>
        <v>Bally</v>
      </c>
      <c r="G224" s="25" t="str">
        <f>PROPER(TRIM(Raw_Data!F215))</f>
        <v>Kerala</v>
      </c>
      <c r="H224" s="25" t="str">
        <f>PROPER(TRIM(Raw_Data!G215))</f>
        <v>Neet Prep</v>
      </c>
      <c r="I224" s="25" t="str">
        <f>PROPER(TRIM(Raw_Data!H215))</f>
        <v>Mumbai West</v>
      </c>
      <c r="J224" s="26">
        <f>IF(LEN(TRIM(Raw_Data!I215))=4,VALUE(TRIM(Raw_Data!I215)),IF(ISNUMBER(IFERROR(VALUE(MID(TRIM(Raw_Data!I215),1,4)),"NA")),VALUE(MID(TRIM(Raw_Data!I215),1,4)),VALUE(RIGHT(TRIM(Raw_Data!I215),4))))</f>
        <v>2016</v>
      </c>
      <c r="K224" s="25" t="str">
        <f>PROPER(TRIM(Raw_Data!J215))</f>
        <v>Homemaker</v>
      </c>
      <c r="L224" s="25" t="str">
        <f t="shared" si="9"/>
        <v>20+</v>
      </c>
      <c r="M224" s="25" t="str">
        <f t="shared" si="10"/>
        <v>Adult Learners</v>
      </c>
      <c r="N224" s="25" t="str">
        <f>IF(ISNUMBER(SEARCH("NON",UPPER(Raw_Data!M215))),"Non-Premium Learner","Premium Learner")</f>
        <v>Non-Premium Learner</v>
      </c>
      <c r="O224" s="25" t="str">
        <f>PROPER(TRIM(Raw_Data!N215))</f>
        <v>App Only</v>
      </c>
      <c r="P224" s="26">
        <f>IF(Raw_Data!O215="",$C$7,Raw_Data!O215)</f>
        <v>19850.59</v>
      </c>
      <c r="Q224" s="25" t="str">
        <f>IF(Raw_Data!O215="","Missing-Imputed","Original")</f>
        <v>Original</v>
      </c>
      <c r="R224" s="26">
        <f>Raw_Data!P215</f>
        <v>21.6</v>
      </c>
      <c r="S224" s="26">
        <f>Raw_Data!Q215</f>
        <v>11305.01</v>
      </c>
      <c r="T224" s="25" t="str">
        <f>IF(Raw_Data!R215="","Unknown",IF(ISNUMBER(SEARCH("ACT",UPPER(Raw_Data!R215))),"Active",IF(ISNUMBER(SEARCH("CLOS",UPPER(Raw_Data!R215))),"Closed","None")))</f>
        <v>Unknown</v>
      </c>
      <c r="U224" s="26">
        <f>IF(Raw_Data!S215="",$C$8,VALUE(Raw_Data!S215))</f>
        <v>838</v>
      </c>
      <c r="V224" s="25" t="str">
        <f>IF(Raw_Data!S215="","Missing-Imputed","Original")</f>
        <v>Original</v>
      </c>
      <c r="W224" s="26">
        <f>Raw_Data!T215</f>
        <v>182</v>
      </c>
      <c r="X224" s="25" t="str">
        <f>IF(ISNUMBER(SEARCH("Y",UPPER(TRIM(Raw_Data!U215)))),"Yes","No")</f>
        <v>Yes</v>
      </c>
      <c r="Y224" s="25" t="str">
        <f>IF(ISNUMBER(SEARCH("Y",UPPER(TRIM(Raw_Data!V215)))),"Yes","No")</f>
        <v>No</v>
      </c>
      <c r="Z224" s="26">
        <f>Raw_Data!W215</f>
        <v>1</v>
      </c>
      <c r="AA224" s="26">
        <f>Raw_Data!X215</f>
        <v>7.5</v>
      </c>
      <c r="AB224" s="25" t="str">
        <f>IF(COUNTIFS(Raw_Data!$A$2:$A$616,Raw_Data!A215)&gt;1,"Duplicate","Unique")</f>
        <v>Unique</v>
      </c>
      <c r="AC224" s="25" t="str">
        <f t="shared" si="11"/>
        <v>Clean</v>
      </c>
    </row>
    <row r="225" spans="1:29" ht="15" customHeight="1">
      <c r="A225" s="23" t="str">
        <f>Raw_Data!A216</f>
        <v>BYJ1215</v>
      </c>
      <c r="B225" s="23" t="str">
        <f>Raw_Data!B216</f>
        <v>Jason Sha</v>
      </c>
      <c r="C225" s="24">
        <f>IF(OR(Raw_Data!C216="",Raw_Data!C216&lt;$C$5,Raw_Data!C216&gt;$C$6),$C$4,Raw_Data!C216)</f>
        <v>25</v>
      </c>
      <c r="D225" s="23" t="str">
        <f>IF(Raw_Data!C216="","Missing-Imputed",IF(OR(Raw_Data!C216&lt;$C$5,Raw_Data!C216&gt;$C$6),"Outlier-Imputed","Original"))</f>
        <v>Original</v>
      </c>
      <c r="E225" s="23" t="str">
        <f>IF(OR(UPPER(TRIM(Raw_Data!D216))="M",UPPER(TRIM(Raw_Data!D216))="MALE"),"Male","Female")</f>
        <v>Female</v>
      </c>
      <c r="F225" s="23" t="str">
        <f>PROPER(TRIM(Raw_Data!E216))</f>
        <v>Rajpur Sonarpur</v>
      </c>
      <c r="G225" s="23" t="str">
        <f>PROPER(TRIM(Raw_Data!F216))</f>
        <v>Kerala</v>
      </c>
      <c r="H225" s="23" t="str">
        <f>PROPER(TRIM(Raw_Data!G216))</f>
        <v>Neet Prep</v>
      </c>
      <c r="I225" s="23" t="str">
        <f>PROPER(TRIM(Raw_Data!H216))</f>
        <v>Mumbai West</v>
      </c>
      <c r="J225" s="24">
        <f>IF(LEN(TRIM(Raw_Data!I216))=4,VALUE(TRIM(Raw_Data!I216)),IF(ISNUMBER(IFERROR(VALUE(MID(TRIM(Raw_Data!I216),1,4)),"NA")),VALUE(MID(TRIM(Raw_Data!I216),1,4)),VALUE(RIGHT(TRIM(Raw_Data!I216),4))))</f>
        <v>2020</v>
      </c>
      <c r="K225" s="23" t="str">
        <f>PROPER(TRIM(Raw_Data!J216))</f>
        <v>Business</v>
      </c>
      <c r="L225" s="23" t="str">
        <f t="shared" si="9"/>
        <v>20+</v>
      </c>
      <c r="M225" s="23" t="str">
        <f t="shared" si="10"/>
        <v>Adult Learners</v>
      </c>
      <c r="N225" s="23" t="str">
        <f>IF(ISNUMBER(SEARCH("NON",UPPER(Raw_Data!M216))),"Non-Premium Learner","Premium Learner")</f>
        <v>Premium Learner</v>
      </c>
      <c r="O225" s="23" t="str">
        <f>PROPER(TRIM(Raw_Data!N216))</f>
        <v>Both App &amp; Web</v>
      </c>
      <c r="P225" s="24">
        <f>IF(Raw_Data!O216="",$C$7,Raw_Data!O216)</f>
        <v>37853.29</v>
      </c>
      <c r="Q225" s="23" t="str">
        <f>IF(Raw_Data!O216="","Missing-Imputed","Original")</f>
        <v>Original</v>
      </c>
      <c r="R225" s="24">
        <f>Raw_Data!P216</f>
        <v>14.8</v>
      </c>
      <c r="S225" s="24">
        <f>Raw_Data!Q216</f>
        <v>4716.3</v>
      </c>
      <c r="T225" s="23" t="str">
        <f>IF(Raw_Data!R216="","Unknown",IF(ISNUMBER(SEARCH("ACT",UPPER(Raw_Data!R216))),"Active",IF(ISNUMBER(SEARCH("CLOS",UPPER(Raw_Data!R216))),"Closed","None")))</f>
        <v>None</v>
      </c>
      <c r="U225" s="24" t="e">
        <f>IF(Raw_Data!S216="",$C$8,VALUE(Raw_Data!S216))</f>
        <v>#VALUE!</v>
      </c>
      <c r="V225" s="23" t="str">
        <f>IF(Raw_Data!S216="","Missing-Imputed","Original")</f>
        <v>Original</v>
      </c>
      <c r="W225" s="24">
        <f>Raw_Data!T216</f>
        <v>123</v>
      </c>
      <c r="X225" s="23" t="str">
        <f>IF(ISNUMBER(SEARCH("Y",UPPER(TRIM(Raw_Data!U216)))),"Yes","No")</f>
        <v>No</v>
      </c>
      <c r="Y225" s="23" t="str">
        <f>IF(ISNUMBER(SEARCH("Y",UPPER(TRIM(Raw_Data!V216)))),"Yes","No")</f>
        <v>Yes</v>
      </c>
      <c r="Z225" s="24">
        <f>Raw_Data!W216</f>
        <v>1</v>
      </c>
      <c r="AA225" s="24">
        <f>Raw_Data!X216</f>
        <v>7.2</v>
      </c>
      <c r="AB225" s="23" t="str">
        <f>IF(COUNTIFS(Raw_Data!$A$2:$A$616,Raw_Data!A216)&gt;1,"Duplicate","Unique")</f>
        <v>Unique</v>
      </c>
      <c r="AC225" s="23" t="str">
        <f t="shared" si="11"/>
        <v>Clean</v>
      </c>
    </row>
    <row r="226" spans="1:29" ht="15" customHeight="1">
      <c r="A226" s="25" t="str">
        <f>Raw_Data!A217</f>
        <v>BYJ1216</v>
      </c>
      <c r="B226" s="25" t="str">
        <f>Raw_Data!B217</f>
        <v>Chandresh Nath</v>
      </c>
      <c r="C226" s="26">
        <f>IF(OR(Raw_Data!C217="",Raw_Data!C217&lt;$C$5,Raw_Data!C217&gt;$C$6),$C$4,Raw_Data!C217)</f>
        <v>13</v>
      </c>
      <c r="D226" s="25" t="str">
        <f>IF(Raw_Data!C217="","Missing-Imputed",IF(OR(Raw_Data!C217&lt;$C$5,Raw_Data!C217&gt;$C$6),"Outlier-Imputed","Original"))</f>
        <v>Original</v>
      </c>
      <c r="E226" s="25" t="str">
        <f>IF(OR(UPPER(TRIM(Raw_Data!D217))="M",UPPER(TRIM(Raw_Data!D217))="MALE"),"Male","Female")</f>
        <v>Female</v>
      </c>
      <c r="F226" s="25" t="str">
        <f>PROPER(TRIM(Raw_Data!E217))</f>
        <v>Cuttack</v>
      </c>
      <c r="G226" s="25" t="str">
        <f>PROPER(TRIM(Raw_Data!F217))</f>
        <v>Tamil Nadu</v>
      </c>
      <c r="H226" s="25" t="str">
        <f>PROPER(TRIM(Raw_Data!G217))</f>
        <v>Mathematics</v>
      </c>
      <c r="I226" s="25" t="str">
        <f>PROPER(TRIM(Raw_Data!H217))</f>
        <v>Bengaluru South</v>
      </c>
      <c r="J226" s="26">
        <f>IF(LEN(TRIM(Raw_Data!I217))=4,VALUE(TRIM(Raw_Data!I217)),IF(ISNUMBER(IFERROR(VALUE(MID(TRIM(Raw_Data!I217),1,4)),"NA")),VALUE(MID(TRIM(Raw_Data!I217),1,4)),VALUE(RIGHT(TRIM(Raw_Data!I217),4))))</f>
        <v>2025</v>
      </c>
      <c r="K226" s="25" t="str">
        <f>PROPER(TRIM(Raw_Data!J217))</f>
        <v>Business</v>
      </c>
      <c r="L226" s="25" t="str">
        <f t="shared" si="9"/>
        <v>10-13</v>
      </c>
      <c r="M226" s="25" t="str">
        <f t="shared" si="10"/>
        <v>Kids</v>
      </c>
      <c r="N226" s="25" t="str">
        <f>IF(ISNUMBER(SEARCH("NON",UPPER(Raw_Data!M217))),"Non-Premium Learner","Premium Learner")</f>
        <v>Non-Premium Learner</v>
      </c>
      <c r="O226" s="25" t="str">
        <f>PROPER(TRIM(Raw_Data!N217))</f>
        <v>App Only</v>
      </c>
      <c r="P226" s="26">
        <f>IF(Raw_Data!O217="",$C$7,Raw_Data!O217)</f>
        <v>127649.92</v>
      </c>
      <c r="Q226" s="25" t="str">
        <f>IF(Raw_Data!O217="","Missing-Imputed","Original")</f>
        <v>Original</v>
      </c>
      <c r="R226" s="26">
        <f>Raw_Data!P217</f>
        <v>76.2</v>
      </c>
      <c r="S226" s="26">
        <f>Raw_Data!Q217</f>
        <v>20870.189999999999</v>
      </c>
      <c r="T226" s="25" t="str">
        <f>IF(Raw_Data!R217="","Unknown",IF(ISNUMBER(SEARCH("ACT",UPPER(Raw_Data!R217))),"Active",IF(ISNUMBER(SEARCH("CLOS",UPPER(Raw_Data!R217))),"Closed","None")))</f>
        <v>Active</v>
      </c>
      <c r="U226" s="26">
        <f>IF(Raw_Data!S217="",$C$8,VALUE(Raw_Data!S217))</f>
        <v>817</v>
      </c>
      <c r="V226" s="25" t="str">
        <f>IF(Raw_Data!S217="","Missing-Imputed","Original")</f>
        <v>Original</v>
      </c>
      <c r="W226" s="26">
        <f>Raw_Data!T217</f>
        <v>25</v>
      </c>
      <c r="X226" s="25" t="str">
        <f>IF(ISNUMBER(SEARCH("Y",UPPER(TRIM(Raw_Data!U217)))),"Yes","No")</f>
        <v>Yes</v>
      </c>
      <c r="Y226" s="25" t="str">
        <f>IF(ISNUMBER(SEARCH("Y",UPPER(TRIM(Raw_Data!V217)))),"Yes","No")</f>
        <v>Yes</v>
      </c>
      <c r="Z226" s="26">
        <f>Raw_Data!W217</f>
        <v>2</v>
      </c>
      <c r="AA226" s="26">
        <f>Raw_Data!X217</f>
        <v>8.1999999999999993</v>
      </c>
      <c r="AB226" s="25" t="str">
        <f>IF(COUNTIFS(Raw_Data!$A$2:$A$616,Raw_Data!A217)&gt;1,"Duplicate","Unique")</f>
        <v>Unique</v>
      </c>
      <c r="AC226" s="25" t="str">
        <f t="shared" si="11"/>
        <v>Clean</v>
      </c>
    </row>
    <row r="227" spans="1:29" ht="15" customHeight="1">
      <c r="A227" s="23" t="str">
        <f>Raw_Data!A218</f>
        <v>BYJ1217</v>
      </c>
      <c r="B227" s="23" t="str">
        <f>Raw_Data!B218</f>
        <v>Ekapad Johal</v>
      </c>
      <c r="C227" s="24">
        <f>IF(OR(Raw_Data!C218="",Raw_Data!C218&lt;$C$5,Raw_Data!C218&gt;$C$6),$C$4,Raw_Data!C218)</f>
        <v>12</v>
      </c>
      <c r="D227" s="23" t="str">
        <f>IF(Raw_Data!C218="","Missing-Imputed",IF(OR(Raw_Data!C218&lt;$C$5,Raw_Data!C218&gt;$C$6),"Outlier-Imputed","Original"))</f>
        <v>Original</v>
      </c>
      <c r="E227" s="23" t="str">
        <f>IF(OR(UPPER(TRIM(Raw_Data!D218))="M",UPPER(TRIM(Raw_Data!D218))="MALE"),"Male","Female")</f>
        <v>Male</v>
      </c>
      <c r="F227" s="23" t="str">
        <f>PROPER(TRIM(Raw_Data!E218))</f>
        <v>Muzaffarpur</v>
      </c>
      <c r="G227" s="23" t="str">
        <f>PROPER(TRIM(Raw_Data!F218))</f>
        <v>Rajasthan</v>
      </c>
      <c r="H227" s="23" t="str">
        <f>PROPER(TRIM(Raw_Data!G218))</f>
        <v>Neet Prep</v>
      </c>
      <c r="I227" s="23" t="str">
        <f>PROPER(TRIM(Raw_Data!H218))</f>
        <v>Lucknow Hub</v>
      </c>
      <c r="J227" s="24">
        <f>IF(LEN(TRIM(Raw_Data!I218))=4,VALUE(TRIM(Raw_Data!I218)),IF(ISNUMBER(IFERROR(VALUE(MID(TRIM(Raw_Data!I218),1,4)),"NA")),VALUE(MID(TRIM(Raw_Data!I218),1,4)),VALUE(RIGHT(TRIM(Raw_Data!I218),4))))</f>
        <v>2018</v>
      </c>
      <c r="K227" s="23" t="str">
        <f>PROPER(TRIM(Raw_Data!J218))</f>
        <v>Business</v>
      </c>
      <c r="L227" s="23" t="str">
        <f t="shared" si="9"/>
        <v>10-13</v>
      </c>
      <c r="M227" s="23" t="str">
        <f t="shared" si="10"/>
        <v>Kids</v>
      </c>
      <c r="N227" s="23" t="str">
        <f>IF(ISNUMBER(SEARCH("NON",UPPER(Raw_Data!M218))),"Non-Premium Learner","Premium Learner")</f>
        <v>Non-Premium Learner</v>
      </c>
      <c r="O227" s="23" t="str">
        <f>PROPER(TRIM(Raw_Data!N218))</f>
        <v>Web Only</v>
      </c>
      <c r="P227" s="24">
        <f>IF(Raw_Data!O218="",$C$7,Raw_Data!O218)</f>
        <v>36069.730000000003</v>
      </c>
      <c r="Q227" s="23" t="str">
        <f>IF(Raw_Data!O218="","Missing-Imputed","Original")</f>
        <v>Original</v>
      </c>
      <c r="R227" s="24">
        <f>Raw_Data!P218</f>
        <v>13.5</v>
      </c>
      <c r="S227" s="24">
        <f>Raw_Data!Q218</f>
        <v>59076.77</v>
      </c>
      <c r="T227" s="23" t="str">
        <f>IF(Raw_Data!R218="","Unknown",IF(ISNUMBER(SEARCH("ACT",UPPER(Raw_Data!R218))),"Active",IF(ISNUMBER(SEARCH("CLOS",UPPER(Raw_Data!R218))),"Closed","None")))</f>
        <v>Active</v>
      </c>
      <c r="U227" s="24">
        <f>IF(Raw_Data!S218="",$C$8,VALUE(Raw_Data!S218))</f>
        <v>412</v>
      </c>
      <c r="V227" s="23" t="str">
        <f>IF(Raw_Data!S218="","Missing-Imputed","Original")</f>
        <v>Original</v>
      </c>
      <c r="W227" s="24">
        <f>Raw_Data!T218</f>
        <v>126</v>
      </c>
      <c r="X227" s="23" t="str">
        <f>IF(ISNUMBER(SEARCH("Y",UPPER(TRIM(Raw_Data!U218)))),"Yes","No")</f>
        <v>No</v>
      </c>
      <c r="Y227" s="23" t="str">
        <f>IF(ISNUMBER(SEARCH("Y",UPPER(TRIM(Raw_Data!V218)))),"Yes","No")</f>
        <v>Yes</v>
      </c>
      <c r="Z227" s="24">
        <f>Raw_Data!W218</f>
        <v>3</v>
      </c>
      <c r="AA227" s="24">
        <f>Raw_Data!X218</f>
        <v>4.7</v>
      </c>
      <c r="AB227" s="23" t="str">
        <f>IF(COUNTIFS(Raw_Data!$A$2:$A$616,Raw_Data!A218)&gt;1,"Duplicate","Unique")</f>
        <v>Unique</v>
      </c>
      <c r="AC227" s="23" t="str">
        <f t="shared" si="11"/>
        <v>Clean</v>
      </c>
    </row>
    <row r="228" spans="1:29" ht="15" customHeight="1">
      <c r="A228" s="25" t="str">
        <f>Raw_Data!A219</f>
        <v>BYJ1218</v>
      </c>
      <c r="B228" s="25" t="str">
        <f>Raw_Data!B219</f>
        <v>Manbir Agate</v>
      </c>
      <c r="C228" s="26">
        <f>IF(OR(Raw_Data!C219="",Raw_Data!C219&lt;$C$5,Raw_Data!C219&gt;$C$6),$C$4,Raw_Data!C219)</f>
        <v>25</v>
      </c>
      <c r="D228" s="25" t="str">
        <f>IF(Raw_Data!C219="","Missing-Imputed",IF(OR(Raw_Data!C219&lt;$C$5,Raw_Data!C219&gt;$C$6),"Outlier-Imputed","Original"))</f>
        <v>Original</v>
      </c>
      <c r="E228" s="25" t="str">
        <f>IF(OR(UPPER(TRIM(Raw_Data!D219))="M",UPPER(TRIM(Raw_Data!D219))="MALE"),"Male","Female")</f>
        <v>Female</v>
      </c>
      <c r="F228" s="25" t="str">
        <f>PROPER(TRIM(Raw_Data!E219))</f>
        <v>Ulhasnagar</v>
      </c>
      <c r="G228" s="25" t="str">
        <f>PROPER(TRIM(Raw_Data!F219))</f>
        <v>Telangana</v>
      </c>
      <c r="H228" s="25" t="str">
        <f>PROPER(TRIM(Raw_Data!G219))</f>
        <v>Robotics</v>
      </c>
      <c r="I228" s="25" t="str">
        <f>PROPER(TRIM(Raw_Data!H219))</f>
        <v>Delhi North</v>
      </c>
      <c r="J228" s="26">
        <f>IF(LEN(TRIM(Raw_Data!I219))=4,VALUE(TRIM(Raw_Data!I219)),IF(ISNUMBER(IFERROR(VALUE(MID(TRIM(Raw_Data!I219),1,4)),"NA")),VALUE(MID(TRIM(Raw_Data!I219),1,4)),VALUE(RIGHT(TRIM(Raw_Data!I219),4))))</f>
        <v>2017</v>
      </c>
      <c r="K228" s="25" t="str">
        <f>PROPER(TRIM(Raw_Data!J219))</f>
        <v>Business</v>
      </c>
      <c r="L228" s="25" t="str">
        <f t="shared" si="9"/>
        <v>20+</v>
      </c>
      <c r="M228" s="25" t="str">
        <f t="shared" si="10"/>
        <v>Adult Learners</v>
      </c>
      <c r="N228" s="25" t="str">
        <f>IF(ISNUMBER(SEARCH("NON",UPPER(Raw_Data!M219))),"Non-Premium Learner","Premium Learner")</f>
        <v>Premium Learner</v>
      </c>
      <c r="O228" s="25" t="str">
        <f>PROPER(TRIM(Raw_Data!N219))</f>
        <v>Both App &amp; Web</v>
      </c>
      <c r="P228" s="26">
        <f>IF(Raw_Data!O219="",$C$7,Raw_Data!O219)</f>
        <v>20249.919999999998</v>
      </c>
      <c r="Q228" s="25" t="str">
        <f>IF(Raw_Data!O219="","Missing-Imputed","Original")</f>
        <v>Original</v>
      </c>
      <c r="R228" s="26">
        <f>Raw_Data!P219</f>
        <v>54.4</v>
      </c>
      <c r="S228" s="26">
        <f>Raw_Data!Q219</f>
        <v>5100.3500000000004</v>
      </c>
      <c r="T228" s="25" t="str">
        <f>IF(Raw_Data!R219="","Unknown",IF(ISNUMBER(SEARCH("ACT",UPPER(Raw_Data!R219))),"Active",IF(ISNUMBER(SEARCH("CLOS",UPPER(Raw_Data!R219))),"Closed","None")))</f>
        <v>Active</v>
      </c>
      <c r="U228" s="26">
        <f>IF(Raw_Data!S219="",$C$8,VALUE(Raw_Data!S219))</f>
        <v>710</v>
      </c>
      <c r="V228" s="25" t="str">
        <f>IF(Raw_Data!S219="","Missing-Imputed","Original")</f>
        <v>Original</v>
      </c>
      <c r="W228" s="26">
        <f>Raw_Data!T219</f>
        <v>26</v>
      </c>
      <c r="X228" s="25" t="str">
        <f>IF(ISNUMBER(SEARCH("Y",UPPER(TRIM(Raw_Data!U219)))),"Yes","No")</f>
        <v>Yes</v>
      </c>
      <c r="Y228" s="25" t="str">
        <f>IF(ISNUMBER(SEARCH("Y",UPPER(TRIM(Raw_Data!V219)))),"Yes","No")</f>
        <v>No</v>
      </c>
      <c r="Z228" s="26">
        <f>Raw_Data!W219</f>
        <v>3</v>
      </c>
      <c r="AA228" s="26">
        <f>Raw_Data!X219</f>
        <v>2.2000000000000002</v>
      </c>
      <c r="AB228" s="25" t="str">
        <f>IF(COUNTIFS(Raw_Data!$A$2:$A$616,Raw_Data!A219)&gt;1,"Duplicate","Unique")</f>
        <v>Unique</v>
      </c>
      <c r="AC228" s="25" t="str">
        <f t="shared" si="11"/>
        <v>Clean</v>
      </c>
    </row>
    <row r="229" spans="1:29" ht="15" customHeight="1">
      <c r="A229" s="23" t="str">
        <f>Raw_Data!A220</f>
        <v>BYJ1219</v>
      </c>
      <c r="B229" s="23" t="str">
        <f>Raw_Data!B220</f>
        <v>Zashil Ghosh</v>
      </c>
      <c r="C229" s="24">
        <f>IF(OR(Raw_Data!C220="",Raw_Data!C220&lt;$C$5,Raw_Data!C220&gt;$C$6),$C$4,Raw_Data!C220)</f>
        <v>20</v>
      </c>
      <c r="D229" s="23" t="str">
        <f>IF(Raw_Data!C220="","Missing-Imputed",IF(OR(Raw_Data!C220&lt;$C$5,Raw_Data!C220&gt;$C$6),"Outlier-Imputed","Original"))</f>
        <v>Original</v>
      </c>
      <c r="E229" s="23" t="str">
        <f>IF(OR(UPPER(TRIM(Raw_Data!D220))="M",UPPER(TRIM(Raw_Data!D220))="MALE"),"Male","Female")</f>
        <v>Female</v>
      </c>
      <c r="F229" s="23" t="str">
        <f>PROPER(TRIM(Raw_Data!E220))</f>
        <v>Indore</v>
      </c>
      <c r="G229" s="23" t="str">
        <f>PROPER(TRIM(Raw_Data!F220))</f>
        <v>Kerala</v>
      </c>
      <c r="H229" s="23" t="str">
        <f>PROPER(TRIM(Raw_Data!G220))</f>
        <v>Jee Prep</v>
      </c>
      <c r="I229" s="23" t="str">
        <f>PROPER(TRIM(Raw_Data!H220))</f>
        <v>Kolkata Main</v>
      </c>
      <c r="J229" s="24">
        <f>IF(LEN(TRIM(Raw_Data!I220))=4,VALUE(TRIM(Raw_Data!I220)),IF(ISNUMBER(IFERROR(VALUE(MID(TRIM(Raw_Data!I220),1,4)),"NA")),VALUE(MID(TRIM(Raw_Data!I220),1,4)),VALUE(RIGHT(TRIM(Raw_Data!I220),4))))</f>
        <v>2021</v>
      </c>
      <c r="K229" s="23" t="str">
        <f>PROPER(TRIM(Raw_Data!J220))</f>
        <v>Self-Employed</v>
      </c>
      <c r="L229" s="23" t="str">
        <f t="shared" si="9"/>
        <v>20+</v>
      </c>
      <c r="M229" s="23" t="str">
        <f t="shared" si="10"/>
        <v>Adult Learners</v>
      </c>
      <c r="N229" s="23" t="str">
        <f>IF(ISNUMBER(SEARCH("NON",UPPER(Raw_Data!M220))),"Non-Premium Learner","Premium Learner")</f>
        <v>Non-Premium Learner</v>
      </c>
      <c r="O229" s="23" t="str">
        <f>PROPER(TRIM(Raw_Data!N220))</f>
        <v>Web Only</v>
      </c>
      <c r="P229" s="24">
        <f>IF(Raw_Data!O220="",$C$7,Raw_Data!O220)</f>
        <v>20665.32</v>
      </c>
      <c r="Q229" s="23" t="str">
        <f>IF(Raw_Data!O220="","Missing-Imputed","Original")</f>
        <v>Original</v>
      </c>
      <c r="R229" s="24">
        <f>Raw_Data!P220</f>
        <v>42.3</v>
      </c>
      <c r="S229" s="24">
        <f>Raw_Data!Q220</f>
        <v>37702.26</v>
      </c>
      <c r="T229" s="23" t="str">
        <f>IF(Raw_Data!R220="","Unknown",IF(ISNUMBER(SEARCH("ACT",UPPER(Raw_Data!R220))),"Active",IF(ISNUMBER(SEARCH("CLOS",UPPER(Raw_Data!R220))),"Closed","None")))</f>
        <v>Active</v>
      </c>
      <c r="U229" s="24">
        <f>IF(Raw_Data!S220="",$C$8,VALUE(Raw_Data!S220))</f>
        <v>401</v>
      </c>
      <c r="V229" s="23" t="str">
        <f>IF(Raw_Data!S220="","Missing-Imputed","Original")</f>
        <v>Original</v>
      </c>
      <c r="W229" s="24">
        <f>Raw_Data!T220</f>
        <v>17</v>
      </c>
      <c r="X229" s="23" t="str">
        <f>IF(ISNUMBER(SEARCH("Y",UPPER(TRIM(Raw_Data!U220)))),"Yes","No")</f>
        <v>No</v>
      </c>
      <c r="Y229" s="23" t="str">
        <f>IF(ISNUMBER(SEARCH("Y",UPPER(TRIM(Raw_Data!V220)))),"Yes","No")</f>
        <v>Yes</v>
      </c>
      <c r="Z229" s="24">
        <f>Raw_Data!W220</f>
        <v>5</v>
      </c>
      <c r="AA229" s="24">
        <f>Raw_Data!X220</f>
        <v>6.3</v>
      </c>
      <c r="AB229" s="23" t="str">
        <f>IF(COUNTIFS(Raw_Data!$A$2:$A$616,Raw_Data!A220)&gt;1,"Duplicate","Unique")</f>
        <v>Unique</v>
      </c>
      <c r="AC229" s="23" t="str">
        <f t="shared" si="11"/>
        <v>Clean</v>
      </c>
    </row>
    <row r="230" spans="1:29" ht="15" customHeight="1">
      <c r="A230" s="25" t="str">
        <f>Raw_Data!A221</f>
        <v>BYJ1220</v>
      </c>
      <c r="B230" s="25" t="str">
        <f>Raw_Data!B221</f>
        <v>Alexander Parmar</v>
      </c>
      <c r="C230" s="26">
        <f>IF(OR(Raw_Data!C221="",Raw_Data!C221&lt;$C$5,Raw_Data!C221&gt;$C$6),$C$4,Raw_Data!C221)</f>
        <v>12</v>
      </c>
      <c r="D230" s="25" t="str">
        <f>IF(Raw_Data!C221="","Missing-Imputed",IF(OR(Raw_Data!C221&lt;$C$5,Raw_Data!C221&gt;$C$6),"Outlier-Imputed","Original"))</f>
        <v>Original</v>
      </c>
      <c r="E230" s="25" t="str">
        <f>IF(OR(UPPER(TRIM(Raw_Data!D221))="M",UPPER(TRIM(Raw_Data!D221))="MALE"),"Male","Female")</f>
        <v>Male</v>
      </c>
      <c r="F230" s="25" t="str">
        <f>PROPER(TRIM(Raw_Data!E221))</f>
        <v>Giridih</v>
      </c>
      <c r="G230" s="25" t="str">
        <f>PROPER(TRIM(Raw_Data!F221))</f>
        <v>Rajasthan</v>
      </c>
      <c r="H230" s="25" t="str">
        <f>PROPER(TRIM(Raw_Data!G221))</f>
        <v>English</v>
      </c>
      <c r="I230" s="25" t="str">
        <f>PROPER(TRIM(Raw_Data!H221))</f>
        <v>Hyderabad Hub</v>
      </c>
      <c r="J230" s="26">
        <f>IF(LEN(TRIM(Raw_Data!I221))=4,VALUE(TRIM(Raw_Data!I221)),IF(ISNUMBER(IFERROR(VALUE(MID(TRIM(Raw_Data!I221),1,4)),"NA")),VALUE(MID(TRIM(Raw_Data!I221),1,4)),VALUE(RIGHT(TRIM(Raw_Data!I221),4))))</f>
        <v>2023</v>
      </c>
      <c r="K230" s="25" t="str">
        <f>PROPER(TRIM(Raw_Data!J221))</f>
        <v>Government Employee</v>
      </c>
      <c r="L230" s="25" t="str">
        <f t="shared" si="9"/>
        <v>10-13</v>
      </c>
      <c r="M230" s="25" t="str">
        <f t="shared" si="10"/>
        <v>Kids</v>
      </c>
      <c r="N230" s="25" t="str">
        <f>IF(ISNUMBER(SEARCH("NON",UPPER(Raw_Data!M221))),"Non-Premium Learner","Premium Learner")</f>
        <v>Non-Premium Learner</v>
      </c>
      <c r="O230" s="25" t="str">
        <f>PROPER(TRIM(Raw_Data!N221))</f>
        <v>Both App &amp; Web</v>
      </c>
      <c r="P230" s="26">
        <f>IF(Raw_Data!O221="",$C$7,Raw_Data!O221)</f>
        <v>7562.21</v>
      </c>
      <c r="Q230" s="25" t="str">
        <f>IF(Raw_Data!O221="","Missing-Imputed","Original")</f>
        <v>Original</v>
      </c>
      <c r="R230" s="26">
        <f>Raw_Data!P221</f>
        <v>79.3</v>
      </c>
      <c r="S230" s="26">
        <f>Raw_Data!Q221</f>
        <v>52807.54</v>
      </c>
      <c r="T230" s="25" t="str">
        <f>IF(Raw_Data!R221="","Unknown",IF(ISNUMBER(SEARCH("ACT",UPPER(Raw_Data!R221))),"Active",IF(ISNUMBER(SEARCH("CLOS",UPPER(Raw_Data!R221))),"Closed","None")))</f>
        <v>Active</v>
      </c>
      <c r="U230" s="26">
        <f>IF(Raw_Data!S221="",$C$8,VALUE(Raw_Data!S221))</f>
        <v>760</v>
      </c>
      <c r="V230" s="25" t="str">
        <f>IF(Raw_Data!S221="","Missing-Imputed","Original")</f>
        <v>Original</v>
      </c>
      <c r="W230" s="26">
        <f>Raw_Data!T221</f>
        <v>96</v>
      </c>
      <c r="X230" s="25" t="str">
        <f>IF(ISNUMBER(SEARCH("Y",UPPER(TRIM(Raw_Data!U221)))),"Yes","No")</f>
        <v>No</v>
      </c>
      <c r="Y230" s="25" t="str">
        <f>IF(ISNUMBER(SEARCH("Y",UPPER(TRIM(Raw_Data!V221)))),"Yes","No")</f>
        <v>Yes</v>
      </c>
      <c r="Z230" s="26">
        <f>Raw_Data!W221</f>
        <v>2</v>
      </c>
      <c r="AA230" s="26">
        <f>Raw_Data!X221</f>
        <v>5.2</v>
      </c>
      <c r="AB230" s="25" t="str">
        <f>IF(COUNTIFS(Raw_Data!$A$2:$A$616,Raw_Data!A221)&gt;1,"Duplicate","Unique")</f>
        <v>Unique</v>
      </c>
      <c r="AC230" s="25" t="str">
        <f t="shared" si="11"/>
        <v>Clean</v>
      </c>
    </row>
    <row r="231" spans="1:29" ht="15" customHeight="1">
      <c r="A231" s="23" t="str">
        <f>Raw_Data!A222</f>
        <v>BYJ1221</v>
      </c>
      <c r="B231" s="23" t="str">
        <f>Raw_Data!B222</f>
        <v>Amol Ghosh</v>
      </c>
      <c r="C231" s="24">
        <f>IF(OR(Raw_Data!C222="",Raw_Data!C222&lt;$C$5,Raw_Data!C222&gt;$C$6),$C$4,Raw_Data!C222)</f>
        <v>16</v>
      </c>
      <c r="D231" s="23" t="str">
        <f>IF(Raw_Data!C222="","Missing-Imputed",IF(OR(Raw_Data!C222&lt;$C$5,Raw_Data!C222&gt;$C$6),"Outlier-Imputed","Original"))</f>
        <v>Original</v>
      </c>
      <c r="E231" s="23" t="str">
        <f>IF(OR(UPPER(TRIM(Raw_Data!D222))="M",UPPER(TRIM(Raw_Data!D222))="MALE"),"Male","Female")</f>
        <v>Female</v>
      </c>
      <c r="F231" s="23" t="str">
        <f>PROPER(TRIM(Raw_Data!E222))</f>
        <v>Faridabad</v>
      </c>
      <c r="G231" s="23" t="str">
        <f>PROPER(TRIM(Raw_Data!F222))</f>
        <v>West Bengal</v>
      </c>
      <c r="H231" s="23" t="str">
        <f>PROPER(TRIM(Raw_Data!G222))</f>
        <v>Spoken English</v>
      </c>
      <c r="I231" s="23" t="str">
        <f>PROPER(TRIM(Raw_Data!H222))</f>
        <v>Bengaluru South</v>
      </c>
      <c r="J231" s="24">
        <f>IF(LEN(TRIM(Raw_Data!I222))=4,VALUE(TRIM(Raw_Data!I222)),IF(ISNUMBER(IFERROR(VALUE(MID(TRIM(Raw_Data!I222),1,4)),"NA")),VALUE(MID(TRIM(Raw_Data!I222),1,4)),VALUE(RIGHT(TRIM(Raw_Data!I222),4))))</f>
        <v>2025</v>
      </c>
      <c r="K231" s="23" t="str">
        <f>PROPER(TRIM(Raw_Data!J222))</f>
        <v>Self-Employed</v>
      </c>
      <c r="L231" s="23" t="str">
        <f t="shared" si="9"/>
        <v>14-16</v>
      </c>
      <c r="M231" s="23" t="str">
        <f t="shared" si="10"/>
        <v>Teens</v>
      </c>
      <c r="N231" s="23" t="str">
        <f>IF(ISNUMBER(SEARCH("NON",UPPER(Raw_Data!M222))),"Non-Premium Learner","Premium Learner")</f>
        <v>Non-Premium Learner</v>
      </c>
      <c r="O231" s="23" t="str">
        <f>PROPER(TRIM(Raw_Data!N222))</f>
        <v>App Only</v>
      </c>
      <c r="P231" s="24">
        <f>IF(Raw_Data!O222="",$C$7,Raw_Data!O222)</f>
        <v>61750.8</v>
      </c>
      <c r="Q231" s="23" t="str">
        <f>IF(Raw_Data!O222="","Missing-Imputed","Original")</f>
        <v>Original</v>
      </c>
      <c r="R231" s="24">
        <f>Raw_Data!P222</f>
        <v>77.8</v>
      </c>
      <c r="S231" s="24">
        <f>Raw_Data!Q222</f>
        <v>37016.379999999997</v>
      </c>
      <c r="T231" s="23" t="str">
        <f>IF(Raw_Data!R222="","Unknown",IF(ISNUMBER(SEARCH("ACT",UPPER(Raw_Data!R222))),"Active",IF(ISNUMBER(SEARCH("CLOS",UPPER(Raw_Data!R222))),"Closed","None")))</f>
        <v>Closed</v>
      </c>
      <c r="U231" s="24">
        <f>IF(Raw_Data!S222="",$C$8,VALUE(Raw_Data!S222))</f>
        <v>628</v>
      </c>
      <c r="V231" s="23" t="str">
        <f>IF(Raw_Data!S222="","Missing-Imputed","Original")</f>
        <v>Original</v>
      </c>
      <c r="W231" s="24">
        <f>Raw_Data!T222</f>
        <v>151</v>
      </c>
      <c r="X231" s="23" t="str">
        <f>IF(ISNUMBER(SEARCH("Y",UPPER(TRIM(Raw_Data!U222)))),"Yes","No")</f>
        <v>Yes</v>
      </c>
      <c r="Y231" s="23" t="str">
        <f>IF(ISNUMBER(SEARCH("Y",UPPER(TRIM(Raw_Data!V222)))),"Yes","No")</f>
        <v>No</v>
      </c>
      <c r="Z231" s="24">
        <f>Raw_Data!W222</f>
        <v>5</v>
      </c>
      <c r="AA231" s="24">
        <f>Raw_Data!X222</f>
        <v>0.7</v>
      </c>
      <c r="AB231" s="23" t="str">
        <f>IF(COUNTIFS(Raw_Data!$A$2:$A$616,Raw_Data!A222)&gt;1,"Duplicate","Unique")</f>
        <v>Unique</v>
      </c>
      <c r="AC231" s="23" t="str">
        <f t="shared" si="11"/>
        <v>Clean</v>
      </c>
    </row>
    <row r="232" spans="1:29" ht="15" customHeight="1">
      <c r="A232" s="25" t="str">
        <f>Raw_Data!A223</f>
        <v>BYJ1222</v>
      </c>
      <c r="B232" s="25" t="str">
        <f>Raw_Data!B223</f>
        <v>Oviya Vora</v>
      </c>
      <c r="C232" s="26">
        <f>IF(OR(Raw_Data!C223="",Raw_Data!C223&lt;$C$5,Raw_Data!C223&gt;$C$6),$C$4,Raw_Data!C223)</f>
        <v>12</v>
      </c>
      <c r="D232" s="25" t="str">
        <f>IF(Raw_Data!C223="","Missing-Imputed",IF(OR(Raw_Data!C223&lt;$C$5,Raw_Data!C223&gt;$C$6),"Outlier-Imputed","Original"))</f>
        <v>Original</v>
      </c>
      <c r="E232" s="25" t="str">
        <f>IF(OR(UPPER(TRIM(Raw_Data!D223))="M",UPPER(TRIM(Raw_Data!D223))="MALE"),"Male","Female")</f>
        <v>Female</v>
      </c>
      <c r="F232" s="25" t="str">
        <f>PROPER(TRIM(Raw_Data!E223))</f>
        <v>Rajkot</v>
      </c>
      <c r="G232" s="25" t="str">
        <f>PROPER(TRIM(Raw_Data!F223))</f>
        <v>West Bengal</v>
      </c>
      <c r="H232" s="25" t="str">
        <f>PROPER(TRIM(Raw_Data!G223))</f>
        <v>Neet Prep</v>
      </c>
      <c r="I232" s="25" t="str">
        <f>PROPER(TRIM(Raw_Data!H223))</f>
        <v>Chennai Central</v>
      </c>
      <c r="J232" s="26">
        <f>IF(LEN(TRIM(Raw_Data!I223))=4,VALUE(TRIM(Raw_Data!I223)),IF(ISNUMBER(IFERROR(VALUE(MID(TRIM(Raw_Data!I223),1,4)),"NA")),VALUE(MID(TRIM(Raw_Data!I223),1,4)),VALUE(RIGHT(TRIM(Raw_Data!I223),4))))</f>
        <v>2019</v>
      </c>
      <c r="K232" s="25" t="str">
        <f>PROPER(TRIM(Raw_Data!J223))</f>
        <v>Government Employee</v>
      </c>
      <c r="L232" s="25" t="str">
        <f t="shared" si="9"/>
        <v>10-13</v>
      </c>
      <c r="M232" s="25" t="str">
        <f t="shared" si="10"/>
        <v>Kids</v>
      </c>
      <c r="N232" s="25" t="str">
        <f>IF(ISNUMBER(SEARCH("NON",UPPER(Raw_Data!M223))),"Non-Premium Learner","Premium Learner")</f>
        <v>Premium Learner</v>
      </c>
      <c r="O232" s="25" t="str">
        <f>PROPER(TRIM(Raw_Data!N223))</f>
        <v>Web Only</v>
      </c>
      <c r="P232" s="26">
        <f>IF(Raw_Data!O223="",$C$7,Raw_Data!O223)</f>
        <v>21598.34</v>
      </c>
      <c r="Q232" s="25" t="str">
        <f>IF(Raw_Data!O223="","Missing-Imputed","Original")</f>
        <v>Original</v>
      </c>
      <c r="R232" s="26">
        <f>Raw_Data!P223</f>
        <v>45.4</v>
      </c>
      <c r="S232" s="26">
        <f>Raw_Data!Q223</f>
        <v>2242.66</v>
      </c>
      <c r="T232" s="25" t="str">
        <f>IF(Raw_Data!R223="","Unknown",IF(ISNUMBER(SEARCH("ACT",UPPER(Raw_Data!R223))),"Active",IF(ISNUMBER(SEARCH("CLOS",UPPER(Raw_Data!R223))),"Closed","None")))</f>
        <v>None</v>
      </c>
      <c r="U232" s="26">
        <f>IF(Raw_Data!S223="",$C$8,VALUE(Raw_Data!S223))</f>
        <v>881</v>
      </c>
      <c r="V232" s="25" t="str">
        <f>IF(Raw_Data!S223="","Missing-Imputed","Original")</f>
        <v>Original</v>
      </c>
      <c r="W232" s="26">
        <f>Raw_Data!T223</f>
        <v>107</v>
      </c>
      <c r="X232" s="25" t="str">
        <f>IF(ISNUMBER(SEARCH("Y",UPPER(TRIM(Raw_Data!U223)))),"Yes","No")</f>
        <v>No</v>
      </c>
      <c r="Y232" s="25" t="str">
        <f>IF(ISNUMBER(SEARCH("Y",UPPER(TRIM(Raw_Data!V223)))),"Yes","No")</f>
        <v>No</v>
      </c>
      <c r="Z232" s="26">
        <f>Raw_Data!W223</f>
        <v>3</v>
      </c>
      <c r="AA232" s="26">
        <f>Raw_Data!X223</f>
        <v>3.7</v>
      </c>
      <c r="AB232" s="25" t="str">
        <f>IF(COUNTIFS(Raw_Data!$A$2:$A$616,Raw_Data!A223)&gt;1,"Duplicate","Unique")</f>
        <v>Unique</v>
      </c>
      <c r="AC232" s="25" t="str">
        <f t="shared" si="11"/>
        <v>Clean</v>
      </c>
    </row>
    <row r="233" spans="1:29" ht="15" customHeight="1">
      <c r="A233" s="23" t="str">
        <f>Raw_Data!A224</f>
        <v>BYJ1223</v>
      </c>
      <c r="B233" s="23" t="str">
        <f>Raw_Data!B224</f>
        <v>Saumya Pathak</v>
      </c>
      <c r="C233" s="24">
        <f>IF(OR(Raw_Data!C224="",Raw_Data!C224&lt;$C$5,Raw_Data!C224&gt;$C$6),$C$4,Raw_Data!C224)</f>
        <v>37</v>
      </c>
      <c r="D233" s="23" t="str">
        <f>IF(Raw_Data!C224="","Missing-Imputed",IF(OR(Raw_Data!C224&lt;$C$5,Raw_Data!C224&gt;$C$6),"Outlier-Imputed","Original"))</f>
        <v>Original</v>
      </c>
      <c r="E233" s="23" t="str">
        <f>IF(OR(UPPER(TRIM(Raw_Data!D224))="M",UPPER(TRIM(Raw_Data!D224))="MALE"),"Male","Female")</f>
        <v>Male</v>
      </c>
      <c r="F233" s="23" t="str">
        <f>PROPER(TRIM(Raw_Data!E224))</f>
        <v>Bidhannagar</v>
      </c>
      <c r="G233" s="23" t="str">
        <f>PROPER(TRIM(Raw_Data!F224))</f>
        <v>Uttar Pradesh</v>
      </c>
      <c r="H233" s="23" t="str">
        <f>PROPER(TRIM(Raw_Data!G224))</f>
        <v>Neet Prep</v>
      </c>
      <c r="I233" s="23" t="str">
        <f>PROPER(TRIM(Raw_Data!H224))</f>
        <v>Mumbai West</v>
      </c>
      <c r="J233" s="24">
        <f>IF(LEN(TRIM(Raw_Data!I224))=4,VALUE(TRIM(Raw_Data!I224)),IF(ISNUMBER(IFERROR(VALUE(MID(TRIM(Raw_Data!I224),1,4)),"NA")),VALUE(MID(TRIM(Raw_Data!I224),1,4)),VALUE(RIGHT(TRIM(Raw_Data!I224),4))))</f>
        <v>2025</v>
      </c>
      <c r="K233" s="23" t="str">
        <f>PROPER(TRIM(Raw_Data!J224))</f>
        <v>Business</v>
      </c>
      <c r="L233" s="23" t="str">
        <f t="shared" si="9"/>
        <v>20+</v>
      </c>
      <c r="M233" s="23" t="str">
        <f t="shared" si="10"/>
        <v>Adult Learners</v>
      </c>
      <c r="N233" s="23" t="str">
        <f>IF(ISNUMBER(SEARCH("NON",UPPER(Raw_Data!M224))),"Non-Premium Learner","Premium Learner")</f>
        <v>Non-Premium Learner</v>
      </c>
      <c r="O233" s="23" t="str">
        <f>PROPER(TRIM(Raw_Data!N224))</f>
        <v>App Only</v>
      </c>
      <c r="P233" s="24">
        <f>IF(Raw_Data!O224="",$C$7,Raw_Data!O224)</f>
        <v>126855.17</v>
      </c>
      <c r="Q233" s="23" t="str">
        <f>IF(Raw_Data!O224="","Missing-Imputed","Original")</f>
        <v>Original</v>
      </c>
      <c r="R233" s="24">
        <f>Raw_Data!P224</f>
        <v>26.6</v>
      </c>
      <c r="S233" s="24">
        <f>Raw_Data!Q224</f>
        <v>2851.88</v>
      </c>
      <c r="T233" s="23" t="str">
        <f>IF(Raw_Data!R224="","Unknown",IF(ISNUMBER(SEARCH("ACT",UPPER(Raw_Data!R224))),"Active",IF(ISNUMBER(SEARCH("CLOS",UPPER(Raw_Data!R224))),"Closed","None")))</f>
        <v>None</v>
      </c>
      <c r="U233" s="24">
        <f>IF(Raw_Data!S224="",$C$8,VALUE(Raw_Data!S224))</f>
        <v>531</v>
      </c>
      <c r="V233" s="23" t="str">
        <f>IF(Raw_Data!S224="","Missing-Imputed","Original")</f>
        <v>Original</v>
      </c>
      <c r="W233" s="24">
        <f>Raw_Data!T224</f>
        <v>23</v>
      </c>
      <c r="X233" s="23" t="str">
        <f>IF(ISNUMBER(SEARCH("Y",UPPER(TRIM(Raw_Data!U224)))),"Yes","No")</f>
        <v>Yes</v>
      </c>
      <c r="Y233" s="23" t="str">
        <f>IF(ISNUMBER(SEARCH("Y",UPPER(TRIM(Raw_Data!V224)))),"Yes","No")</f>
        <v>No</v>
      </c>
      <c r="Z233" s="24">
        <f>Raw_Data!W224</f>
        <v>5</v>
      </c>
      <c r="AA233" s="24">
        <f>Raw_Data!X224</f>
        <v>7.3</v>
      </c>
      <c r="AB233" s="23" t="str">
        <f>IF(COUNTIFS(Raw_Data!$A$2:$A$616,Raw_Data!A224)&gt;1,"Duplicate","Unique")</f>
        <v>Unique</v>
      </c>
      <c r="AC233" s="23" t="str">
        <f t="shared" si="11"/>
        <v>Clean</v>
      </c>
    </row>
    <row r="234" spans="1:29" ht="15" customHeight="1">
      <c r="A234" s="25" t="str">
        <f>Raw_Data!A225</f>
        <v>BYJ1224</v>
      </c>
      <c r="B234" s="25" t="str">
        <f>Raw_Data!B225</f>
        <v>Caleb Verma</v>
      </c>
      <c r="C234" s="26">
        <f>IF(OR(Raw_Data!C225="",Raw_Data!C225&lt;$C$5,Raw_Data!C225&gt;$C$6),$C$4,Raw_Data!C225)</f>
        <v>10</v>
      </c>
      <c r="D234" s="25" t="str">
        <f>IF(Raw_Data!C225="","Missing-Imputed",IF(OR(Raw_Data!C225&lt;$C$5,Raw_Data!C225&gt;$C$6),"Outlier-Imputed","Original"))</f>
        <v>Original</v>
      </c>
      <c r="E234" s="25" t="str">
        <f>IF(OR(UPPER(TRIM(Raw_Data!D225))="M",UPPER(TRIM(Raw_Data!D225))="MALE"),"Male","Female")</f>
        <v>Female</v>
      </c>
      <c r="F234" s="25" t="str">
        <f>PROPER(TRIM(Raw_Data!E225))</f>
        <v>Berhampore</v>
      </c>
      <c r="G234" s="25" t="str">
        <f>PROPER(TRIM(Raw_Data!F225))</f>
        <v>West Bengal</v>
      </c>
      <c r="H234" s="25" t="str">
        <f>PROPER(TRIM(Raw_Data!G225))</f>
        <v>Neet Prep</v>
      </c>
      <c r="I234" s="25" t="str">
        <f>PROPER(TRIM(Raw_Data!H225))</f>
        <v>Delhi North</v>
      </c>
      <c r="J234" s="26">
        <f>IF(LEN(TRIM(Raw_Data!I225))=4,VALUE(TRIM(Raw_Data!I225)),IF(ISNUMBER(IFERROR(VALUE(MID(TRIM(Raw_Data!I225),1,4)),"NA")),VALUE(MID(TRIM(Raw_Data!I225),1,4)),VALUE(RIGHT(TRIM(Raw_Data!I225),4))))</f>
        <v>2022</v>
      </c>
      <c r="K234" s="25" t="str">
        <f>PROPER(TRIM(Raw_Data!J225))</f>
        <v>Retired</v>
      </c>
      <c r="L234" s="25" t="str">
        <f t="shared" si="9"/>
        <v>10-13</v>
      </c>
      <c r="M234" s="25" t="str">
        <f t="shared" si="10"/>
        <v>Kids</v>
      </c>
      <c r="N234" s="25" t="str">
        <f>IF(ISNUMBER(SEARCH("NON",UPPER(Raw_Data!M225))),"Non-Premium Learner","Premium Learner")</f>
        <v>Non-Premium Learner</v>
      </c>
      <c r="O234" s="25" t="str">
        <f>PROPER(TRIM(Raw_Data!N225))</f>
        <v>App Only</v>
      </c>
      <c r="P234" s="26">
        <f>IF(Raw_Data!O225="",$C$7,Raw_Data!O225)</f>
        <v>96037.37</v>
      </c>
      <c r="Q234" s="25" t="str">
        <f>IF(Raw_Data!O225="","Missing-Imputed","Original")</f>
        <v>Original</v>
      </c>
      <c r="R234" s="26">
        <f>Raw_Data!P225</f>
        <v>19</v>
      </c>
      <c r="S234" s="26">
        <f>Raw_Data!Q225</f>
        <v>29952.22</v>
      </c>
      <c r="T234" s="25" t="str">
        <f>IF(Raw_Data!R225="","Unknown",IF(ISNUMBER(SEARCH("ACT",UPPER(Raw_Data!R225))),"Active",IF(ISNUMBER(SEARCH("CLOS",UPPER(Raw_Data!R225))),"Closed","None")))</f>
        <v>None</v>
      </c>
      <c r="U234" s="26">
        <f>IF(Raw_Data!S225="",$C$8,VALUE(Raw_Data!S225))</f>
        <v>574</v>
      </c>
      <c r="V234" s="25" t="str">
        <f>IF(Raw_Data!S225="","Missing-Imputed","Original")</f>
        <v>Original</v>
      </c>
      <c r="W234" s="26">
        <f>Raw_Data!T225</f>
        <v>136</v>
      </c>
      <c r="X234" s="25" t="str">
        <f>IF(ISNUMBER(SEARCH("Y",UPPER(TRIM(Raw_Data!U225)))),"Yes","No")</f>
        <v>No</v>
      </c>
      <c r="Y234" s="25" t="str">
        <f>IF(ISNUMBER(SEARCH("Y",UPPER(TRIM(Raw_Data!V225)))),"Yes","No")</f>
        <v>Yes</v>
      </c>
      <c r="Z234" s="26">
        <f>Raw_Data!W225</f>
        <v>4</v>
      </c>
      <c r="AA234" s="26">
        <f>Raw_Data!X225</f>
        <v>1.8</v>
      </c>
      <c r="AB234" s="25" t="str">
        <f>IF(COUNTIFS(Raw_Data!$A$2:$A$616,Raw_Data!A225)&gt;1,"Duplicate","Unique")</f>
        <v>Unique</v>
      </c>
      <c r="AC234" s="25" t="str">
        <f t="shared" si="11"/>
        <v>Clean</v>
      </c>
    </row>
    <row r="235" spans="1:29" ht="15" customHeight="1">
      <c r="A235" s="23" t="str">
        <f>Raw_Data!A226</f>
        <v>BYJ1225</v>
      </c>
      <c r="B235" s="23" t="str">
        <f>Raw_Data!B226</f>
        <v>Darsh Srinivas</v>
      </c>
      <c r="C235" s="24">
        <f>IF(OR(Raw_Data!C226="",Raw_Data!C226&lt;$C$5,Raw_Data!C226&gt;$C$6),$C$4,Raw_Data!C226)</f>
        <v>25</v>
      </c>
      <c r="D235" s="23" t="str">
        <f>IF(Raw_Data!C226="","Missing-Imputed",IF(OR(Raw_Data!C226&lt;$C$5,Raw_Data!C226&gt;$C$6),"Outlier-Imputed","Original"))</f>
        <v>Original</v>
      </c>
      <c r="E235" s="23" t="str">
        <f>IF(OR(UPPER(TRIM(Raw_Data!D226))="M",UPPER(TRIM(Raw_Data!D226))="MALE"),"Male","Female")</f>
        <v>Female</v>
      </c>
      <c r="F235" s="23" t="str">
        <f>PROPER(TRIM(Raw_Data!E226))</f>
        <v>Purnia</v>
      </c>
      <c r="G235" s="23" t="str">
        <f>PROPER(TRIM(Raw_Data!F226))</f>
        <v>Karnataka</v>
      </c>
      <c r="H235" s="23" t="str">
        <f>PROPER(TRIM(Raw_Data!G226))</f>
        <v>English</v>
      </c>
      <c r="I235" s="23" t="str">
        <f>PROPER(TRIM(Raw_Data!H226))</f>
        <v>Kolkata Main</v>
      </c>
      <c r="J235" s="24">
        <f>IF(LEN(TRIM(Raw_Data!I226))=4,VALUE(TRIM(Raw_Data!I226)),IF(ISNUMBER(IFERROR(VALUE(MID(TRIM(Raw_Data!I226),1,4)),"NA")),VALUE(MID(TRIM(Raw_Data!I226),1,4)),VALUE(RIGHT(TRIM(Raw_Data!I226),4))))</f>
        <v>2020</v>
      </c>
      <c r="K235" s="23" t="str">
        <f>PROPER(TRIM(Raw_Data!J226))</f>
        <v>Homemaker</v>
      </c>
      <c r="L235" s="23" t="str">
        <f t="shared" si="9"/>
        <v>20+</v>
      </c>
      <c r="M235" s="23" t="str">
        <f t="shared" si="10"/>
        <v>Adult Learners</v>
      </c>
      <c r="N235" s="23" t="str">
        <f>IF(ISNUMBER(SEARCH("NON",UPPER(Raw_Data!M226))),"Non-Premium Learner","Premium Learner")</f>
        <v>Non-Premium Learner</v>
      </c>
      <c r="O235" s="23" t="str">
        <f>PROPER(TRIM(Raw_Data!N226))</f>
        <v>App Only</v>
      </c>
      <c r="P235" s="24">
        <f>IF(Raw_Data!O226="",$C$7,Raw_Data!O226)</f>
        <v>21465.99</v>
      </c>
      <c r="Q235" s="23" t="str">
        <f>IF(Raw_Data!O226="","Missing-Imputed","Original")</f>
        <v>Original</v>
      </c>
      <c r="R235" s="24">
        <f>Raw_Data!P226</f>
        <v>23.4</v>
      </c>
      <c r="S235" s="24">
        <f>Raw_Data!Q226</f>
        <v>49633.73</v>
      </c>
      <c r="T235" s="23" t="str">
        <f>IF(Raw_Data!R226="","Unknown",IF(ISNUMBER(SEARCH("ACT",UPPER(Raw_Data!R226))),"Active",IF(ISNUMBER(SEARCH("CLOS",UPPER(Raw_Data!R226))),"Closed","None")))</f>
        <v>Closed</v>
      </c>
      <c r="U235" s="24">
        <f>IF(Raw_Data!S226="",$C$8,VALUE(Raw_Data!S226))</f>
        <v>873</v>
      </c>
      <c r="V235" s="23" t="str">
        <f>IF(Raw_Data!S226="","Missing-Imputed","Original")</f>
        <v>Original</v>
      </c>
      <c r="W235" s="24">
        <f>Raw_Data!T226</f>
        <v>108</v>
      </c>
      <c r="X235" s="23" t="str">
        <f>IF(ISNUMBER(SEARCH("Y",UPPER(TRIM(Raw_Data!U226)))),"Yes","No")</f>
        <v>Yes</v>
      </c>
      <c r="Y235" s="23" t="str">
        <f>IF(ISNUMBER(SEARCH("Y",UPPER(TRIM(Raw_Data!V226)))),"Yes","No")</f>
        <v>Yes</v>
      </c>
      <c r="Z235" s="24">
        <f>Raw_Data!W226</f>
        <v>2</v>
      </c>
      <c r="AA235" s="24">
        <f>Raw_Data!X226</f>
        <v>0.7</v>
      </c>
      <c r="AB235" s="23" t="str">
        <f>IF(COUNTIFS(Raw_Data!$A$2:$A$616,Raw_Data!A226)&gt;1,"Duplicate","Unique")</f>
        <v>Unique</v>
      </c>
      <c r="AC235" s="23" t="str">
        <f t="shared" si="11"/>
        <v>Clean</v>
      </c>
    </row>
    <row r="236" spans="1:29" ht="15" customHeight="1">
      <c r="A236" s="25" t="str">
        <f>Raw_Data!A227</f>
        <v>BYJ1226</v>
      </c>
      <c r="B236" s="25" t="str">
        <f>Raw_Data!B227</f>
        <v>Vritti Sawhney</v>
      </c>
      <c r="C236" s="26">
        <f>IF(OR(Raw_Data!C227="",Raw_Data!C227&lt;$C$5,Raw_Data!C227&gt;$C$6),$C$4,Raw_Data!C227)</f>
        <v>41</v>
      </c>
      <c r="D236" s="25" t="str">
        <f>IF(Raw_Data!C227="","Missing-Imputed",IF(OR(Raw_Data!C227&lt;$C$5,Raw_Data!C227&gt;$C$6),"Outlier-Imputed","Original"))</f>
        <v>Original</v>
      </c>
      <c r="E236" s="25" t="str">
        <f>IF(OR(UPPER(TRIM(Raw_Data!D227))="M",UPPER(TRIM(Raw_Data!D227))="MALE"),"Male","Female")</f>
        <v>Male</v>
      </c>
      <c r="F236" s="25" t="str">
        <f>PROPER(TRIM(Raw_Data!E227))</f>
        <v>Jodhpur</v>
      </c>
      <c r="G236" s="25" t="str">
        <f>PROPER(TRIM(Raw_Data!F227))</f>
        <v>Rajasthan</v>
      </c>
      <c r="H236" s="25" t="str">
        <f>PROPER(TRIM(Raw_Data!G227))</f>
        <v>Coding</v>
      </c>
      <c r="I236" s="25" t="str">
        <f>PROPER(TRIM(Raw_Data!H227))</f>
        <v>Chennai Central</v>
      </c>
      <c r="J236" s="26">
        <f>IF(LEN(TRIM(Raw_Data!I227))=4,VALUE(TRIM(Raw_Data!I227)),IF(ISNUMBER(IFERROR(VALUE(MID(TRIM(Raw_Data!I227),1,4)),"NA")),VALUE(MID(TRIM(Raw_Data!I227),1,4)),VALUE(RIGHT(TRIM(Raw_Data!I227),4))))</f>
        <v>2017</v>
      </c>
      <c r="K236" s="25" t="str">
        <f>PROPER(TRIM(Raw_Data!J227))</f>
        <v>Salaried</v>
      </c>
      <c r="L236" s="25" t="str">
        <f t="shared" si="9"/>
        <v>20+</v>
      </c>
      <c r="M236" s="25" t="str">
        <f t="shared" si="10"/>
        <v>Adult Learners</v>
      </c>
      <c r="N236" s="25" t="str">
        <f>IF(ISNUMBER(SEARCH("NON",UPPER(Raw_Data!M227))),"Non-Premium Learner","Premium Learner")</f>
        <v>Non-Premium Learner</v>
      </c>
      <c r="O236" s="25" t="str">
        <f>PROPER(TRIM(Raw_Data!N227))</f>
        <v>Web Only</v>
      </c>
      <c r="P236" s="26">
        <f>IF(Raw_Data!O227="",$C$7,Raw_Data!O227)</f>
        <v>102392.45</v>
      </c>
      <c r="Q236" s="25" t="str">
        <f>IF(Raw_Data!O227="","Missing-Imputed","Original")</f>
        <v>Original</v>
      </c>
      <c r="R236" s="26">
        <f>Raw_Data!P227</f>
        <v>34.799999999999997</v>
      </c>
      <c r="S236" s="26">
        <f>Raw_Data!Q227</f>
        <v>50388.63</v>
      </c>
      <c r="T236" s="25" t="str">
        <f>IF(Raw_Data!R227="","Unknown",IF(ISNUMBER(SEARCH("ACT",UPPER(Raw_Data!R227))),"Active",IF(ISNUMBER(SEARCH("CLOS",UPPER(Raw_Data!R227))),"Closed","None")))</f>
        <v>Active</v>
      </c>
      <c r="U236" s="26">
        <f>IF(Raw_Data!S227="",$C$8,VALUE(Raw_Data!S227))</f>
        <v>414</v>
      </c>
      <c r="V236" s="25" t="str">
        <f>IF(Raw_Data!S227="","Missing-Imputed","Original")</f>
        <v>Original</v>
      </c>
      <c r="W236" s="26">
        <f>Raw_Data!T227</f>
        <v>128</v>
      </c>
      <c r="X236" s="25" t="str">
        <f>IF(ISNUMBER(SEARCH("Y",UPPER(TRIM(Raw_Data!U227)))),"Yes","No")</f>
        <v>Yes</v>
      </c>
      <c r="Y236" s="25" t="str">
        <f>IF(ISNUMBER(SEARCH("Y",UPPER(TRIM(Raw_Data!V227)))),"Yes","No")</f>
        <v>No</v>
      </c>
      <c r="Z236" s="26">
        <f>Raw_Data!W227</f>
        <v>2</v>
      </c>
      <c r="AA236" s="26">
        <f>Raw_Data!X227</f>
        <v>5.6</v>
      </c>
      <c r="AB236" s="25" t="str">
        <f>IF(COUNTIFS(Raw_Data!$A$2:$A$616,Raw_Data!A227)&gt;1,"Duplicate","Unique")</f>
        <v>Unique</v>
      </c>
      <c r="AC236" s="25" t="str">
        <f t="shared" si="11"/>
        <v>Clean</v>
      </c>
    </row>
    <row r="237" spans="1:29" ht="15" customHeight="1">
      <c r="A237" s="23" t="str">
        <f>Raw_Data!A228</f>
        <v>BYJ1227</v>
      </c>
      <c r="B237" s="23" t="str">
        <f>Raw_Data!B228</f>
        <v>Manbir Bhatti</v>
      </c>
      <c r="C237" s="24">
        <f>IF(OR(Raw_Data!C228="",Raw_Data!C228&lt;$C$5,Raw_Data!C228&gt;$C$6),$C$4,Raw_Data!C228)</f>
        <v>43</v>
      </c>
      <c r="D237" s="23" t="str">
        <f>IF(Raw_Data!C228="","Missing-Imputed",IF(OR(Raw_Data!C228&lt;$C$5,Raw_Data!C228&gt;$C$6),"Outlier-Imputed","Original"))</f>
        <v>Original</v>
      </c>
      <c r="E237" s="23" t="str">
        <f>IF(OR(UPPER(TRIM(Raw_Data!D228))="M",UPPER(TRIM(Raw_Data!D228))="MALE"),"Male","Female")</f>
        <v>Female</v>
      </c>
      <c r="F237" s="23" t="str">
        <f>PROPER(TRIM(Raw_Data!E228))</f>
        <v>Panipat</v>
      </c>
      <c r="G237" s="23" t="str">
        <f>PROPER(TRIM(Raw_Data!F228))</f>
        <v>Delhi</v>
      </c>
      <c r="H237" s="23" t="str">
        <f>PROPER(TRIM(Raw_Data!G228))</f>
        <v>Science</v>
      </c>
      <c r="I237" s="23" t="str">
        <f>PROPER(TRIM(Raw_Data!H228))</f>
        <v>Bengaluru South</v>
      </c>
      <c r="J237" s="24">
        <f>IF(LEN(TRIM(Raw_Data!I228))=4,VALUE(TRIM(Raw_Data!I228)),IF(ISNUMBER(IFERROR(VALUE(MID(TRIM(Raw_Data!I228),1,4)),"NA")),VALUE(MID(TRIM(Raw_Data!I228),1,4)),VALUE(RIGHT(TRIM(Raw_Data!I228),4))))</f>
        <v>2018</v>
      </c>
      <c r="K237" s="23" t="str">
        <f>PROPER(TRIM(Raw_Data!J228))</f>
        <v>Self-Employed</v>
      </c>
      <c r="L237" s="23" t="str">
        <f t="shared" si="9"/>
        <v>20+</v>
      </c>
      <c r="M237" s="23" t="str">
        <f t="shared" si="10"/>
        <v>Adult Learners</v>
      </c>
      <c r="N237" s="23" t="str">
        <f>IF(ISNUMBER(SEARCH("NON",UPPER(Raw_Data!M228))),"Non-Premium Learner","Premium Learner")</f>
        <v>Premium Learner</v>
      </c>
      <c r="O237" s="23" t="str">
        <f>PROPER(TRIM(Raw_Data!N228))</f>
        <v>Web Only</v>
      </c>
      <c r="P237" s="24">
        <f>IF(Raw_Data!O228="",$C$7,Raw_Data!O228)</f>
        <v>82353.149999999994</v>
      </c>
      <c r="Q237" s="23" t="str">
        <f>IF(Raw_Data!O228="","Missing-Imputed","Original")</f>
        <v>Original</v>
      </c>
      <c r="R237" s="24">
        <f>Raw_Data!P228</f>
        <v>13.5</v>
      </c>
      <c r="S237" s="24">
        <f>Raw_Data!Q228</f>
        <v>32744.7</v>
      </c>
      <c r="T237" s="23" t="str">
        <f>IF(Raw_Data!R228="","Unknown",IF(ISNUMBER(SEARCH("ACT",UPPER(Raw_Data!R228))),"Active",IF(ISNUMBER(SEARCH("CLOS",UPPER(Raw_Data!R228))),"Closed","None")))</f>
        <v>Closed</v>
      </c>
      <c r="U237" s="24">
        <f>IF(Raw_Data!S228="",$C$8,VALUE(Raw_Data!S228))</f>
        <v>552</v>
      </c>
      <c r="V237" s="23" t="str">
        <f>IF(Raw_Data!S228="","Missing-Imputed","Original")</f>
        <v>Original</v>
      </c>
      <c r="W237" s="24">
        <f>Raw_Data!T228</f>
        <v>200</v>
      </c>
      <c r="X237" s="23" t="str">
        <f>IF(ISNUMBER(SEARCH("Y",UPPER(TRIM(Raw_Data!U228)))),"Yes","No")</f>
        <v>Yes</v>
      </c>
      <c r="Y237" s="23" t="str">
        <f>IF(ISNUMBER(SEARCH("Y",UPPER(TRIM(Raw_Data!V228)))),"Yes","No")</f>
        <v>No</v>
      </c>
      <c r="Z237" s="24">
        <f>Raw_Data!W228</f>
        <v>3</v>
      </c>
      <c r="AA237" s="24">
        <f>Raw_Data!X228</f>
        <v>0.7</v>
      </c>
      <c r="AB237" s="23" t="str">
        <f>IF(COUNTIFS(Raw_Data!$A$2:$A$616,Raw_Data!A228)&gt;1,"Duplicate","Unique")</f>
        <v>Unique</v>
      </c>
      <c r="AC237" s="23" t="str">
        <f t="shared" si="11"/>
        <v>Clean</v>
      </c>
    </row>
    <row r="238" spans="1:29" ht="15" customHeight="1">
      <c r="A238" s="25" t="str">
        <f>Raw_Data!A229</f>
        <v>BYJ1228</v>
      </c>
      <c r="B238" s="25" t="str">
        <f>Raw_Data!B229</f>
        <v>Lakshmi Wali</v>
      </c>
      <c r="C238" s="26">
        <f>IF(OR(Raw_Data!C229="",Raw_Data!C229&lt;$C$5,Raw_Data!C229&gt;$C$6),$C$4,Raw_Data!C229)</f>
        <v>9</v>
      </c>
      <c r="D238" s="25" t="str">
        <f>IF(Raw_Data!C229="","Missing-Imputed",IF(OR(Raw_Data!C229&lt;$C$5,Raw_Data!C229&gt;$C$6),"Outlier-Imputed","Original"))</f>
        <v>Original</v>
      </c>
      <c r="E238" s="25" t="str">
        <f>IF(OR(UPPER(TRIM(Raw_Data!D229))="M",UPPER(TRIM(Raw_Data!D229))="MALE"),"Male","Female")</f>
        <v>Male</v>
      </c>
      <c r="F238" s="25" t="str">
        <f>PROPER(TRIM(Raw_Data!E229))</f>
        <v>Malda</v>
      </c>
      <c r="G238" s="25" t="str">
        <f>PROPER(TRIM(Raw_Data!F229))</f>
        <v>Telangana</v>
      </c>
      <c r="H238" s="25" t="str">
        <f>PROPER(TRIM(Raw_Data!G229))</f>
        <v>Neet Prep</v>
      </c>
      <c r="I238" s="25" t="str">
        <f>PROPER(TRIM(Raw_Data!H229))</f>
        <v>Bengaluru South</v>
      </c>
      <c r="J238" s="26">
        <f>IF(LEN(TRIM(Raw_Data!I229))=4,VALUE(TRIM(Raw_Data!I229)),IF(ISNUMBER(IFERROR(VALUE(MID(TRIM(Raw_Data!I229),1,4)),"NA")),VALUE(MID(TRIM(Raw_Data!I229),1,4)),VALUE(RIGHT(TRIM(Raw_Data!I229),4))))</f>
        <v>2024</v>
      </c>
      <c r="K238" s="25" t="str">
        <f>PROPER(TRIM(Raw_Data!J229))</f>
        <v>Self-Employed</v>
      </c>
      <c r="L238" s="25" t="str">
        <f t="shared" si="9"/>
        <v>Under 10</v>
      </c>
      <c r="M238" s="25" t="str">
        <f t="shared" si="10"/>
        <v>Kids</v>
      </c>
      <c r="N238" s="25" t="str">
        <f>IF(ISNUMBER(SEARCH("NON",UPPER(Raw_Data!M229))),"Non-Premium Learner","Premium Learner")</f>
        <v>Premium Learner</v>
      </c>
      <c r="O238" s="25" t="str">
        <f>PROPER(TRIM(Raw_Data!N229))</f>
        <v>Web Only</v>
      </c>
      <c r="P238" s="26">
        <f>IF(Raw_Data!O229="",$C$7,Raw_Data!O229)</f>
        <v>48628.78</v>
      </c>
      <c r="Q238" s="25" t="str">
        <f>IF(Raw_Data!O229="","Missing-Imputed","Original")</f>
        <v>Original</v>
      </c>
      <c r="R238" s="26">
        <f>Raw_Data!P229</f>
        <v>61.8</v>
      </c>
      <c r="S238" s="26">
        <f>Raw_Data!Q229</f>
        <v>17845.37</v>
      </c>
      <c r="T238" s="25" t="str">
        <f>IF(Raw_Data!R229="","Unknown",IF(ISNUMBER(SEARCH("ACT",UPPER(Raw_Data!R229))),"Active",IF(ISNUMBER(SEARCH("CLOS",UPPER(Raw_Data!R229))),"Closed","None")))</f>
        <v>Active</v>
      </c>
      <c r="U238" s="26">
        <f>IF(Raw_Data!S229="",$C$8,VALUE(Raw_Data!S229))</f>
        <v>624</v>
      </c>
      <c r="V238" s="25" t="str">
        <f>IF(Raw_Data!S229="","Missing-Imputed","Original")</f>
        <v>Original</v>
      </c>
      <c r="W238" s="26">
        <f>Raw_Data!T229</f>
        <v>196</v>
      </c>
      <c r="X238" s="25" t="str">
        <f>IF(ISNUMBER(SEARCH("Y",UPPER(TRIM(Raw_Data!U229)))),"Yes","No")</f>
        <v>No</v>
      </c>
      <c r="Y238" s="25" t="str">
        <f>IF(ISNUMBER(SEARCH("Y",UPPER(TRIM(Raw_Data!V229)))),"Yes","No")</f>
        <v>No</v>
      </c>
      <c r="Z238" s="26">
        <f>Raw_Data!W229</f>
        <v>4</v>
      </c>
      <c r="AA238" s="26">
        <f>Raw_Data!X229</f>
        <v>4.5</v>
      </c>
      <c r="AB238" s="25" t="str">
        <f>IF(COUNTIFS(Raw_Data!$A$2:$A$616,Raw_Data!A229)&gt;1,"Duplicate","Unique")</f>
        <v>Unique</v>
      </c>
      <c r="AC238" s="25" t="str">
        <f t="shared" si="11"/>
        <v>Clean</v>
      </c>
    </row>
    <row r="239" spans="1:29" ht="15" customHeight="1">
      <c r="A239" s="23" t="str">
        <f>Raw_Data!A230</f>
        <v>BYJ1229</v>
      </c>
      <c r="B239" s="23" t="str">
        <f>Raw_Data!B230</f>
        <v>Hardik Contractor</v>
      </c>
      <c r="C239" s="24">
        <f>IF(OR(Raw_Data!C230="",Raw_Data!C230&lt;$C$5,Raw_Data!C230&gt;$C$6),$C$4,Raw_Data!C230)</f>
        <v>33</v>
      </c>
      <c r="D239" s="23" t="str">
        <f>IF(Raw_Data!C230="","Missing-Imputed",IF(OR(Raw_Data!C230&lt;$C$5,Raw_Data!C230&gt;$C$6),"Outlier-Imputed","Original"))</f>
        <v>Original</v>
      </c>
      <c r="E239" s="23" t="str">
        <f>IF(OR(UPPER(TRIM(Raw_Data!D230))="M",UPPER(TRIM(Raw_Data!D230))="MALE"),"Male","Female")</f>
        <v>Male</v>
      </c>
      <c r="F239" s="23" t="str">
        <f>PROPER(TRIM(Raw_Data!E230))</f>
        <v>Chinsurah</v>
      </c>
      <c r="G239" s="23" t="str">
        <f>PROPER(TRIM(Raw_Data!F230))</f>
        <v>Uttar Pradesh</v>
      </c>
      <c r="H239" s="23" t="str">
        <f>PROPER(TRIM(Raw_Data!G230))</f>
        <v>Mathematics</v>
      </c>
      <c r="I239" s="23" t="str">
        <f>PROPER(TRIM(Raw_Data!H230))</f>
        <v>Pune East</v>
      </c>
      <c r="J239" s="24">
        <f>IF(LEN(TRIM(Raw_Data!I230))=4,VALUE(TRIM(Raw_Data!I230)),IF(ISNUMBER(IFERROR(VALUE(MID(TRIM(Raw_Data!I230),1,4)),"NA")),VALUE(MID(TRIM(Raw_Data!I230),1,4)),VALUE(RIGHT(TRIM(Raw_Data!I230),4))))</f>
        <v>46046</v>
      </c>
      <c r="K239" s="23" t="str">
        <f>PROPER(TRIM(Raw_Data!J230))</f>
        <v>Self-Employed</v>
      </c>
      <c r="L239" s="23" t="str">
        <f t="shared" si="9"/>
        <v>20+</v>
      </c>
      <c r="M239" s="23" t="str">
        <f t="shared" si="10"/>
        <v>Adult Learners</v>
      </c>
      <c r="N239" s="23" t="str">
        <f>IF(ISNUMBER(SEARCH("NON",UPPER(Raw_Data!M230))),"Non-Premium Learner","Premium Learner")</f>
        <v>Non-Premium Learner</v>
      </c>
      <c r="O239" s="23" t="str">
        <f>PROPER(TRIM(Raw_Data!N230))</f>
        <v>Both App &amp; Web</v>
      </c>
      <c r="P239" s="24">
        <f>IF(Raw_Data!O230="",$C$7,Raw_Data!O230)</f>
        <v>98030.91</v>
      </c>
      <c r="Q239" s="23" t="str">
        <f>IF(Raw_Data!O230="","Missing-Imputed","Original")</f>
        <v>Original</v>
      </c>
      <c r="R239" s="24">
        <f>Raw_Data!P230</f>
        <v>64.3</v>
      </c>
      <c r="S239" s="24">
        <f>Raw_Data!Q230</f>
        <v>8165.53</v>
      </c>
      <c r="T239" s="23" t="str">
        <f>IF(Raw_Data!R230="","Unknown",IF(ISNUMBER(SEARCH("ACT",UPPER(Raw_Data!R230))),"Active",IF(ISNUMBER(SEARCH("CLOS",UPPER(Raw_Data!R230))),"Closed","None")))</f>
        <v>Closed</v>
      </c>
      <c r="U239" s="24">
        <f>IF(Raw_Data!S230="",$C$8,VALUE(Raw_Data!S230))</f>
        <v>612</v>
      </c>
      <c r="V239" s="23" t="str">
        <f>IF(Raw_Data!S230="","Missing-Imputed","Original")</f>
        <v>Original</v>
      </c>
      <c r="W239" s="24">
        <f>Raw_Data!T230</f>
        <v>21</v>
      </c>
      <c r="X239" s="23" t="str">
        <f>IF(ISNUMBER(SEARCH("Y",UPPER(TRIM(Raw_Data!U230)))),"Yes","No")</f>
        <v>Yes</v>
      </c>
      <c r="Y239" s="23" t="str">
        <f>IF(ISNUMBER(SEARCH("Y",UPPER(TRIM(Raw_Data!V230)))),"Yes","No")</f>
        <v>Yes</v>
      </c>
      <c r="Z239" s="24">
        <f>Raw_Data!W230</f>
        <v>5</v>
      </c>
      <c r="AA239" s="24">
        <f>Raw_Data!X230</f>
        <v>6.3</v>
      </c>
      <c r="AB239" s="23" t="str">
        <f>IF(COUNTIFS(Raw_Data!$A$2:$A$616,Raw_Data!A230)&gt;1,"Duplicate","Unique")</f>
        <v>Unique</v>
      </c>
      <c r="AC239" s="23" t="str">
        <f t="shared" si="11"/>
        <v>Clean</v>
      </c>
    </row>
    <row r="240" spans="1:29" ht="15" customHeight="1">
      <c r="A240" s="25" t="str">
        <f>Raw_Data!A231</f>
        <v>BYJ1230</v>
      </c>
      <c r="B240" s="25" t="str">
        <f>Raw_Data!B231</f>
        <v>Vedant Sachdev</v>
      </c>
      <c r="C240" s="26">
        <f>IF(OR(Raw_Data!C231="",Raw_Data!C231&lt;$C$5,Raw_Data!C231&gt;$C$6),$C$4,Raw_Data!C231)</f>
        <v>36</v>
      </c>
      <c r="D240" s="25" t="str">
        <f>IF(Raw_Data!C231="","Missing-Imputed",IF(OR(Raw_Data!C231&lt;$C$5,Raw_Data!C231&gt;$C$6),"Outlier-Imputed","Original"))</f>
        <v>Original</v>
      </c>
      <c r="E240" s="25" t="str">
        <f>IF(OR(UPPER(TRIM(Raw_Data!D231))="M",UPPER(TRIM(Raw_Data!D231))="MALE"),"Male","Female")</f>
        <v>Male</v>
      </c>
      <c r="F240" s="25" t="str">
        <f>PROPER(TRIM(Raw_Data!E231))</f>
        <v>Malda</v>
      </c>
      <c r="G240" s="25" t="str">
        <f>PROPER(TRIM(Raw_Data!F231))</f>
        <v>Kerala</v>
      </c>
      <c r="H240" s="25" t="str">
        <f>PROPER(TRIM(Raw_Data!G231))</f>
        <v>Neet Prep</v>
      </c>
      <c r="I240" s="25" t="str">
        <f>PROPER(TRIM(Raw_Data!H231))</f>
        <v>Hyderabad Hub</v>
      </c>
      <c r="J240" s="26">
        <f>IF(LEN(TRIM(Raw_Data!I231))=4,VALUE(TRIM(Raw_Data!I231)),IF(ISNUMBER(IFERROR(VALUE(MID(TRIM(Raw_Data!I231),1,4)),"NA")),VALUE(MID(TRIM(Raw_Data!I231),1,4)),VALUE(RIGHT(TRIM(Raw_Data!I231),4))))</f>
        <v>2019</v>
      </c>
      <c r="K240" s="25" t="str">
        <f>PROPER(TRIM(Raw_Data!J231))</f>
        <v>Business</v>
      </c>
      <c r="L240" s="25" t="str">
        <f t="shared" si="9"/>
        <v>20+</v>
      </c>
      <c r="M240" s="25" t="str">
        <f t="shared" si="10"/>
        <v>Adult Learners</v>
      </c>
      <c r="N240" s="25" t="str">
        <f>IF(ISNUMBER(SEARCH("NON",UPPER(Raw_Data!M231))),"Non-Premium Learner","Premium Learner")</f>
        <v>Non-Premium Learner</v>
      </c>
      <c r="O240" s="25" t="str">
        <f>PROPER(TRIM(Raw_Data!N231))</f>
        <v>Both App &amp; Web</v>
      </c>
      <c r="P240" s="26">
        <f>IF(Raw_Data!O231="",$C$7,Raw_Data!O231)</f>
        <v>37550.629999999997</v>
      </c>
      <c r="Q240" s="25" t="str">
        <f>IF(Raw_Data!O231="","Missing-Imputed","Original")</f>
        <v>Original</v>
      </c>
      <c r="R240" s="26">
        <f>Raw_Data!P231</f>
        <v>74.2</v>
      </c>
      <c r="S240" s="26">
        <f>Raw_Data!Q231</f>
        <v>38826.400000000001</v>
      </c>
      <c r="T240" s="25" t="str">
        <f>IF(Raw_Data!R231="","Unknown",IF(ISNUMBER(SEARCH("ACT",UPPER(Raw_Data!R231))),"Active",IF(ISNUMBER(SEARCH("CLOS",UPPER(Raw_Data!R231))),"Closed","None")))</f>
        <v>None</v>
      </c>
      <c r="U240" s="26">
        <f>IF(Raw_Data!S231="",$C$8,VALUE(Raw_Data!S231))</f>
        <v>391</v>
      </c>
      <c r="V240" s="25" t="str">
        <f>IF(Raw_Data!S231="","Missing-Imputed","Original")</f>
        <v>Original</v>
      </c>
      <c r="W240" s="26">
        <f>Raw_Data!T231</f>
        <v>50</v>
      </c>
      <c r="X240" s="25" t="str">
        <f>IF(ISNUMBER(SEARCH("Y",UPPER(TRIM(Raw_Data!U231)))),"Yes","No")</f>
        <v>No</v>
      </c>
      <c r="Y240" s="25" t="str">
        <f>IF(ISNUMBER(SEARCH("Y",UPPER(TRIM(Raw_Data!V231)))),"Yes","No")</f>
        <v>Yes</v>
      </c>
      <c r="Z240" s="26">
        <f>Raw_Data!W231</f>
        <v>5</v>
      </c>
      <c r="AA240" s="26">
        <f>Raw_Data!X231</f>
        <v>4.0999999999999996</v>
      </c>
      <c r="AB240" s="25" t="str">
        <f>IF(COUNTIFS(Raw_Data!$A$2:$A$616,Raw_Data!A231)&gt;1,"Duplicate","Unique")</f>
        <v>Unique</v>
      </c>
      <c r="AC240" s="25" t="str">
        <f t="shared" si="11"/>
        <v>Clean</v>
      </c>
    </row>
    <row r="241" spans="1:29" ht="15" customHeight="1">
      <c r="A241" s="23" t="str">
        <f>Raw_Data!A232</f>
        <v>BYJ1231</v>
      </c>
      <c r="B241" s="23" t="str">
        <f>Raw_Data!B232</f>
        <v>Ojasvi Chandran</v>
      </c>
      <c r="C241" s="24">
        <f>IF(OR(Raw_Data!C232="",Raw_Data!C232&lt;$C$5,Raw_Data!C232&gt;$C$6),$C$4,Raw_Data!C232)</f>
        <v>29</v>
      </c>
      <c r="D241" s="23" t="str">
        <f>IF(Raw_Data!C232="","Missing-Imputed",IF(OR(Raw_Data!C232&lt;$C$5,Raw_Data!C232&gt;$C$6),"Outlier-Imputed","Original"))</f>
        <v>Original</v>
      </c>
      <c r="E241" s="23" t="str">
        <f>IF(OR(UPPER(TRIM(Raw_Data!D232))="M",UPPER(TRIM(Raw_Data!D232))="MALE"),"Male","Female")</f>
        <v>Male</v>
      </c>
      <c r="F241" s="23" t="str">
        <f>PROPER(TRIM(Raw_Data!E232))</f>
        <v>Purnia</v>
      </c>
      <c r="G241" s="23" t="str">
        <f>PROPER(TRIM(Raw_Data!F232))</f>
        <v>Uttar Pradesh</v>
      </c>
      <c r="H241" s="23" t="str">
        <f>PROPER(TRIM(Raw_Data!G232))</f>
        <v>Robotics</v>
      </c>
      <c r="I241" s="23" t="str">
        <f>PROPER(TRIM(Raw_Data!H232))</f>
        <v>Ahmedabad Center</v>
      </c>
      <c r="J241" s="24">
        <f>IF(LEN(TRIM(Raw_Data!I232))=4,VALUE(TRIM(Raw_Data!I232)),IF(ISNUMBER(IFERROR(VALUE(MID(TRIM(Raw_Data!I232),1,4)),"NA")),VALUE(MID(TRIM(Raw_Data!I232),1,4)),VALUE(RIGHT(TRIM(Raw_Data!I232),4))))</f>
        <v>2023</v>
      </c>
      <c r="K241" s="23" t="str">
        <f>PROPER(TRIM(Raw_Data!J232))</f>
        <v>Business</v>
      </c>
      <c r="L241" s="23" t="str">
        <f t="shared" si="9"/>
        <v>20+</v>
      </c>
      <c r="M241" s="23" t="str">
        <f t="shared" si="10"/>
        <v>Adult Learners</v>
      </c>
      <c r="N241" s="23" t="str">
        <f>IF(ISNUMBER(SEARCH("NON",UPPER(Raw_Data!M232))),"Non-Premium Learner","Premium Learner")</f>
        <v>Non-Premium Learner</v>
      </c>
      <c r="O241" s="23" t="str">
        <f>PROPER(TRIM(Raw_Data!N232))</f>
        <v>Web Only</v>
      </c>
      <c r="P241" s="24">
        <f>IF(Raw_Data!O232="",$C$7,Raw_Data!O232)</f>
        <v>46754.49</v>
      </c>
      <c r="Q241" s="23" t="str">
        <f>IF(Raw_Data!O232="","Missing-Imputed","Original")</f>
        <v>Original</v>
      </c>
      <c r="R241" s="24">
        <f>Raw_Data!P232</f>
        <v>14.8</v>
      </c>
      <c r="S241" s="24">
        <f>Raw_Data!Q232</f>
        <v>51380.26</v>
      </c>
      <c r="T241" s="23" t="str">
        <f>IF(Raw_Data!R232="","Unknown",IF(ISNUMBER(SEARCH("ACT",UPPER(Raw_Data!R232))),"Active",IF(ISNUMBER(SEARCH("CLOS",UPPER(Raw_Data!R232))),"Closed","None")))</f>
        <v>None</v>
      </c>
      <c r="U241" s="24">
        <f>IF(Raw_Data!S232="",$C$8,VALUE(Raw_Data!S232))</f>
        <v>589</v>
      </c>
      <c r="V241" s="23" t="str">
        <f>IF(Raw_Data!S232="","Missing-Imputed","Original")</f>
        <v>Original</v>
      </c>
      <c r="W241" s="24">
        <f>Raw_Data!T232</f>
        <v>48</v>
      </c>
      <c r="X241" s="23" t="str">
        <f>IF(ISNUMBER(SEARCH("Y",UPPER(TRIM(Raw_Data!U232)))),"Yes","No")</f>
        <v>No</v>
      </c>
      <c r="Y241" s="23" t="str">
        <f>IF(ISNUMBER(SEARCH("Y",UPPER(TRIM(Raw_Data!V232)))),"Yes","No")</f>
        <v>No</v>
      </c>
      <c r="Z241" s="24">
        <f>Raw_Data!W232</f>
        <v>1</v>
      </c>
      <c r="AA241" s="24">
        <f>Raw_Data!X232</f>
        <v>3</v>
      </c>
      <c r="AB241" s="23" t="str">
        <f>IF(COUNTIFS(Raw_Data!$A$2:$A$616,Raw_Data!A232)&gt;1,"Duplicate","Unique")</f>
        <v>Unique</v>
      </c>
      <c r="AC241" s="23" t="str">
        <f t="shared" si="11"/>
        <v>Clean</v>
      </c>
    </row>
    <row r="242" spans="1:29" ht="15" customHeight="1">
      <c r="A242" s="25" t="str">
        <f>Raw_Data!A233</f>
        <v>BYJ1232</v>
      </c>
      <c r="B242" s="25" t="str">
        <f>Raw_Data!B233</f>
        <v>Aadhya Prasad</v>
      </c>
      <c r="C242" s="26">
        <f>IF(OR(Raw_Data!C233="",Raw_Data!C233&lt;$C$5,Raw_Data!C233&gt;$C$6),$C$4,Raw_Data!C233)</f>
        <v>21</v>
      </c>
      <c r="D242" s="25" t="str">
        <f>IF(Raw_Data!C233="","Missing-Imputed",IF(OR(Raw_Data!C233&lt;$C$5,Raw_Data!C233&gt;$C$6),"Outlier-Imputed","Original"))</f>
        <v>Original</v>
      </c>
      <c r="E242" s="25" t="str">
        <f>IF(OR(UPPER(TRIM(Raw_Data!D233))="M",UPPER(TRIM(Raw_Data!D233))="MALE"),"Male","Female")</f>
        <v>Female</v>
      </c>
      <c r="F242" s="25" t="str">
        <f>PROPER(TRIM(Raw_Data!E233))</f>
        <v>Bhalswa Jahangir Pur</v>
      </c>
      <c r="G242" s="25" t="str">
        <f>PROPER(TRIM(Raw_Data!F233))</f>
        <v>Rajasthan</v>
      </c>
      <c r="H242" s="25" t="str">
        <f>PROPER(TRIM(Raw_Data!G233))</f>
        <v>Mathematics</v>
      </c>
      <c r="I242" s="25" t="str">
        <f>PROPER(TRIM(Raw_Data!H233))</f>
        <v>Chennai Central</v>
      </c>
      <c r="J242" s="26">
        <f>IF(LEN(TRIM(Raw_Data!I233))=4,VALUE(TRIM(Raw_Data!I233)),IF(ISNUMBER(IFERROR(VALUE(MID(TRIM(Raw_Data!I233),1,4)),"NA")),VALUE(MID(TRIM(Raw_Data!I233),1,4)),VALUE(RIGHT(TRIM(Raw_Data!I233),4))))</f>
        <v>2023</v>
      </c>
      <c r="K242" s="25" t="str">
        <f>PROPER(TRIM(Raw_Data!J233))</f>
        <v>Retired</v>
      </c>
      <c r="L242" s="25" t="str">
        <f t="shared" si="9"/>
        <v>20+</v>
      </c>
      <c r="M242" s="25" t="str">
        <f t="shared" si="10"/>
        <v>Adult Learners</v>
      </c>
      <c r="N242" s="25" t="str">
        <f>IF(ISNUMBER(SEARCH("NON",UPPER(Raw_Data!M233))),"Non-Premium Learner","Premium Learner")</f>
        <v>Non-Premium Learner</v>
      </c>
      <c r="O242" s="25" t="str">
        <f>PROPER(TRIM(Raw_Data!N233))</f>
        <v>Web Only</v>
      </c>
      <c r="P242" s="26">
        <f>IF(Raw_Data!O233="",$C$7,Raw_Data!O233)</f>
        <v>107725.71</v>
      </c>
      <c r="Q242" s="25" t="str">
        <f>IF(Raw_Data!O233="","Missing-Imputed","Original")</f>
        <v>Original</v>
      </c>
      <c r="R242" s="26">
        <f>Raw_Data!P233</f>
        <v>24.2</v>
      </c>
      <c r="S242" s="26">
        <f>Raw_Data!Q233</f>
        <v>5716.77</v>
      </c>
      <c r="T242" s="25" t="str">
        <f>IF(Raw_Data!R233="","Unknown",IF(ISNUMBER(SEARCH("ACT",UPPER(Raw_Data!R233))),"Active",IF(ISNUMBER(SEARCH("CLOS",UPPER(Raw_Data!R233))),"Closed","None")))</f>
        <v>Active</v>
      </c>
      <c r="U242" s="26">
        <f>IF(Raw_Data!S233="",$C$8,VALUE(Raw_Data!S233))</f>
        <v>640</v>
      </c>
      <c r="V242" s="25" t="str">
        <f>IF(Raw_Data!S233="","Missing-Imputed","Original")</f>
        <v>Original</v>
      </c>
      <c r="W242" s="26">
        <f>Raw_Data!T233</f>
        <v>120</v>
      </c>
      <c r="X242" s="25" t="str">
        <f>IF(ISNUMBER(SEARCH("Y",UPPER(TRIM(Raw_Data!U233)))),"Yes","No")</f>
        <v>No</v>
      </c>
      <c r="Y242" s="25" t="str">
        <f>IF(ISNUMBER(SEARCH("Y",UPPER(TRIM(Raw_Data!V233)))),"Yes","No")</f>
        <v>Yes</v>
      </c>
      <c r="Z242" s="26">
        <f>Raw_Data!W233</f>
        <v>5</v>
      </c>
      <c r="AA242" s="26">
        <f>Raw_Data!X233</f>
        <v>5.8</v>
      </c>
      <c r="AB242" s="25" t="str">
        <f>IF(COUNTIFS(Raw_Data!$A$2:$A$616,Raw_Data!A233)&gt;1,"Duplicate","Unique")</f>
        <v>Unique</v>
      </c>
      <c r="AC242" s="25" t="str">
        <f t="shared" si="11"/>
        <v>Clean</v>
      </c>
    </row>
    <row r="243" spans="1:29" ht="15" customHeight="1">
      <c r="A243" s="23" t="str">
        <f>Raw_Data!A234</f>
        <v>BYJ1233</v>
      </c>
      <c r="B243" s="23" t="str">
        <f>Raw_Data!B234</f>
        <v>Gavin Chada</v>
      </c>
      <c r="C243" s="24">
        <f>IF(OR(Raw_Data!C234="",Raw_Data!C234&lt;$C$5,Raw_Data!C234&gt;$C$6),$C$4,Raw_Data!C234)</f>
        <v>29</v>
      </c>
      <c r="D243" s="23" t="str">
        <f>IF(Raw_Data!C234="","Missing-Imputed",IF(OR(Raw_Data!C234&lt;$C$5,Raw_Data!C234&gt;$C$6),"Outlier-Imputed","Original"))</f>
        <v>Original</v>
      </c>
      <c r="E243" s="23" t="str">
        <f>IF(OR(UPPER(TRIM(Raw_Data!D234))="M",UPPER(TRIM(Raw_Data!D234))="MALE"),"Male","Female")</f>
        <v>Male</v>
      </c>
      <c r="F243" s="23" t="str">
        <f>PROPER(TRIM(Raw_Data!E234))</f>
        <v>Bhiwani</v>
      </c>
      <c r="G243" s="23" t="str">
        <f>PROPER(TRIM(Raw_Data!F234))</f>
        <v>Maharashtra</v>
      </c>
      <c r="H243" s="23" t="str">
        <f>PROPER(TRIM(Raw_Data!G234))</f>
        <v>Jee Prep</v>
      </c>
      <c r="I243" s="23" t="str">
        <f>PROPER(TRIM(Raw_Data!H234))</f>
        <v>Mumbai West</v>
      </c>
      <c r="J243" s="24">
        <f>IF(LEN(TRIM(Raw_Data!I234))=4,VALUE(TRIM(Raw_Data!I234)),IF(ISNUMBER(IFERROR(VALUE(MID(TRIM(Raw_Data!I234),1,4)),"NA")),VALUE(MID(TRIM(Raw_Data!I234),1,4)),VALUE(RIGHT(TRIM(Raw_Data!I234),4))))</f>
        <v>2024</v>
      </c>
      <c r="K243" s="23" t="str">
        <f>PROPER(TRIM(Raw_Data!J234))</f>
        <v>Business</v>
      </c>
      <c r="L243" s="23" t="str">
        <f t="shared" si="9"/>
        <v>20+</v>
      </c>
      <c r="M243" s="23" t="str">
        <f t="shared" si="10"/>
        <v>Adult Learners</v>
      </c>
      <c r="N243" s="23" t="str">
        <f>IF(ISNUMBER(SEARCH("NON",UPPER(Raw_Data!M234))),"Non-Premium Learner","Premium Learner")</f>
        <v>Premium Learner</v>
      </c>
      <c r="O243" s="23" t="str">
        <f>PROPER(TRIM(Raw_Data!N234))</f>
        <v>Web Only</v>
      </c>
      <c r="P243" s="24">
        <f>IF(Raw_Data!O234="",$C$7,Raw_Data!O234)</f>
        <v>25560.38</v>
      </c>
      <c r="Q243" s="23" t="str">
        <f>IF(Raw_Data!O234="","Missing-Imputed","Original")</f>
        <v>Original</v>
      </c>
      <c r="R243" s="24">
        <f>Raw_Data!P234</f>
        <v>8.3000000000000007</v>
      </c>
      <c r="S243" s="24">
        <f>Raw_Data!Q234</f>
        <v>7672.29</v>
      </c>
      <c r="T243" s="23" t="str">
        <f>IF(Raw_Data!R234="","Unknown",IF(ISNUMBER(SEARCH("ACT",UPPER(Raw_Data!R234))),"Active",IF(ISNUMBER(SEARCH("CLOS",UPPER(Raw_Data!R234))),"Closed","None")))</f>
        <v>Closed</v>
      </c>
      <c r="U243" s="24">
        <f>IF(Raw_Data!S234="",$C$8,VALUE(Raw_Data!S234))</f>
        <v>669</v>
      </c>
      <c r="V243" s="23" t="str">
        <f>IF(Raw_Data!S234="","Missing-Imputed","Original")</f>
        <v>Original</v>
      </c>
      <c r="W243" s="24">
        <f>Raw_Data!T234</f>
        <v>72</v>
      </c>
      <c r="X243" s="23" t="str">
        <f>IF(ISNUMBER(SEARCH("Y",UPPER(TRIM(Raw_Data!U234)))),"Yes","No")</f>
        <v>No</v>
      </c>
      <c r="Y243" s="23" t="str">
        <f>IF(ISNUMBER(SEARCH("Y",UPPER(TRIM(Raw_Data!V234)))),"Yes","No")</f>
        <v>No</v>
      </c>
      <c r="Z243" s="24">
        <f>Raw_Data!W234</f>
        <v>2</v>
      </c>
      <c r="AA243" s="24">
        <f>Raw_Data!X234</f>
        <v>3.2</v>
      </c>
      <c r="AB243" s="23" t="str">
        <f>IF(COUNTIFS(Raw_Data!$A$2:$A$616,Raw_Data!A234)&gt;1,"Duplicate","Unique")</f>
        <v>Unique</v>
      </c>
      <c r="AC243" s="23" t="str">
        <f t="shared" si="11"/>
        <v>Clean</v>
      </c>
    </row>
    <row r="244" spans="1:29" ht="15" customHeight="1">
      <c r="A244" s="25" t="str">
        <f>Raw_Data!A235</f>
        <v>BYJ1234</v>
      </c>
      <c r="B244" s="25" t="str">
        <f>Raw_Data!B235</f>
        <v>Kashish De</v>
      </c>
      <c r="C244" s="26">
        <f>IF(OR(Raw_Data!C235="",Raw_Data!C235&lt;$C$5,Raw_Data!C235&gt;$C$6),$C$4,Raw_Data!C235)</f>
        <v>15</v>
      </c>
      <c r="D244" s="25" t="str">
        <f>IF(Raw_Data!C235="","Missing-Imputed",IF(OR(Raw_Data!C235&lt;$C$5,Raw_Data!C235&gt;$C$6),"Outlier-Imputed","Original"))</f>
        <v>Original</v>
      </c>
      <c r="E244" s="25" t="str">
        <f>IF(OR(UPPER(TRIM(Raw_Data!D235))="M",UPPER(TRIM(Raw_Data!D235))="MALE"),"Male","Female")</f>
        <v>Female</v>
      </c>
      <c r="F244" s="25" t="str">
        <f>PROPER(TRIM(Raw_Data!E235))</f>
        <v>Dharmavaram</v>
      </c>
      <c r="G244" s="25" t="str">
        <f>PROPER(TRIM(Raw_Data!F235))</f>
        <v>Tamil Nadu</v>
      </c>
      <c r="H244" s="25" t="str">
        <f>PROPER(TRIM(Raw_Data!G235))</f>
        <v>English</v>
      </c>
      <c r="I244" s="25" t="str">
        <f>PROPER(TRIM(Raw_Data!H235))</f>
        <v>Mumbai West</v>
      </c>
      <c r="J244" s="26">
        <f>IF(LEN(TRIM(Raw_Data!I235))=4,VALUE(TRIM(Raw_Data!I235)),IF(ISNUMBER(IFERROR(VALUE(MID(TRIM(Raw_Data!I235),1,4)),"NA")),VALUE(MID(TRIM(Raw_Data!I235),1,4)),VALUE(RIGHT(TRIM(Raw_Data!I235),4))))</f>
        <v>2016</v>
      </c>
      <c r="K244" s="25" t="str">
        <f>PROPER(TRIM(Raw_Data!J235))</f>
        <v>Retired</v>
      </c>
      <c r="L244" s="25" t="str">
        <f t="shared" si="9"/>
        <v>14-16</v>
      </c>
      <c r="M244" s="25" t="str">
        <f t="shared" si="10"/>
        <v>Teens</v>
      </c>
      <c r="N244" s="25" t="str">
        <f>IF(ISNUMBER(SEARCH("NON",UPPER(Raw_Data!M235))),"Non-Premium Learner","Premium Learner")</f>
        <v>Non-Premium Learner</v>
      </c>
      <c r="O244" s="25" t="str">
        <f>PROPER(TRIM(Raw_Data!N235))</f>
        <v>Web Only</v>
      </c>
      <c r="P244" s="26">
        <f>IF(Raw_Data!O235="",$C$7,Raw_Data!O235)</f>
        <v>10914.8</v>
      </c>
      <c r="Q244" s="25" t="str">
        <f>IF(Raw_Data!O235="","Missing-Imputed","Original")</f>
        <v>Original</v>
      </c>
      <c r="R244" s="26">
        <f>Raw_Data!P235</f>
        <v>58.2</v>
      </c>
      <c r="S244" s="26">
        <f>Raw_Data!Q235</f>
        <v>29111.97</v>
      </c>
      <c r="T244" s="25" t="str">
        <f>IF(Raw_Data!R235="","Unknown",IF(ISNUMBER(SEARCH("ACT",UPPER(Raw_Data!R235))),"Active",IF(ISNUMBER(SEARCH("CLOS",UPPER(Raw_Data!R235))),"Closed","None")))</f>
        <v>Closed</v>
      </c>
      <c r="U244" s="26">
        <f>IF(Raw_Data!S235="",$C$8,VALUE(Raw_Data!S235))</f>
        <v>451</v>
      </c>
      <c r="V244" s="25" t="str">
        <f>IF(Raw_Data!S235="","Missing-Imputed","Original")</f>
        <v>Original</v>
      </c>
      <c r="W244" s="26">
        <f>Raw_Data!T235</f>
        <v>23</v>
      </c>
      <c r="X244" s="25" t="str">
        <f>IF(ISNUMBER(SEARCH("Y",UPPER(TRIM(Raw_Data!U235)))),"Yes","No")</f>
        <v>Yes</v>
      </c>
      <c r="Y244" s="25" t="str">
        <f>IF(ISNUMBER(SEARCH("Y",UPPER(TRIM(Raw_Data!V235)))),"Yes","No")</f>
        <v>Yes</v>
      </c>
      <c r="Z244" s="26">
        <f>Raw_Data!W235</f>
        <v>5</v>
      </c>
      <c r="AA244" s="26">
        <f>Raw_Data!X235</f>
        <v>7.5</v>
      </c>
      <c r="AB244" s="25" t="str">
        <f>IF(COUNTIFS(Raw_Data!$A$2:$A$616,Raw_Data!A235)&gt;1,"Duplicate","Unique")</f>
        <v>Unique</v>
      </c>
      <c r="AC244" s="25" t="str">
        <f t="shared" si="11"/>
        <v>Clean</v>
      </c>
    </row>
    <row r="245" spans="1:29" ht="15" customHeight="1">
      <c r="A245" s="23" t="str">
        <f>Raw_Data!A236</f>
        <v>BYJ1235</v>
      </c>
      <c r="B245" s="23" t="str">
        <f>Raw_Data!B236</f>
        <v>Jason Roy</v>
      </c>
      <c r="C245" s="24">
        <f>IF(OR(Raw_Data!C236="",Raw_Data!C236&lt;$C$5,Raw_Data!C236&gt;$C$6),$C$4,Raw_Data!C236)</f>
        <v>19</v>
      </c>
      <c r="D245" s="23" t="str">
        <f>IF(Raw_Data!C236="","Missing-Imputed",IF(OR(Raw_Data!C236&lt;$C$5,Raw_Data!C236&gt;$C$6),"Outlier-Imputed","Original"))</f>
        <v>Original</v>
      </c>
      <c r="E245" s="23" t="str">
        <f>IF(OR(UPPER(TRIM(Raw_Data!D236))="M",UPPER(TRIM(Raw_Data!D236))="MALE"),"Male","Female")</f>
        <v>Male</v>
      </c>
      <c r="F245" s="23" t="str">
        <f>PROPER(TRIM(Raw_Data!E236))</f>
        <v>Bhusawal</v>
      </c>
      <c r="G245" s="23" t="str">
        <f>PROPER(TRIM(Raw_Data!F236))</f>
        <v>Maharashtra</v>
      </c>
      <c r="H245" s="23" t="str">
        <f>PROPER(TRIM(Raw_Data!G236))</f>
        <v>Robotics</v>
      </c>
      <c r="I245" s="23" t="str">
        <f>PROPER(TRIM(Raw_Data!H236))</f>
        <v>Bengaluru South</v>
      </c>
      <c r="J245" s="24">
        <f>IF(LEN(TRIM(Raw_Data!I236))=4,VALUE(TRIM(Raw_Data!I236)),IF(ISNUMBER(IFERROR(VALUE(MID(TRIM(Raw_Data!I236),1,4)),"NA")),VALUE(MID(TRIM(Raw_Data!I236),1,4)),VALUE(RIGHT(TRIM(Raw_Data!I236),4))))</f>
        <v>2019</v>
      </c>
      <c r="K245" s="23" t="str">
        <f>PROPER(TRIM(Raw_Data!J236))</f>
        <v>Homemaker</v>
      </c>
      <c r="L245" s="23" t="str">
        <f t="shared" si="9"/>
        <v>17-19</v>
      </c>
      <c r="M245" s="23" t="str">
        <f t="shared" si="10"/>
        <v>Teens</v>
      </c>
      <c r="N245" s="23" t="str">
        <f>IF(ISNUMBER(SEARCH("NON",UPPER(Raw_Data!M236))),"Non-Premium Learner","Premium Learner")</f>
        <v>Premium Learner</v>
      </c>
      <c r="O245" s="23" t="str">
        <f>PROPER(TRIM(Raw_Data!N236))</f>
        <v>Both App &amp; Web</v>
      </c>
      <c r="P245" s="24">
        <f>IF(Raw_Data!O236="",$C$7,Raw_Data!O236)</f>
        <v>22688.69</v>
      </c>
      <c r="Q245" s="23" t="str">
        <f>IF(Raw_Data!O236="","Missing-Imputed","Original")</f>
        <v>Original</v>
      </c>
      <c r="R245" s="24">
        <f>Raw_Data!P236</f>
        <v>74.7</v>
      </c>
      <c r="S245" s="24">
        <f>Raw_Data!Q236</f>
        <v>6364.2</v>
      </c>
      <c r="T245" s="23" t="str">
        <f>IF(Raw_Data!R236="","Unknown",IF(ISNUMBER(SEARCH("ACT",UPPER(Raw_Data!R236))),"Active",IF(ISNUMBER(SEARCH("CLOS",UPPER(Raw_Data!R236))),"Closed","None")))</f>
        <v>Closed</v>
      </c>
      <c r="U245" s="24">
        <f>IF(Raw_Data!S236="",$C$8,VALUE(Raw_Data!S236))</f>
        <v>329</v>
      </c>
      <c r="V245" s="23" t="str">
        <f>IF(Raw_Data!S236="","Missing-Imputed","Original")</f>
        <v>Original</v>
      </c>
      <c r="W245" s="24">
        <f>Raw_Data!T236</f>
        <v>181</v>
      </c>
      <c r="X245" s="23" t="str">
        <f>IF(ISNUMBER(SEARCH("Y",UPPER(TRIM(Raw_Data!U236)))),"Yes","No")</f>
        <v>No</v>
      </c>
      <c r="Y245" s="23" t="str">
        <f>IF(ISNUMBER(SEARCH("Y",UPPER(TRIM(Raw_Data!V236)))),"Yes","No")</f>
        <v>No</v>
      </c>
      <c r="Z245" s="24">
        <f>Raw_Data!W236</f>
        <v>3</v>
      </c>
      <c r="AA245" s="24">
        <f>Raw_Data!X236</f>
        <v>8.6999999999999993</v>
      </c>
      <c r="AB245" s="23" t="str">
        <f>IF(COUNTIFS(Raw_Data!$A$2:$A$616,Raw_Data!A236)&gt;1,"Duplicate","Unique")</f>
        <v>Unique</v>
      </c>
      <c r="AC245" s="23" t="str">
        <f t="shared" si="11"/>
        <v>Clean</v>
      </c>
    </row>
    <row r="246" spans="1:29" ht="15" customHeight="1">
      <c r="A246" s="25" t="str">
        <f>Raw_Data!A237</f>
        <v>BYJ1236</v>
      </c>
      <c r="B246" s="25" t="str">
        <f>Raw_Data!B237</f>
        <v>Bhavna Muni</v>
      </c>
      <c r="C246" s="26">
        <f>IF(OR(Raw_Data!C237="",Raw_Data!C237&lt;$C$5,Raw_Data!C237&gt;$C$6),$C$4,Raw_Data!C237)</f>
        <v>26</v>
      </c>
      <c r="D246" s="25" t="str">
        <f>IF(Raw_Data!C237="","Missing-Imputed",IF(OR(Raw_Data!C237&lt;$C$5,Raw_Data!C237&gt;$C$6),"Outlier-Imputed","Original"))</f>
        <v>Original</v>
      </c>
      <c r="E246" s="25" t="str">
        <f>IF(OR(UPPER(TRIM(Raw_Data!D237))="M",UPPER(TRIM(Raw_Data!D237))="MALE"),"Male","Female")</f>
        <v>Male</v>
      </c>
      <c r="F246" s="25" t="str">
        <f>PROPER(TRIM(Raw_Data!E237))</f>
        <v>Vasai-Virar</v>
      </c>
      <c r="G246" s="25" t="str">
        <f>PROPER(TRIM(Raw_Data!F237))</f>
        <v>Telangana</v>
      </c>
      <c r="H246" s="25" t="str">
        <f>PROPER(TRIM(Raw_Data!G237))</f>
        <v>Neet Prep</v>
      </c>
      <c r="I246" s="25" t="str">
        <f>PROPER(TRIM(Raw_Data!H237))</f>
        <v>Chennai Central</v>
      </c>
      <c r="J246" s="26">
        <f>IF(LEN(TRIM(Raw_Data!I237))=4,VALUE(TRIM(Raw_Data!I237)),IF(ISNUMBER(IFERROR(VALUE(MID(TRIM(Raw_Data!I237),1,4)),"NA")),VALUE(MID(TRIM(Raw_Data!I237),1,4)),VALUE(RIGHT(TRIM(Raw_Data!I237),4))))</f>
        <v>2017</v>
      </c>
      <c r="K246" s="25" t="str">
        <f>PROPER(TRIM(Raw_Data!J237))</f>
        <v>Salaried</v>
      </c>
      <c r="L246" s="25" t="str">
        <f t="shared" si="9"/>
        <v>20+</v>
      </c>
      <c r="M246" s="25" t="str">
        <f t="shared" si="10"/>
        <v>Adult Learners</v>
      </c>
      <c r="N246" s="25" t="str">
        <f>IF(ISNUMBER(SEARCH("NON",UPPER(Raw_Data!M237))),"Non-Premium Learner","Premium Learner")</f>
        <v>Non-Premium Learner</v>
      </c>
      <c r="O246" s="25" t="str">
        <f>PROPER(TRIM(Raw_Data!N237))</f>
        <v>Web Only</v>
      </c>
      <c r="P246" s="26">
        <f>IF(Raw_Data!O237="",$C$7,Raw_Data!O237)</f>
        <v>17932.3</v>
      </c>
      <c r="Q246" s="25" t="str">
        <f>IF(Raw_Data!O237="","Missing-Imputed","Original")</f>
        <v>Original</v>
      </c>
      <c r="R246" s="26">
        <f>Raw_Data!P237</f>
        <v>17.2</v>
      </c>
      <c r="S246" s="26">
        <f>Raw_Data!Q237</f>
        <v>46769.55</v>
      </c>
      <c r="T246" s="25" t="str">
        <f>IF(Raw_Data!R237="","Unknown",IF(ISNUMBER(SEARCH("ACT",UPPER(Raw_Data!R237))),"Active",IF(ISNUMBER(SEARCH("CLOS",UPPER(Raw_Data!R237))),"Closed","None")))</f>
        <v>Closed</v>
      </c>
      <c r="U246" s="26">
        <f>IF(Raw_Data!S237="",$C$8,VALUE(Raw_Data!S237))</f>
        <v>457</v>
      </c>
      <c r="V246" s="25" t="str">
        <f>IF(Raw_Data!S237="","Missing-Imputed","Original")</f>
        <v>Original</v>
      </c>
      <c r="W246" s="26">
        <f>Raw_Data!T237</f>
        <v>125</v>
      </c>
      <c r="X246" s="25" t="str">
        <f>IF(ISNUMBER(SEARCH("Y",UPPER(TRIM(Raw_Data!U237)))),"Yes","No")</f>
        <v>No</v>
      </c>
      <c r="Y246" s="25" t="str">
        <f>IF(ISNUMBER(SEARCH("Y",UPPER(TRIM(Raw_Data!V237)))),"Yes","No")</f>
        <v>Yes</v>
      </c>
      <c r="Z246" s="26">
        <f>Raw_Data!W237</f>
        <v>1</v>
      </c>
      <c r="AA246" s="26">
        <f>Raw_Data!X237</f>
        <v>7.6</v>
      </c>
      <c r="AB246" s="25" t="str">
        <f>IF(COUNTIFS(Raw_Data!$A$2:$A$616,Raw_Data!A237)&gt;1,"Duplicate","Unique")</f>
        <v>Unique</v>
      </c>
      <c r="AC246" s="25" t="str">
        <f t="shared" si="11"/>
        <v>Clean</v>
      </c>
    </row>
    <row r="247" spans="1:29" ht="15" customHeight="1">
      <c r="A247" s="23" t="str">
        <f>Raw_Data!A238</f>
        <v>BYJ1237</v>
      </c>
      <c r="B247" s="23" t="str">
        <f>Raw_Data!B238</f>
        <v>Mohammed Subramaniam</v>
      </c>
      <c r="C247" s="24">
        <f>IF(OR(Raw_Data!C238="",Raw_Data!C238&lt;$C$5,Raw_Data!C238&gt;$C$6),$C$4,Raw_Data!C238)</f>
        <v>30</v>
      </c>
      <c r="D247" s="23" t="str">
        <f>IF(Raw_Data!C238="","Missing-Imputed",IF(OR(Raw_Data!C238&lt;$C$5,Raw_Data!C238&gt;$C$6),"Outlier-Imputed","Original"))</f>
        <v>Original</v>
      </c>
      <c r="E247" s="23" t="str">
        <f>IF(OR(UPPER(TRIM(Raw_Data!D238))="M",UPPER(TRIM(Raw_Data!D238))="MALE"),"Male","Female")</f>
        <v>Female</v>
      </c>
      <c r="F247" s="23" t="str">
        <f>PROPER(TRIM(Raw_Data!E238))</f>
        <v>Moradabad</v>
      </c>
      <c r="G247" s="23" t="str">
        <f>PROPER(TRIM(Raw_Data!F238))</f>
        <v>West Bengal</v>
      </c>
      <c r="H247" s="23" t="str">
        <f>PROPER(TRIM(Raw_Data!G238))</f>
        <v>Mathematics</v>
      </c>
      <c r="I247" s="23" t="str">
        <f>PROPER(TRIM(Raw_Data!H238))</f>
        <v>Kolkata Main</v>
      </c>
      <c r="J247" s="24">
        <f>IF(LEN(TRIM(Raw_Data!I238))=4,VALUE(TRIM(Raw_Data!I238)),IF(ISNUMBER(IFERROR(VALUE(MID(TRIM(Raw_Data!I238),1,4)),"NA")),VALUE(MID(TRIM(Raw_Data!I238),1,4)),VALUE(RIGHT(TRIM(Raw_Data!I238),4))))</f>
        <v>2021</v>
      </c>
      <c r="K247" s="23" t="str">
        <f>PROPER(TRIM(Raw_Data!J238))</f>
        <v>Retired</v>
      </c>
      <c r="L247" s="23" t="str">
        <f t="shared" si="9"/>
        <v>20+</v>
      </c>
      <c r="M247" s="23" t="str">
        <f t="shared" si="10"/>
        <v>Adult Learners</v>
      </c>
      <c r="N247" s="23" t="str">
        <f>IF(ISNUMBER(SEARCH("NON",UPPER(Raw_Data!M238))),"Non-Premium Learner","Premium Learner")</f>
        <v>Non-Premium Learner</v>
      </c>
      <c r="O247" s="23" t="str">
        <f>PROPER(TRIM(Raw_Data!N238))</f>
        <v>Web Only</v>
      </c>
      <c r="P247" s="24">
        <f>IF(Raw_Data!O238="",$C$7,Raw_Data!O238)</f>
        <v>146124.41</v>
      </c>
      <c r="Q247" s="23" t="str">
        <f>IF(Raw_Data!O238="","Missing-Imputed","Original")</f>
        <v>Original</v>
      </c>
      <c r="R247" s="24">
        <f>Raw_Data!P238</f>
        <v>53.6</v>
      </c>
      <c r="S247" s="24">
        <f>Raw_Data!Q238</f>
        <v>42818.13</v>
      </c>
      <c r="T247" s="23" t="str">
        <f>IF(Raw_Data!R238="","Unknown",IF(ISNUMBER(SEARCH("ACT",UPPER(Raw_Data!R238))),"Active",IF(ISNUMBER(SEARCH("CLOS",UPPER(Raw_Data!R238))),"Closed","None")))</f>
        <v>Closed</v>
      </c>
      <c r="U247" s="24">
        <f>IF(Raw_Data!S238="",$C$8,VALUE(Raw_Data!S238))</f>
        <v>837</v>
      </c>
      <c r="V247" s="23" t="str">
        <f>IF(Raw_Data!S238="","Missing-Imputed","Original")</f>
        <v>Original</v>
      </c>
      <c r="W247" s="24">
        <f>Raw_Data!T238</f>
        <v>119</v>
      </c>
      <c r="X247" s="23" t="str">
        <f>IF(ISNUMBER(SEARCH("Y",UPPER(TRIM(Raw_Data!U238)))),"Yes","No")</f>
        <v>No</v>
      </c>
      <c r="Y247" s="23" t="str">
        <f>IF(ISNUMBER(SEARCH("Y",UPPER(TRIM(Raw_Data!V238)))),"Yes","No")</f>
        <v>No</v>
      </c>
      <c r="Z247" s="24">
        <f>Raw_Data!W238</f>
        <v>2</v>
      </c>
      <c r="AA247" s="24">
        <f>Raw_Data!X238</f>
        <v>8.9</v>
      </c>
      <c r="AB247" s="23" t="str">
        <f>IF(COUNTIFS(Raw_Data!$A$2:$A$616,Raw_Data!A238)&gt;1,"Duplicate","Unique")</f>
        <v>Unique</v>
      </c>
      <c r="AC247" s="23" t="str">
        <f t="shared" si="11"/>
        <v>Clean</v>
      </c>
    </row>
    <row r="248" spans="1:29" ht="15" customHeight="1">
      <c r="A248" s="25" t="str">
        <f>Raw_Data!A239</f>
        <v>BYJ1238</v>
      </c>
      <c r="B248" s="25" t="str">
        <f>Raw_Data!B239</f>
        <v>Jhalak Contractor</v>
      </c>
      <c r="C248" s="26">
        <f>IF(OR(Raw_Data!C239="",Raw_Data!C239&lt;$C$5,Raw_Data!C239&gt;$C$6),$C$4,Raw_Data!C239)</f>
        <v>21</v>
      </c>
      <c r="D248" s="25" t="str">
        <f>IF(Raw_Data!C239="","Missing-Imputed",IF(OR(Raw_Data!C239&lt;$C$5,Raw_Data!C239&gt;$C$6),"Outlier-Imputed","Original"))</f>
        <v>Original</v>
      </c>
      <c r="E248" s="25" t="str">
        <f>IF(OR(UPPER(TRIM(Raw_Data!D239))="M",UPPER(TRIM(Raw_Data!D239))="MALE"),"Male","Female")</f>
        <v>Female</v>
      </c>
      <c r="F248" s="25" t="str">
        <f>PROPER(TRIM(Raw_Data!E239))</f>
        <v>Chapra</v>
      </c>
      <c r="G248" s="25" t="str">
        <f>PROPER(TRIM(Raw_Data!F239))</f>
        <v>Uttar Pradesh</v>
      </c>
      <c r="H248" s="25" t="str">
        <f>PROPER(TRIM(Raw_Data!G239))</f>
        <v>Mathematics</v>
      </c>
      <c r="I248" s="25" t="str">
        <f>PROPER(TRIM(Raw_Data!H239))</f>
        <v>Chennai Central</v>
      </c>
      <c r="J248" s="26">
        <f>IF(LEN(TRIM(Raw_Data!I239))=4,VALUE(TRIM(Raw_Data!I239)),IF(ISNUMBER(IFERROR(VALUE(MID(TRIM(Raw_Data!I239),1,4)),"NA")),VALUE(MID(TRIM(Raw_Data!I239),1,4)),VALUE(RIGHT(TRIM(Raw_Data!I239),4))))</f>
        <v>2024</v>
      </c>
      <c r="K248" s="25" t="str">
        <f>PROPER(TRIM(Raw_Data!J239))</f>
        <v>Self-Employed</v>
      </c>
      <c r="L248" s="25" t="str">
        <f t="shared" si="9"/>
        <v>20+</v>
      </c>
      <c r="M248" s="25" t="str">
        <f t="shared" si="10"/>
        <v>Adult Learners</v>
      </c>
      <c r="N248" s="25" t="str">
        <f>IF(ISNUMBER(SEARCH("NON",UPPER(Raw_Data!M239))),"Non-Premium Learner","Premium Learner")</f>
        <v>Premium Learner</v>
      </c>
      <c r="O248" s="25" t="str">
        <f>PROPER(TRIM(Raw_Data!N239))</f>
        <v>Both App &amp; Web</v>
      </c>
      <c r="P248" s="26">
        <f>IF(Raw_Data!O239="",$C$7,Raw_Data!O239)</f>
        <v>122859.59</v>
      </c>
      <c r="Q248" s="25" t="str">
        <f>IF(Raw_Data!O239="","Missing-Imputed","Original")</f>
        <v>Original</v>
      </c>
      <c r="R248" s="26">
        <f>Raw_Data!P239</f>
        <v>48.9</v>
      </c>
      <c r="S248" s="26">
        <f>Raw_Data!Q239</f>
        <v>46118.81</v>
      </c>
      <c r="T248" s="25" t="str">
        <f>IF(Raw_Data!R239="","Unknown",IF(ISNUMBER(SEARCH("ACT",UPPER(Raw_Data!R239))),"Active",IF(ISNUMBER(SEARCH("CLOS",UPPER(Raw_Data!R239))),"Closed","None")))</f>
        <v>Active</v>
      </c>
      <c r="U248" s="26">
        <f>IF(Raw_Data!S239="",$C$8,VALUE(Raw_Data!S239))</f>
        <v>773</v>
      </c>
      <c r="V248" s="25" t="str">
        <f>IF(Raw_Data!S239="","Missing-Imputed","Original")</f>
        <v>Original</v>
      </c>
      <c r="W248" s="26">
        <f>Raw_Data!T239</f>
        <v>46</v>
      </c>
      <c r="X248" s="25" t="str">
        <f>IF(ISNUMBER(SEARCH("Y",UPPER(TRIM(Raw_Data!U239)))),"Yes","No")</f>
        <v>No</v>
      </c>
      <c r="Y248" s="25" t="str">
        <f>IF(ISNUMBER(SEARCH("Y",UPPER(TRIM(Raw_Data!V239)))),"Yes","No")</f>
        <v>Yes</v>
      </c>
      <c r="Z248" s="26">
        <f>Raw_Data!W239</f>
        <v>3</v>
      </c>
      <c r="AA248" s="26">
        <f>Raw_Data!X239</f>
        <v>3.2</v>
      </c>
      <c r="AB248" s="25" t="str">
        <f>IF(COUNTIFS(Raw_Data!$A$2:$A$616,Raw_Data!A239)&gt;1,"Duplicate","Unique")</f>
        <v>Unique</v>
      </c>
      <c r="AC248" s="25" t="str">
        <f t="shared" si="11"/>
        <v>Clean</v>
      </c>
    </row>
    <row r="249" spans="1:29" ht="15" customHeight="1">
      <c r="A249" s="23" t="str">
        <f>Raw_Data!A240</f>
        <v>BYJ1239</v>
      </c>
      <c r="B249" s="23" t="str">
        <f>Raw_Data!B240</f>
        <v>Pushti Bal</v>
      </c>
      <c r="C249" s="24">
        <f>IF(OR(Raw_Data!C240="",Raw_Data!C240&lt;$C$5,Raw_Data!C240&gt;$C$6),$C$4,Raw_Data!C240)</f>
        <v>34</v>
      </c>
      <c r="D249" s="23" t="str">
        <f>IF(Raw_Data!C240="","Missing-Imputed",IF(OR(Raw_Data!C240&lt;$C$5,Raw_Data!C240&gt;$C$6),"Outlier-Imputed","Original"))</f>
        <v>Original</v>
      </c>
      <c r="E249" s="23" t="str">
        <f>IF(OR(UPPER(TRIM(Raw_Data!D240))="M",UPPER(TRIM(Raw_Data!D240))="MALE"),"Male","Female")</f>
        <v>Female</v>
      </c>
      <c r="F249" s="23" t="str">
        <f>PROPER(TRIM(Raw_Data!E240))</f>
        <v>Bhopal</v>
      </c>
      <c r="G249" s="23" t="str">
        <f>PROPER(TRIM(Raw_Data!F240))</f>
        <v>Maharashtra</v>
      </c>
      <c r="H249" s="23" t="str">
        <f>PROPER(TRIM(Raw_Data!G240))</f>
        <v>English</v>
      </c>
      <c r="I249" s="23" t="str">
        <f>PROPER(TRIM(Raw_Data!H240))</f>
        <v>Mumbai West</v>
      </c>
      <c r="J249" s="24">
        <f>IF(LEN(TRIM(Raw_Data!I240))=4,VALUE(TRIM(Raw_Data!I240)),IF(ISNUMBER(IFERROR(VALUE(MID(TRIM(Raw_Data!I240),1,4)),"NA")),VALUE(MID(TRIM(Raw_Data!I240),1,4)),VALUE(RIGHT(TRIM(Raw_Data!I240),4))))</f>
        <v>46042</v>
      </c>
      <c r="K249" s="23" t="str">
        <f>PROPER(TRIM(Raw_Data!J240))</f>
        <v>Retired</v>
      </c>
      <c r="L249" s="23" t="str">
        <f t="shared" si="9"/>
        <v>20+</v>
      </c>
      <c r="M249" s="23" t="str">
        <f t="shared" si="10"/>
        <v>Adult Learners</v>
      </c>
      <c r="N249" s="23" t="str">
        <f>IF(ISNUMBER(SEARCH("NON",UPPER(Raw_Data!M240))),"Non-Premium Learner","Premium Learner")</f>
        <v>Premium Learner</v>
      </c>
      <c r="O249" s="23" t="str">
        <f>PROPER(TRIM(Raw_Data!N240))</f>
        <v>App Only</v>
      </c>
      <c r="P249" s="24">
        <f>IF(Raw_Data!O240="",$C$7,Raw_Data!O240)</f>
        <v>71742.19</v>
      </c>
      <c r="Q249" s="23" t="str">
        <f>IF(Raw_Data!O240="","Missing-Imputed","Original")</f>
        <v>Missing-Imputed</v>
      </c>
      <c r="R249" s="24">
        <f>Raw_Data!P240</f>
        <v>54.2</v>
      </c>
      <c r="S249" s="24">
        <f>Raw_Data!Q240</f>
        <v>27609.78</v>
      </c>
      <c r="T249" s="23" t="str">
        <f>IF(Raw_Data!R240="","Unknown",IF(ISNUMBER(SEARCH("ACT",UPPER(Raw_Data!R240))),"Active",IF(ISNUMBER(SEARCH("CLOS",UPPER(Raw_Data!R240))),"Closed","None")))</f>
        <v>Closed</v>
      </c>
      <c r="U249" s="24">
        <f>IF(Raw_Data!S240="",$C$8,VALUE(Raw_Data!S240))</f>
        <v>798</v>
      </c>
      <c r="V249" s="23" t="str">
        <f>IF(Raw_Data!S240="","Missing-Imputed","Original")</f>
        <v>Original</v>
      </c>
      <c r="W249" s="24">
        <f>Raw_Data!T240</f>
        <v>157</v>
      </c>
      <c r="X249" s="23" t="str">
        <f>IF(ISNUMBER(SEARCH("Y",UPPER(TRIM(Raw_Data!U240)))),"Yes","No")</f>
        <v>No</v>
      </c>
      <c r="Y249" s="23" t="str">
        <f>IF(ISNUMBER(SEARCH("Y",UPPER(TRIM(Raw_Data!V240)))),"Yes","No")</f>
        <v>No</v>
      </c>
      <c r="Z249" s="24">
        <f>Raw_Data!W240</f>
        <v>2</v>
      </c>
      <c r="AA249" s="24">
        <f>Raw_Data!X240</f>
        <v>1.6</v>
      </c>
      <c r="AB249" s="23" t="str">
        <f>IF(COUNTIFS(Raw_Data!$A$2:$A$616,Raw_Data!A240)&gt;1,"Duplicate","Unique")</f>
        <v>Unique</v>
      </c>
      <c r="AC249" s="23" t="str">
        <f t="shared" si="11"/>
        <v>Imputed</v>
      </c>
    </row>
    <row r="250" spans="1:29" ht="15" customHeight="1">
      <c r="A250" s="25" t="str">
        <f>Raw_Data!A241</f>
        <v>BYJ1240</v>
      </c>
      <c r="B250" s="25" t="str">
        <f>Raw_Data!B241</f>
        <v>Anjali More</v>
      </c>
      <c r="C250" s="26">
        <f>IF(OR(Raw_Data!C241="",Raw_Data!C241&lt;$C$5,Raw_Data!C241&gt;$C$6),$C$4,Raw_Data!C241)</f>
        <v>18</v>
      </c>
      <c r="D250" s="25" t="str">
        <f>IF(Raw_Data!C241="","Missing-Imputed",IF(OR(Raw_Data!C241&lt;$C$5,Raw_Data!C241&gt;$C$6),"Outlier-Imputed","Original"))</f>
        <v>Original</v>
      </c>
      <c r="E250" s="25" t="str">
        <f>IF(OR(UPPER(TRIM(Raw_Data!D241))="M",UPPER(TRIM(Raw_Data!D241))="MALE"),"Male","Female")</f>
        <v>Male</v>
      </c>
      <c r="F250" s="25" t="str">
        <f>PROPER(TRIM(Raw_Data!E241))</f>
        <v>Etawah</v>
      </c>
      <c r="G250" s="25" t="str">
        <f>PROPER(TRIM(Raw_Data!F241))</f>
        <v>Maharashtra</v>
      </c>
      <c r="H250" s="25" t="str">
        <f>PROPER(TRIM(Raw_Data!G241))</f>
        <v>English</v>
      </c>
      <c r="I250" s="25" t="str">
        <f>PROPER(TRIM(Raw_Data!H241))</f>
        <v>Kolkata Main</v>
      </c>
      <c r="J250" s="26">
        <f>IF(LEN(TRIM(Raw_Data!I241))=4,VALUE(TRIM(Raw_Data!I241)),IF(ISNUMBER(IFERROR(VALUE(MID(TRIM(Raw_Data!I241),1,4)),"NA")),VALUE(MID(TRIM(Raw_Data!I241),1,4)),VALUE(RIGHT(TRIM(Raw_Data!I241),4))))</f>
        <v>2024</v>
      </c>
      <c r="K250" s="25" t="str">
        <f>PROPER(TRIM(Raw_Data!J241))</f>
        <v>Self-Employed</v>
      </c>
      <c r="L250" s="25" t="str">
        <f t="shared" si="9"/>
        <v>17-19</v>
      </c>
      <c r="M250" s="25" t="str">
        <f t="shared" si="10"/>
        <v>Teens</v>
      </c>
      <c r="N250" s="25" t="str">
        <f>IF(ISNUMBER(SEARCH("NON",UPPER(Raw_Data!M241))),"Non-Premium Learner","Premium Learner")</f>
        <v>Premium Learner</v>
      </c>
      <c r="O250" s="25" t="str">
        <f>PROPER(TRIM(Raw_Data!N241))</f>
        <v>App Only</v>
      </c>
      <c r="P250" s="26">
        <f>IF(Raw_Data!O241="",$C$7,Raw_Data!O241)</f>
        <v>29085.3</v>
      </c>
      <c r="Q250" s="25" t="str">
        <f>IF(Raw_Data!O241="","Missing-Imputed","Original")</f>
        <v>Original</v>
      </c>
      <c r="R250" s="26">
        <f>Raw_Data!P241</f>
        <v>57.7</v>
      </c>
      <c r="S250" s="26">
        <f>Raw_Data!Q241</f>
        <v>57832.01</v>
      </c>
      <c r="T250" s="25" t="str">
        <f>IF(Raw_Data!R241="","Unknown",IF(ISNUMBER(SEARCH("ACT",UPPER(Raw_Data!R241))),"Active",IF(ISNUMBER(SEARCH("CLOS",UPPER(Raw_Data!R241))),"Closed","None")))</f>
        <v>Closed</v>
      </c>
      <c r="U250" s="26">
        <f>IF(Raw_Data!S241="",$C$8,VALUE(Raw_Data!S241))</f>
        <v>760</v>
      </c>
      <c r="V250" s="25" t="str">
        <f>IF(Raw_Data!S241="","Missing-Imputed","Original")</f>
        <v>Original</v>
      </c>
      <c r="W250" s="26">
        <f>Raw_Data!T241</f>
        <v>51</v>
      </c>
      <c r="X250" s="25" t="str">
        <f>IF(ISNUMBER(SEARCH("Y",UPPER(TRIM(Raw_Data!U241)))),"Yes","No")</f>
        <v>No</v>
      </c>
      <c r="Y250" s="25" t="str">
        <f>IF(ISNUMBER(SEARCH("Y",UPPER(TRIM(Raw_Data!V241)))),"Yes","No")</f>
        <v>Yes</v>
      </c>
      <c r="Z250" s="26">
        <f>Raw_Data!W241</f>
        <v>1</v>
      </c>
      <c r="AA250" s="26">
        <f>Raw_Data!X241</f>
        <v>1.4</v>
      </c>
      <c r="AB250" s="25" t="str">
        <f>IF(COUNTIFS(Raw_Data!$A$2:$A$616,Raw_Data!A241)&gt;1,"Duplicate","Unique")</f>
        <v>Duplicate</v>
      </c>
      <c r="AC250" s="25" t="str">
        <f t="shared" si="11"/>
        <v>Review-Duplicate</v>
      </c>
    </row>
    <row r="251" spans="1:29" ht="15" customHeight="1">
      <c r="A251" s="23" t="str">
        <f>Raw_Data!A242</f>
        <v>BYJ1241</v>
      </c>
      <c r="B251" s="23" t="str">
        <f>Raw_Data!B242</f>
        <v>Pratyush Dhar</v>
      </c>
      <c r="C251" s="24">
        <f>IF(OR(Raw_Data!C242="",Raw_Data!C242&lt;$C$5,Raw_Data!C242&gt;$C$6),$C$4,Raw_Data!C242)</f>
        <v>32</v>
      </c>
      <c r="D251" s="23" t="str">
        <f>IF(Raw_Data!C242="","Missing-Imputed",IF(OR(Raw_Data!C242&lt;$C$5,Raw_Data!C242&gt;$C$6),"Outlier-Imputed","Original"))</f>
        <v>Original</v>
      </c>
      <c r="E251" s="23" t="str">
        <f>IF(OR(UPPER(TRIM(Raw_Data!D242))="M",UPPER(TRIM(Raw_Data!D242))="MALE"),"Male","Female")</f>
        <v>Female</v>
      </c>
      <c r="F251" s="23" t="str">
        <f>PROPER(TRIM(Raw_Data!E242))</f>
        <v>Coimbatore</v>
      </c>
      <c r="G251" s="23" t="str">
        <f>PROPER(TRIM(Raw_Data!F242))</f>
        <v>Uttar Pradesh</v>
      </c>
      <c r="H251" s="23" t="str">
        <f>PROPER(TRIM(Raw_Data!G242))</f>
        <v>Jee Prep</v>
      </c>
      <c r="I251" s="23" t="str">
        <f>PROPER(TRIM(Raw_Data!H242))</f>
        <v>Chennai Central</v>
      </c>
      <c r="J251" s="24">
        <f>IF(LEN(TRIM(Raw_Data!I242))=4,VALUE(TRIM(Raw_Data!I242)),IF(ISNUMBER(IFERROR(VALUE(MID(TRIM(Raw_Data!I242),1,4)),"NA")),VALUE(MID(TRIM(Raw_Data!I242),1,4)),VALUE(RIGHT(TRIM(Raw_Data!I242),4))))</f>
        <v>2023</v>
      </c>
      <c r="K251" s="23" t="str">
        <f>PROPER(TRIM(Raw_Data!J242))</f>
        <v>Business</v>
      </c>
      <c r="L251" s="23" t="str">
        <f t="shared" si="9"/>
        <v>20+</v>
      </c>
      <c r="M251" s="23" t="str">
        <f t="shared" si="10"/>
        <v>Adult Learners</v>
      </c>
      <c r="N251" s="23" t="str">
        <f>IF(ISNUMBER(SEARCH("NON",UPPER(Raw_Data!M242))),"Non-Premium Learner","Premium Learner")</f>
        <v>Non-Premium Learner</v>
      </c>
      <c r="O251" s="23" t="str">
        <f>PROPER(TRIM(Raw_Data!N242))</f>
        <v>Web Only</v>
      </c>
      <c r="P251" s="24">
        <f>IF(Raw_Data!O242="",$C$7,Raw_Data!O242)</f>
        <v>88578.49</v>
      </c>
      <c r="Q251" s="23" t="str">
        <f>IF(Raw_Data!O242="","Missing-Imputed","Original")</f>
        <v>Original</v>
      </c>
      <c r="R251" s="24">
        <f>Raw_Data!P242</f>
        <v>25.1</v>
      </c>
      <c r="S251" s="24">
        <f>Raw_Data!Q242</f>
        <v>38898.019999999997</v>
      </c>
      <c r="T251" s="23" t="str">
        <f>IF(Raw_Data!R242="","Unknown",IF(ISNUMBER(SEARCH("ACT",UPPER(Raw_Data!R242))),"Active",IF(ISNUMBER(SEARCH("CLOS",UPPER(Raw_Data!R242))),"Closed","None")))</f>
        <v>Closed</v>
      </c>
      <c r="U251" s="24">
        <f>IF(Raw_Data!S242="",$C$8,VALUE(Raw_Data!S242))</f>
        <v>806</v>
      </c>
      <c r="V251" s="23" t="str">
        <f>IF(Raw_Data!S242="","Missing-Imputed","Original")</f>
        <v>Original</v>
      </c>
      <c r="W251" s="24">
        <f>Raw_Data!T242</f>
        <v>165</v>
      </c>
      <c r="X251" s="23" t="str">
        <f>IF(ISNUMBER(SEARCH("Y",UPPER(TRIM(Raw_Data!U242)))),"Yes","No")</f>
        <v>No</v>
      </c>
      <c r="Y251" s="23" t="str">
        <f>IF(ISNUMBER(SEARCH("Y",UPPER(TRIM(Raw_Data!V242)))),"Yes","No")</f>
        <v>No</v>
      </c>
      <c r="Z251" s="24">
        <f>Raw_Data!W242</f>
        <v>2</v>
      </c>
      <c r="AA251" s="24">
        <f>Raw_Data!X242</f>
        <v>2.9</v>
      </c>
      <c r="AB251" s="23" t="str">
        <f>IF(COUNTIFS(Raw_Data!$A$2:$A$616,Raw_Data!A242)&gt;1,"Duplicate","Unique")</f>
        <v>Unique</v>
      </c>
      <c r="AC251" s="23" t="str">
        <f t="shared" si="11"/>
        <v>Clean</v>
      </c>
    </row>
    <row r="252" spans="1:29" ht="15" customHeight="1">
      <c r="A252" s="25" t="str">
        <f>Raw_Data!A243</f>
        <v>BYJ1242</v>
      </c>
      <c r="B252" s="25" t="str">
        <f>Raw_Data!B243</f>
        <v>Azaan Chand</v>
      </c>
      <c r="C252" s="26">
        <f>IF(OR(Raw_Data!C243="",Raw_Data!C243&lt;$C$5,Raw_Data!C243&gt;$C$6),$C$4,Raw_Data!C243)</f>
        <v>20</v>
      </c>
      <c r="D252" s="25" t="str">
        <f>IF(Raw_Data!C243="","Missing-Imputed",IF(OR(Raw_Data!C243&lt;$C$5,Raw_Data!C243&gt;$C$6),"Outlier-Imputed","Original"))</f>
        <v>Original</v>
      </c>
      <c r="E252" s="25" t="str">
        <f>IF(OR(UPPER(TRIM(Raw_Data!D243))="M",UPPER(TRIM(Raw_Data!D243))="MALE"),"Male","Female")</f>
        <v>Male</v>
      </c>
      <c r="F252" s="25" t="str">
        <f>PROPER(TRIM(Raw_Data!E243))</f>
        <v>Gandhinagar</v>
      </c>
      <c r="G252" s="25" t="str">
        <f>PROPER(TRIM(Raw_Data!F243))</f>
        <v>Gujarat</v>
      </c>
      <c r="H252" s="25" t="str">
        <f>PROPER(TRIM(Raw_Data!G243))</f>
        <v>Spoken English</v>
      </c>
      <c r="I252" s="25" t="str">
        <f>PROPER(TRIM(Raw_Data!H243))</f>
        <v>Mumbai West</v>
      </c>
      <c r="J252" s="26">
        <f>IF(LEN(TRIM(Raw_Data!I243))=4,VALUE(TRIM(Raw_Data!I243)),IF(ISNUMBER(IFERROR(VALUE(MID(TRIM(Raw_Data!I243),1,4)),"NA")),VALUE(MID(TRIM(Raw_Data!I243),1,4)),VALUE(RIGHT(TRIM(Raw_Data!I243),4))))</f>
        <v>2020</v>
      </c>
      <c r="K252" s="25" t="str">
        <f>PROPER(TRIM(Raw_Data!J243))</f>
        <v>Self-Employed</v>
      </c>
      <c r="L252" s="25" t="str">
        <f t="shared" si="9"/>
        <v>20+</v>
      </c>
      <c r="M252" s="25" t="str">
        <f t="shared" si="10"/>
        <v>Adult Learners</v>
      </c>
      <c r="N252" s="25" t="str">
        <f>IF(ISNUMBER(SEARCH("NON",UPPER(Raw_Data!M243))),"Non-Premium Learner","Premium Learner")</f>
        <v>Non-Premium Learner</v>
      </c>
      <c r="O252" s="25" t="str">
        <f>PROPER(TRIM(Raw_Data!N243))</f>
        <v>Both App &amp; Web</v>
      </c>
      <c r="P252" s="26">
        <f>IF(Raw_Data!O243="",$C$7,Raw_Data!O243)</f>
        <v>57237.06</v>
      </c>
      <c r="Q252" s="25" t="str">
        <f>IF(Raw_Data!O243="","Missing-Imputed","Original")</f>
        <v>Original</v>
      </c>
      <c r="R252" s="26">
        <f>Raw_Data!P243</f>
        <v>77.8</v>
      </c>
      <c r="S252" s="26">
        <f>Raw_Data!Q243</f>
        <v>9721.5499999999993</v>
      </c>
      <c r="T252" s="25" t="str">
        <f>IF(Raw_Data!R243="","Unknown",IF(ISNUMBER(SEARCH("ACT",UPPER(Raw_Data!R243))),"Active",IF(ISNUMBER(SEARCH("CLOS",UPPER(Raw_Data!R243))),"Closed","None")))</f>
        <v>Active</v>
      </c>
      <c r="U252" s="26">
        <f>IF(Raw_Data!S243="",$C$8,VALUE(Raw_Data!S243))</f>
        <v>388</v>
      </c>
      <c r="V252" s="25" t="str">
        <f>IF(Raw_Data!S243="","Missing-Imputed","Original")</f>
        <v>Original</v>
      </c>
      <c r="W252" s="26">
        <f>Raw_Data!T243</f>
        <v>33</v>
      </c>
      <c r="X252" s="25" t="str">
        <f>IF(ISNUMBER(SEARCH("Y",UPPER(TRIM(Raw_Data!U243)))),"Yes","No")</f>
        <v>Yes</v>
      </c>
      <c r="Y252" s="25" t="str">
        <f>IF(ISNUMBER(SEARCH("Y",UPPER(TRIM(Raw_Data!V243)))),"Yes","No")</f>
        <v>Yes</v>
      </c>
      <c r="Z252" s="26">
        <f>Raw_Data!W243</f>
        <v>1</v>
      </c>
      <c r="AA252" s="26">
        <f>Raw_Data!X243</f>
        <v>7.2</v>
      </c>
      <c r="AB252" s="25" t="str">
        <f>IF(COUNTIFS(Raw_Data!$A$2:$A$616,Raw_Data!A243)&gt;1,"Duplicate","Unique")</f>
        <v>Unique</v>
      </c>
      <c r="AC252" s="25" t="str">
        <f t="shared" si="11"/>
        <v>Clean</v>
      </c>
    </row>
    <row r="253" spans="1:29" ht="15" customHeight="1">
      <c r="A253" s="23" t="str">
        <f>Raw_Data!A244</f>
        <v>BYJ1243</v>
      </c>
      <c r="B253" s="23" t="str">
        <f>Raw_Data!B244</f>
        <v>Sudiksha Om</v>
      </c>
      <c r="C253" s="24">
        <f>IF(OR(Raw_Data!C244="",Raw_Data!C244&lt;$C$5,Raw_Data!C244&gt;$C$6),$C$4,Raw_Data!C244)</f>
        <v>21</v>
      </c>
      <c r="D253" s="23" t="str">
        <f>IF(Raw_Data!C244="","Missing-Imputed",IF(OR(Raw_Data!C244&lt;$C$5,Raw_Data!C244&gt;$C$6),"Outlier-Imputed","Original"))</f>
        <v>Original</v>
      </c>
      <c r="E253" s="23" t="str">
        <f>IF(OR(UPPER(TRIM(Raw_Data!D244))="M",UPPER(TRIM(Raw_Data!D244))="MALE"),"Male","Female")</f>
        <v>Male</v>
      </c>
      <c r="F253" s="23" t="str">
        <f>PROPER(TRIM(Raw_Data!E244))</f>
        <v>Uluberia</v>
      </c>
      <c r="G253" s="23" t="str">
        <f>PROPER(TRIM(Raw_Data!F244))</f>
        <v>Tamil Nadu</v>
      </c>
      <c r="H253" s="23" t="str">
        <f>PROPER(TRIM(Raw_Data!G244))</f>
        <v>Neet Prep</v>
      </c>
      <c r="I253" s="23" t="str">
        <f>PROPER(TRIM(Raw_Data!H244))</f>
        <v>Hyderabad Hub</v>
      </c>
      <c r="J253" s="24">
        <f>IF(LEN(TRIM(Raw_Data!I244))=4,VALUE(TRIM(Raw_Data!I244)),IF(ISNUMBER(IFERROR(VALUE(MID(TRIM(Raw_Data!I244),1,4)),"NA")),VALUE(MID(TRIM(Raw_Data!I244),1,4)),VALUE(RIGHT(TRIM(Raw_Data!I244),4))))</f>
        <v>2021</v>
      </c>
      <c r="K253" s="23" t="str">
        <f>PROPER(TRIM(Raw_Data!J244))</f>
        <v>Government Employee</v>
      </c>
      <c r="L253" s="23" t="str">
        <f t="shared" si="9"/>
        <v>20+</v>
      </c>
      <c r="M253" s="23" t="str">
        <f t="shared" si="10"/>
        <v>Adult Learners</v>
      </c>
      <c r="N253" s="23" t="str">
        <f>IF(ISNUMBER(SEARCH("NON",UPPER(Raw_Data!M244))),"Non-Premium Learner","Premium Learner")</f>
        <v>Premium Learner</v>
      </c>
      <c r="O253" s="23" t="str">
        <f>PROPER(TRIM(Raw_Data!N244))</f>
        <v>Web Only</v>
      </c>
      <c r="P253" s="24">
        <f>IF(Raw_Data!O244="",$C$7,Raw_Data!O244)</f>
        <v>21525.55</v>
      </c>
      <c r="Q253" s="23" t="str">
        <f>IF(Raw_Data!O244="","Missing-Imputed","Original")</f>
        <v>Original</v>
      </c>
      <c r="R253" s="24">
        <f>Raw_Data!P244</f>
        <v>47.1</v>
      </c>
      <c r="S253" s="24">
        <f>Raw_Data!Q244</f>
        <v>29181.919999999998</v>
      </c>
      <c r="T253" s="23" t="str">
        <f>IF(Raw_Data!R244="","Unknown",IF(ISNUMBER(SEARCH("ACT",UPPER(Raw_Data!R244))),"Active",IF(ISNUMBER(SEARCH("CLOS",UPPER(Raw_Data!R244))),"Closed","None")))</f>
        <v>Closed</v>
      </c>
      <c r="U253" s="24">
        <f>IF(Raw_Data!S244="",$C$8,VALUE(Raw_Data!S244))</f>
        <v>347</v>
      </c>
      <c r="V253" s="23" t="str">
        <f>IF(Raw_Data!S244="","Missing-Imputed","Original")</f>
        <v>Original</v>
      </c>
      <c r="W253" s="24">
        <f>Raw_Data!T244</f>
        <v>142</v>
      </c>
      <c r="X253" s="23" t="str">
        <f>IF(ISNUMBER(SEARCH("Y",UPPER(TRIM(Raw_Data!U244)))),"Yes","No")</f>
        <v>No</v>
      </c>
      <c r="Y253" s="23" t="str">
        <f>IF(ISNUMBER(SEARCH("Y",UPPER(TRIM(Raw_Data!V244)))),"Yes","No")</f>
        <v>Yes</v>
      </c>
      <c r="Z253" s="24">
        <f>Raw_Data!W244</f>
        <v>4</v>
      </c>
      <c r="AA253" s="24">
        <f>Raw_Data!X244</f>
        <v>7.3</v>
      </c>
      <c r="AB253" s="23" t="str">
        <f>IF(COUNTIFS(Raw_Data!$A$2:$A$616,Raw_Data!A244)&gt;1,"Duplicate","Unique")</f>
        <v>Unique</v>
      </c>
      <c r="AC253" s="23" t="str">
        <f t="shared" si="11"/>
        <v>Clean</v>
      </c>
    </row>
    <row r="254" spans="1:29" ht="15" customHeight="1">
      <c r="A254" s="25" t="str">
        <f>Raw_Data!A245</f>
        <v>BYJ1244</v>
      </c>
      <c r="B254" s="25" t="str">
        <f>Raw_Data!B245</f>
        <v>Ekta Chad</v>
      </c>
      <c r="C254" s="26">
        <f>IF(OR(Raw_Data!C245="",Raw_Data!C245&lt;$C$5,Raw_Data!C245&gt;$C$6),$C$4,Raw_Data!C245)</f>
        <v>12</v>
      </c>
      <c r="D254" s="25" t="str">
        <f>IF(Raw_Data!C245="","Missing-Imputed",IF(OR(Raw_Data!C245&lt;$C$5,Raw_Data!C245&gt;$C$6),"Outlier-Imputed","Original"))</f>
        <v>Original</v>
      </c>
      <c r="E254" s="25" t="str">
        <f>IF(OR(UPPER(TRIM(Raw_Data!D245))="M",UPPER(TRIM(Raw_Data!D245))="MALE"),"Male","Female")</f>
        <v>Male</v>
      </c>
      <c r="F254" s="25" t="str">
        <f>PROPER(TRIM(Raw_Data!E245))</f>
        <v>Bhatpara</v>
      </c>
      <c r="G254" s="25" t="str">
        <f>PROPER(TRIM(Raw_Data!F245))</f>
        <v>Karnataka</v>
      </c>
      <c r="H254" s="25" t="str">
        <f>PROPER(TRIM(Raw_Data!G245))</f>
        <v>Science</v>
      </c>
      <c r="I254" s="25" t="str">
        <f>PROPER(TRIM(Raw_Data!H245))</f>
        <v>Bengaluru South</v>
      </c>
      <c r="J254" s="26">
        <f>IF(LEN(TRIM(Raw_Data!I245))=4,VALUE(TRIM(Raw_Data!I245)),IF(ISNUMBER(IFERROR(VALUE(MID(TRIM(Raw_Data!I245),1,4)),"NA")),VALUE(MID(TRIM(Raw_Data!I245),1,4)),VALUE(RIGHT(TRIM(Raw_Data!I245),4))))</f>
        <v>2019</v>
      </c>
      <c r="K254" s="25" t="str">
        <f>PROPER(TRIM(Raw_Data!J245))</f>
        <v>Retired</v>
      </c>
      <c r="L254" s="25" t="str">
        <f t="shared" si="9"/>
        <v>10-13</v>
      </c>
      <c r="M254" s="25" t="str">
        <f t="shared" si="10"/>
        <v>Kids</v>
      </c>
      <c r="N254" s="25" t="str">
        <f>IF(ISNUMBER(SEARCH("NON",UPPER(Raw_Data!M245))),"Non-Premium Learner","Premium Learner")</f>
        <v>Non-Premium Learner</v>
      </c>
      <c r="O254" s="25" t="str">
        <f>PROPER(TRIM(Raw_Data!N245))</f>
        <v>Both App &amp; Web</v>
      </c>
      <c r="P254" s="26">
        <f>IF(Raw_Data!O245="",$C$7,Raw_Data!O245)</f>
        <v>131221.44</v>
      </c>
      <c r="Q254" s="25" t="str">
        <f>IF(Raw_Data!O245="","Missing-Imputed","Original")</f>
        <v>Original</v>
      </c>
      <c r="R254" s="26">
        <f>Raw_Data!P245</f>
        <v>32.299999999999997</v>
      </c>
      <c r="S254" s="26">
        <f>Raw_Data!Q245</f>
        <v>49149.65</v>
      </c>
      <c r="T254" s="25" t="str">
        <f>IF(Raw_Data!R245="","Unknown",IF(ISNUMBER(SEARCH("ACT",UPPER(Raw_Data!R245))),"Active",IF(ISNUMBER(SEARCH("CLOS",UPPER(Raw_Data!R245))),"Closed","None")))</f>
        <v>Active</v>
      </c>
      <c r="U254" s="26">
        <f>IF(Raw_Data!S245="",$C$8,VALUE(Raw_Data!S245))</f>
        <v>749</v>
      </c>
      <c r="V254" s="25" t="str">
        <f>IF(Raw_Data!S245="","Missing-Imputed","Original")</f>
        <v>Original</v>
      </c>
      <c r="W254" s="26">
        <f>Raw_Data!T245</f>
        <v>196</v>
      </c>
      <c r="X254" s="25" t="str">
        <f>IF(ISNUMBER(SEARCH("Y",UPPER(TRIM(Raw_Data!U245)))),"Yes","No")</f>
        <v>Yes</v>
      </c>
      <c r="Y254" s="25" t="str">
        <f>IF(ISNUMBER(SEARCH("Y",UPPER(TRIM(Raw_Data!V245)))),"Yes","No")</f>
        <v>No</v>
      </c>
      <c r="Z254" s="26">
        <f>Raw_Data!W245</f>
        <v>3</v>
      </c>
      <c r="AA254" s="26">
        <f>Raw_Data!X245</f>
        <v>4.8</v>
      </c>
      <c r="AB254" s="25" t="str">
        <f>IF(COUNTIFS(Raw_Data!$A$2:$A$616,Raw_Data!A245)&gt;1,"Duplicate","Unique")</f>
        <v>Unique</v>
      </c>
      <c r="AC254" s="25" t="str">
        <f t="shared" si="11"/>
        <v>Clean</v>
      </c>
    </row>
    <row r="255" spans="1:29" ht="15" customHeight="1">
      <c r="A255" s="23" t="str">
        <f>Raw_Data!A246</f>
        <v>BYJ1245</v>
      </c>
      <c r="B255" s="23" t="str">
        <f>Raw_Data!B246</f>
        <v>Chandran Bumb</v>
      </c>
      <c r="C255" s="24">
        <f>IF(OR(Raw_Data!C246="",Raw_Data!C246&lt;$C$5,Raw_Data!C246&gt;$C$6),$C$4,Raw_Data!C246)</f>
        <v>32</v>
      </c>
      <c r="D255" s="23" t="str">
        <f>IF(Raw_Data!C246="","Missing-Imputed",IF(OR(Raw_Data!C246&lt;$C$5,Raw_Data!C246&gt;$C$6),"Outlier-Imputed","Original"))</f>
        <v>Original</v>
      </c>
      <c r="E255" s="23" t="str">
        <f>IF(OR(UPPER(TRIM(Raw_Data!D246))="M",UPPER(TRIM(Raw_Data!D246))="MALE"),"Male","Female")</f>
        <v>Female</v>
      </c>
      <c r="F255" s="23" t="str">
        <f>PROPER(TRIM(Raw_Data!E246))</f>
        <v>Mango</v>
      </c>
      <c r="G255" s="23" t="str">
        <f>PROPER(TRIM(Raw_Data!F246))</f>
        <v>Uttar Pradesh</v>
      </c>
      <c r="H255" s="23" t="str">
        <f>PROPER(TRIM(Raw_Data!G246))</f>
        <v>Robotics</v>
      </c>
      <c r="I255" s="23" t="str">
        <f>PROPER(TRIM(Raw_Data!H246))</f>
        <v>Delhi North</v>
      </c>
      <c r="J255" s="24">
        <f>IF(LEN(TRIM(Raw_Data!I246))=4,VALUE(TRIM(Raw_Data!I246)),IF(ISNUMBER(IFERROR(VALUE(MID(TRIM(Raw_Data!I246),1,4)),"NA")),VALUE(MID(TRIM(Raw_Data!I246),1,4)),VALUE(RIGHT(TRIM(Raw_Data!I246),4))))</f>
        <v>2018</v>
      </c>
      <c r="K255" s="23" t="str">
        <f>PROPER(TRIM(Raw_Data!J246))</f>
        <v>Self-Employed</v>
      </c>
      <c r="L255" s="23" t="str">
        <f t="shared" si="9"/>
        <v>20+</v>
      </c>
      <c r="M255" s="23" t="str">
        <f t="shared" si="10"/>
        <v>Adult Learners</v>
      </c>
      <c r="N255" s="23" t="str">
        <f>IF(ISNUMBER(SEARCH("NON",UPPER(Raw_Data!M246))),"Non-Premium Learner","Premium Learner")</f>
        <v>Non-Premium Learner</v>
      </c>
      <c r="O255" s="23" t="str">
        <f>PROPER(TRIM(Raw_Data!N246))</f>
        <v>Both App &amp; Web</v>
      </c>
      <c r="P255" s="24">
        <f>IF(Raw_Data!O246="",$C$7,Raw_Data!O246)</f>
        <v>57457.279999999999</v>
      </c>
      <c r="Q255" s="23" t="str">
        <f>IF(Raw_Data!O246="","Missing-Imputed","Original")</f>
        <v>Original</v>
      </c>
      <c r="R255" s="24">
        <f>Raw_Data!P246</f>
        <v>15.9</v>
      </c>
      <c r="S255" s="24">
        <f>Raw_Data!Q246</f>
        <v>596.91999999999996</v>
      </c>
      <c r="T255" s="23" t="str">
        <f>IF(Raw_Data!R246="","Unknown",IF(ISNUMBER(SEARCH("ACT",UPPER(Raw_Data!R246))),"Active",IF(ISNUMBER(SEARCH("CLOS",UPPER(Raw_Data!R246))),"Closed","None")))</f>
        <v>None</v>
      </c>
      <c r="U255" s="24">
        <f>IF(Raw_Data!S246="",$C$8,VALUE(Raw_Data!S246))</f>
        <v>386</v>
      </c>
      <c r="V255" s="23" t="str">
        <f>IF(Raw_Data!S246="","Missing-Imputed","Original")</f>
        <v>Original</v>
      </c>
      <c r="W255" s="24">
        <f>Raw_Data!T246</f>
        <v>102</v>
      </c>
      <c r="X255" s="23" t="str">
        <f>IF(ISNUMBER(SEARCH("Y",UPPER(TRIM(Raw_Data!U246)))),"Yes","No")</f>
        <v>Yes</v>
      </c>
      <c r="Y255" s="23" t="str">
        <f>IF(ISNUMBER(SEARCH("Y",UPPER(TRIM(Raw_Data!V246)))),"Yes","No")</f>
        <v>Yes</v>
      </c>
      <c r="Z255" s="24">
        <f>Raw_Data!W246</f>
        <v>1</v>
      </c>
      <c r="AA255" s="24">
        <f>Raw_Data!X246</f>
        <v>6.1</v>
      </c>
      <c r="AB255" s="23" t="str">
        <f>IF(COUNTIFS(Raw_Data!$A$2:$A$616,Raw_Data!A246)&gt;1,"Duplicate","Unique")</f>
        <v>Unique</v>
      </c>
      <c r="AC255" s="23" t="str">
        <f t="shared" si="11"/>
        <v>Clean</v>
      </c>
    </row>
    <row r="256" spans="1:29" ht="15" customHeight="1">
      <c r="A256" s="25" t="str">
        <f>Raw_Data!A247</f>
        <v>BYJ1246</v>
      </c>
      <c r="B256" s="25" t="str">
        <f>Raw_Data!B247</f>
        <v>Vedika Sathe</v>
      </c>
      <c r="C256" s="26">
        <f>IF(OR(Raw_Data!C247="",Raw_Data!C247&lt;$C$5,Raw_Data!C247&gt;$C$6),$C$4,Raw_Data!C247)</f>
        <v>9</v>
      </c>
      <c r="D256" s="25" t="str">
        <f>IF(Raw_Data!C247="","Missing-Imputed",IF(OR(Raw_Data!C247&lt;$C$5,Raw_Data!C247&gt;$C$6),"Outlier-Imputed","Original"))</f>
        <v>Original</v>
      </c>
      <c r="E256" s="25" t="str">
        <f>IF(OR(UPPER(TRIM(Raw_Data!D247))="M",UPPER(TRIM(Raw_Data!D247))="MALE"),"Male","Female")</f>
        <v>Female</v>
      </c>
      <c r="F256" s="25" t="str">
        <f>PROPER(TRIM(Raw_Data!E247))</f>
        <v>Darbhanga</v>
      </c>
      <c r="G256" s="25" t="str">
        <f>PROPER(TRIM(Raw_Data!F247))</f>
        <v>Uttar Pradesh</v>
      </c>
      <c r="H256" s="25" t="str">
        <f>PROPER(TRIM(Raw_Data!G247))</f>
        <v>Jee Prep</v>
      </c>
      <c r="I256" s="25" t="str">
        <f>PROPER(TRIM(Raw_Data!H247))</f>
        <v>Pune East</v>
      </c>
      <c r="J256" s="26">
        <f>IF(LEN(TRIM(Raw_Data!I247))=4,VALUE(TRIM(Raw_Data!I247)),IF(ISNUMBER(IFERROR(VALUE(MID(TRIM(Raw_Data!I247),1,4)),"NA")),VALUE(MID(TRIM(Raw_Data!I247),1,4)),VALUE(RIGHT(TRIM(Raw_Data!I247),4))))</f>
        <v>2021</v>
      </c>
      <c r="K256" s="25" t="str">
        <f>PROPER(TRIM(Raw_Data!J247))</f>
        <v>Government Employee</v>
      </c>
      <c r="L256" s="25" t="str">
        <f t="shared" si="9"/>
        <v>Under 10</v>
      </c>
      <c r="M256" s="25" t="str">
        <f t="shared" si="10"/>
        <v>Kids</v>
      </c>
      <c r="N256" s="25" t="str">
        <f>IF(ISNUMBER(SEARCH("NON",UPPER(Raw_Data!M247))),"Non-Premium Learner","Premium Learner")</f>
        <v>Non-Premium Learner</v>
      </c>
      <c r="O256" s="25" t="str">
        <f>PROPER(TRIM(Raw_Data!N247))</f>
        <v>Web Only</v>
      </c>
      <c r="P256" s="26">
        <f>IF(Raw_Data!O247="",$C$7,Raw_Data!O247)</f>
        <v>69697.41</v>
      </c>
      <c r="Q256" s="25" t="str">
        <f>IF(Raw_Data!O247="","Missing-Imputed","Original")</f>
        <v>Original</v>
      </c>
      <c r="R256" s="26">
        <f>Raw_Data!P247</f>
        <v>45.8</v>
      </c>
      <c r="S256" s="26">
        <f>Raw_Data!Q247</f>
        <v>47300.49</v>
      </c>
      <c r="T256" s="25" t="str">
        <f>IF(Raw_Data!R247="","Unknown",IF(ISNUMBER(SEARCH("ACT",UPPER(Raw_Data!R247))),"Active",IF(ISNUMBER(SEARCH("CLOS",UPPER(Raw_Data!R247))),"Closed","None")))</f>
        <v>None</v>
      </c>
      <c r="U256" s="26">
        <f>IF(Raw_Data!S247="",$C$8,VALUE(Raw_Data!S247))</f>
        <v>653</v>
      </c>
      <c r="V256" s="25" t="str">
        <f>IF(Raw_Data!S247="","Missing-Imputed","Original")</f>
        <v>Original</v>
      </c>
      <c r="W256" s="26">
        <f>Raw_Data!T247</f>
        <v>200</v>
      </c>
      <c r="X256" s="25" t="str">
        <f>IF(ISNUMBER(SEARCH("Y",UPPER(TRIM(Raw_Data!U247)))),"Yes","No")</f>
        <v>No</v>
      </c>
      <c r="Y256" s="25" t="str">
        <f>IF(ISNUMBER(SEARCH("Y",UPPER(TRIM(Raw_Data!V247)))),"Yes","No")</f>
        <v>No</v>
      </c>
      <c r="Z256" s="26">
        <f>Raw_Data!W247</f>
        <v>1</v>
      </c>
      <c r="AA256" s="26">
        <f>Raw_Data!X247</f>
        <v>5.0999999999999996</v>
      </c>
      <c r="AB256" s="25" t="str">
        <f>IF(COUNTIFS(Raw_Data!$A$2:$A$616,Raw_Data!A247)&gt;1,"Duplicate","Unique")</f>
        <v>Unique</v>
      </c>
      <c r="AC256" s="25" t="str">
        <f t="shared" si="11"/>
        <v>Clean</v>
      </c>
    </row>
    <row r="257" spans="1:29" ht="15" customHeight="1">
      <c r="A257" s="23" t="str">
        <f>Raw_Data!A248</f>
        <v>BYJ1247</v>
      </c>
      <c r="B257" s="23" t="str">
        <f>Raw_Data!B248</f>
        <v>Yauvani Comar</v>
      </c>
      <c r="C257" s="24">
        <f>IF(OR(Raw_Data!C248="",Raw_Data!C248&lt;$C$5,Raw_Data!C248&gt;$C$6),$C$4,Raw_Data!C248)</f>
        <v>14</v>
      </c>
      <c r="D257" s="23" t="str">
        <f>IF(Raw_Data!C248="","Missing-Imputed",IF(OR(Raw_Data!C248&lt;$C$5,Raw_Data!C248&gt;$C$6),"Outlier-Imputed","Original"))</f>
        <v>Original</v>
      </c>
      <c r="E257" s="23" t="str">
        <f>IF(OR(UPPER(TRIM(Raw_Data!D248))="M",UPPER(TRIM(Raw_Data!D248))="MALE"),"Male","Female")</f>
        <v>Female</v>
      </c>
      <c r="F257" s="23" t="str">
        <f>PROPER(TRIM(Raw_Data!E248))</f>
        <v>Chinsurah</v>
      </c>
      <c r="G257" s="23" t="str">
        <f>PROPER(TRIM(Raw_Data!F248))</f>
        <v>Uttar Pradesh</v>
      </c>
      <c r="H257" s="23" t="str">
        <f>PROPER(TRIM(Raw_Data!G248))</f>
        <v>Jee Prep</v>
      </c>
      <c r="I257" s="23" t="str">
        <f>PROPER(TRIM(Raw_Data!H248))</f>
        <v>Jaipur Center</v>
      </c>
      <c r="J257" s="24">
        <f>IF(LEN(TRIM(Raw_Data!I248))=4,VALUE(TRIM(Raw_Data!I248)),IF(ISNUMBER(IFERROR(VALUE(MID(TRIM(Raw_Data!I248),1,4)),"NA")),VALUE(MID(TRIM(Raw_Data!I248),1,4)),VALUE(RIGHT(TRIM(Raw_Data!I248),4))))</f>
        <v>2021</v>
      </c>
      <c r="K257" s="23" t="str">
        <f>PROPER(TRIM(Raw_Data!J248))</f>
        <v>Salaried</v>
      </c>
      <c r="L257" s="23" t="str">
        <f t="shared" si="9"/>
        <v>14-16</v>
      </c>
      <c r="M257" s="23" t="str">
        <f t="shared" si="10"/>
        <v>Teens</v>
      </c>
      <c r="N257" s="23" t="str">
        <f>IF(ISNUMBER(SEARCH("NON",UPPER(Raw_Data!M248))),"Non-Premium Learner","Premium Learner")</f>
        <v>Non-Premium Learner</v>
      </c>
      <c r="O257" s="23" t="str">
        <f>PROPER(TRIM(Raw_Data!N248))</f>
        <v>Web Only</v>
      </c>
      <c r="P257" s="24">
        <f>IF(Raw_Data!O248="",$C$7,Raw_Data!O248)</f>
        <v>39994.269999999997</v>
      </c>
      <c r="Q257" s="23" t="str">
        <f>IF(Raw_Data!O248="","Missing-Imputed","Original")</f>
        <v>Original</v>
      </c>
      <c r="R257" s="24">
        <f>Raw_Data!P248</f>
        <v>59.5</v>
      </c>
      <c r="S257" s="24">
        <f>Raw_Data!Q248</f>
        <v>59217.279999999999</v>
      </c>
      <c r="T257" s="23" t="str">
        <f>IF(Raw_Data!R248="","Unknown",IF(ISNUMBER(SEARCH("ACT",UPPER(Raw_Data!R248))),"Active",IF(ISNUMBER(SEARCH("CLOS",UPPER(Raw_Data!R248))),"Closed","None")))</f>
        <v>Active</v>
      </c>
      <c r="U257" s="24">
        <f>IF(Raw_Data!S248="",$C$8,VALUE(Raw_Data!S248))</f>
        <v>681</v>
      </c>
      <c r="V257" s="23" t="str">
        <f>IF(Raw_Data!S248="","Missing-Imputed","Original")</f>
        <v>Original</v>
      </c>
      <c r="W257" s="24">
        <f>Raw_Data!T248</f>
        <v>129</v>
      </c>
      <c r="X257" s="23" t="str">
        <f>IF(ISNUMBER(SEARCH("Y",UPPER(TRIM(Raw_Data!U248)))),"Yes","No")</f>
        <v>No</v>
      </c>
      <c r="Y257" s="23" t="str">
        <f>IF(ISNUMBER(SEARCH("Y",UPPER(TRIM(Raw_Data!V248)))),"Yes","No")</f>
        <v>Yes</v>
      </c>
      <c r="Z257" s="24">
        <f>Raw_Data!W248</f>
        <v>4</v>
      </c>
      <c r="AA257" s="24">
        <f>Raw_Data!X248</f>
        <v>3</v>
      </c>
      <c r="AB257" s="23" t="str">
        <f>IF(COUNTIFS(Raw_Data!$A$2:$A$616,Raw_Data!A248)&gt;1,"Duplicate","Unique")</f>
        <v>Unique</v>
      </c>
      <c r="AC257" s="23" t="str">
        <f t="shared" si="11"/>
        <v>Clean</v>
      </c>
    </row>
    <row r="258" spans="1:29" ht="15" customHeight="1">
      <c r="A258" s="25" t="str">
        <f>Raw_Data!A249</f>
        <v>BYJ1248</v>
      </c>
      <c r="B258" s="25" t="str">
        <f>Raw_Data!B249</f>
        <v>Bhanumati Sur</v>
      </c>
      <c r="C258" s="26">
        <f>IF(OR(Raw_Data!C249="",Raw_Data!C249&lt;$C$5,Raw_Data!C249&gt;$C$6),$C$4,Raw_Data!C249)</f>
        <v>21</v>
      </c>
      <c r="D258" s="25" t="str">
        <f>IF(Raw_Data!C249="","Missing-Imputed",IF(OR(Raw_Data!C249&lt;$C$5,Raw_Data!C249&gt;$C$6),"Outlier-Imputed","Original"))</f>
        <v>Original</v>
      </c>
      <c r="E258" s="25" t="str">
        <f>IF(OR(UPPER(TRIM(Raw_Data!D249))="M",UPPER(TRIM(Raw_Data!D249))="MALE"),"Male","Female")</f>
        <v>Male</v>
      </c>
      <c r="F258" s="25" t="str">
        <f>PROPER(TRIM(Raw_Data!E249))</f>
        <v>Ranchi</v>
      </c>
      <c r="G258" s="25" t="str">
        <f>PROPER(TRIM(Raw_Data!F249))</f>
        <v>Kerala</v>
      </c>
      <c r="H258" s="25" t="str">
        <f>PROPER(TRIM(Raw_Data!G249))</f>
        <v>Science</v>
      </c>
      <c r="I258" s="25" t="str">
        <f>PROPER(TRIM(Raw_Data!H249))</f>
        <v>Kolkata Main</v>
      </c>
      <c r="J258" s="26">
        <f>IF(LEN(TRIM(Raw_Data!I249))=4,VALUE(TRIM(Raw_Data!I249)),IF(ISNUMBER(IFERROR(VALUE(MID(TRIM(Raw_Data!I249),1,4)),"NA")),VALUE(MID(TRIM(Raw_Data!I249),1,4)),VALUE(RIGHT(TRIM(Raw_Data!I249),4))))</f>
        <v>2024</v>
      </c>
      <c r="K258" s="25" t="str">
        <f>PROPER(TRIM(Raw_Data!J249))</f>
        <v>Homemaker</v>
      </c>
      <c r="L258" s="25" t="str">
        <f t="shared" si="9"/>
        <v>20+</v>
      </c>
      <c r="M258" s="25" t="str">
        <f t="shared" si="10"/>
        <v>Adult Learners</v>
      </c>
      <c r="N258" s="25" t="str">
        <f>IF(ISNUMBER(SEARCH("NON",UPPER(Raw_Data!M249))),"Non-Premium Learner","Premium Learner")</f>
        <v>Non-Premium Learner</v>
      </c>
      <c r="O258" s="25" t="str">
        <f>PROPER(TRIM(Raw_Data!N249))</f>
        <v>Web Only</v>
      </c>
      <c r="P258" s="26">
        <f>IF(Raw_Data!O249="",$C$7,Raw_Data!O249)</f>
        <v>70874.89</v>
      </c>
      <c r="Q258" s="25" t="str">
        <f>IF(Raw_Data!O249="","Missing-Imputed","Original")</f>
        <v>Original</v>
      </c>
      <c r="R258" s="26">
        <f>Raw_Data!P249</f>
        <v>36.9</v>
      </c>
      <c r="S258" s="26">
        <f>Raw_Data!Q249</f>
        <v>24723.18</v>
      </c>
      <c r="T258" s="25" t="str">
        <f>IF(Raw_Data!R249="","Unknown",IF(ISNUMBER(SEARCH("ACT",UPPER(Raw_Data!R249))),"Active",IF(ISNUMBER(SEARCH("CLOS",UPPER(Raw_Data!R249))),"Closed","None")))</f>
        <v>Active</v>
      </c>
      <c r="U258" s="26">
        <f>IF(Raw_Data!S249="",$C$8,VALUE(Raw_Data!S249))</f>
        <v>735</v>
      </c>
      <c r="V258" s="25" t="str">
        <f>IF(Raw_Data!S249="","Missing-Imputed","Original")</f>
        <v>Original</v>
      </c>
      <c r="W258" s="26">
        <f>Raw_Data!T249</f>
        <v>121</v>
      </c>
      <c r="X258" s="25" t="str">
        <f>IF(ISNUMBER(SEARCH("Y",UPPER(TRIM(Raw_Data!U249)))),"Yes","No")</f>
        <v>Yes</v>
      </c>
      <c r="Y258" s="25" t="str">
        <f>IF(ISNUMBER(SEARCH("Y",UPPER(TRIM(Raw_Data!V249)))),"Yes","No")</f>
        <v>Yes</v>
      </c>
      <c r="Z258" s="26">
        <f>Raw_Data!W249</f>
        <v>5</v>
      </c>
      <c r="AA258" s="26">
        <f>Raw_Data!X249</f>
        <v>3.9</v>
      </c>
      <c r="AB258" s="25" t="str">
        <f>IF(COUNTIFS(Raw_Data!$A$2:$A$616,Raw_Data!A249)&gt;1,"Duplicate","Unique")</f>
        <v>Unique</v>
      </c>
      <c r="AC258" s="25" t="str">
        <f t="shared" si="11"/>
        <v>Clean</v>
      </c>
    </row>
    <row r="259" spans="1:29" ht="15" customHeight="1">
      <c r="A259" s="23" t="str">
        <f>Raw_Data!A250</f>
        <v>BYJ1249</v>
      </c>
      <c r="B259" s="23" t="str">
        <f>Raw_Data!B250</f>
        <v>Megha Bhakta</v>
      </c>
      <c r="C259" s="24">
        <f>IF(OR(Raw_Data!C250="",Raw_Data!C250&lt;$C$5,Raw_Data!C250&gt;$C$6),$C$4,Raw_Data!C250)</f>
        <v>22</v>
      </c>
      <c r="D259" s="23" t="str">
        <f>IF(Raw_Data!C250="","Missing-Imputed",IF(OR(Raw_Data!C250&lt;$C$5,Raw_Data!C250&gt;$C$6),"Outlier-Imputed","Original"))</f>
        <v>Original</v>
      </c>
      <c r="E259" s="23" t="str">
        <f>IF(OR(UPPER(TRIM(Raw_Data!D250))="M",UPPER(TRIM(Raw_Data!D250))="MALE"),"Male","Female")</f>
        <v>Female</v>
      </c>
      <c r="F259" s="23" t="str">
        <f>PROPER(TRIM(Raw_Data!E250))</f>
        <v>Kurnool</v>
      </c>
      <c r="G259" s="23" t="str">
        <f>PROPER(TRIM(Raw_Data!F250))</f>
        <v>Rajasthan</v>
      </c>
      <c r="H259" s="23" t="str">
        <f>PROPER(TRIM(Raw_Data!G250))</f>
        <v>Robotics</v>
      </c>
      <c r="I259" s="23" t="str">
        <f>PROPER(TRIM(Raw_Data!H250))</f>
        <v>Mumbai West</v>
      </c>
      <c r="J259" s="24">
        <f>IF(LEN(TRIM(Raw_Data!I250))=4,VALUE(TRIM(Raw_Data!I250)),IF(ISNUMBER(IFERROR(VALUE(MID(TRIM(Raw_Data!I250),1,4)),"NA")),VALUE(MID(TRIM(Raw_Data!I250),1,4)),VALUE(RIGHT(TRIM(Raw_Data!I250),4))))</f>
        <v>2018</v>
      </c>
      <c r="K259" s="23" t="str">
        <f>PROPER(TRIM(Raw_Data!J250))</f>
        <v>Retired</v>
      </c>
      <c r="L259" s="23" t="str">
        <f t="shared" si="9"/>
        <v>20+</v>
      </c>
      <c r="M259" s="23" t="str">
        <f t="shared" si="10"/>
        <v>Adult Learners</v>
      </c>
      <c r="N259" s="23" t="str">
        <f>IF(ISNUMBER(SEARCH("NON",UPPER(Raw_Data!M250))),"Non-Premium Learner","Premium Learner")</f>
        <v>Non-Premium Learner</v>
      </c>
      <c r="O259" s="23" t="str">
        <f>PROPER(TRIM(Raw_Data!N250))</f>
        <v>Both App &amp; Web</v>
      </c>
      <c r="P259" s="24">
        <f>IF(Raw_Data!O250="",$C$7,Raw_Data!O250)</f>
        <v>130174.39</v>
      </c>
      <c r="Q259" s="23" t="str">
        <f>IF(Raw_Data!O250="","Missing-Imputed","Original")</f>
        <v>Original</v>
      </c>
      <c r="R259" s="24">
        <f>Raw_Data!P250</f>
        <v>20.9</v>
      </c>
      <c r="S259" s="24">
        <f>Raw_Data!Q250</f>
        <v>28401.33</v>
      </c>
      <c r="T259" s="23" t="str">
        <f>IF(Raw_Data!R250="","Unknown",IF(ISNUMBER(SEARCH("ACT",UPPER(Raw_Data!R250))),"Active",IF(ISNUMBER(SEARCH("CLOS",UPPER(Raw_Data!R250))),"Closed","None")))</f>
        <v>None</v>
      </c>
      <c r="U259" s="24">
        <f>IF(Raw_Data!S250="",$C$8,VALUE(Raw_Data!S250))</f>
        <v>872</v>
      </c>
      <c r="V259" s="23" t="str">
        <f>IF(Raw_Data!S250="","Missing-Imputed","Original")</f>
        <v>Original</v>
      </c>
      <c r="W259" s="24">
        <f>Raw_Data!T250</f>
        <v>30</v>
      </c>
      <c r="X259" s="23" t="str">
        <f>IF(ISNUMBER(SEARCH("Y",UPPER(TRIM(Raw_Data!U250)))),"Yes","No")</f>
        <v>No</v>
      </c>
      <c r="Y259" s="23" t="str">
        <f>IF(ISNUMBER(SEARCH("Y",UPPER(TRIM(Raw_Data!V250)))),"Yes","No")</f>
        <v>Yes</v>
      </c>
      <c r="Z259" s="24">
        <f>Raw_Data!W250</f>
        <v>5</v>
      </c>
      <c r="AA259" s="24">
        <f>Raw_Data!X250</f>
        <v>3</v>
      </c>
      <c r="AB259" s="23" t="str">
        <f>IF(COUNTIFS(Raw_Data!$A$2:$A$616,Raw_Data!A250)&gt;1,"Duplicate","Unique")</f>
        <v>Unique</v>
      </c>
      <c r="AC259" s="23" t="str">
        <f t="shared" si="11"/>
        <v>Clean</v>
      </c>
    </row>
    <row r="260" spans="1:29" ht="15" customHeight="1">
      <c r="A260" s="25" t="str">
        <f>Raw_Data!A251</f>
        <v>BYJ1250</v>
      </c>
      <c r="B260" s="25" t="str">
        <f>Raw_Data!B251</f>
        <v>Siddharth Devan</v>
      </c>
      <c r="C260" s="26">
        <f>IF(OR(Raw_Data!C251="",Raw_Data!C251&lt;$C$5,Raw_Data!C251&gt;$C$6),$C$4,Raw_Data!C251)</f>
        <v>25</v>
      </c>
      <c r="D260" s="25" t="str">
        <f>IF(Raw_Data!C251="","Missing-Imputed",IF(OR(Raw_Data!C251&lt;$C$5,Raw_Data!C251&gt;$C$6),"Outlier-Imputed","Original"))</f>
        <v>Original</v>
      </c>
      <c r="E260" s="25" t="str">
        <f>IF(OR(UPPER(TRIM(Raw_Data!D251))="M",UPPER(TRIM(Raw_Data!D251))="MALE"),"Male","Female")</f>
        <v>Female</v>
      </c>
      <c r="F260" s="25" t="str">
        <f>PROPER(TRIM(Raw_Data!E251))</f>
        <v>Ramagundam</v>
      </c>
      <c r="G260" s="25" t="str">
        <f>PROPER(TRIM(Raw_Data!F251))</f>
        <v>Tamil Nadu</v>
      </c>
      <c r="H260" s="25" t="str">
        <f>PROPER(TRIM(Raw_Data!G251))</f>
        <v>Science</v>
      </c>
      <c r="I260" s="25" t="str">
        <f>PROPER(TRIM(Raw_Data!H251))</f>
        <v>Mumbai West</v>
      </c>
      <c r="J260" s="26">
        <f>IF(LEN(TRIM(Raw_Data!I251))=4,VALUE(TRIM(Raw_Data!I251)),IF(ISNUMBER(IFERROR(VALUE(MID(TRIM(Raw_Data!I251),1,4)),"NA")),VALUE(MID(TRIM(Raw_Data!I251),1,4)),VALUE(RIGHT(TRIM(Raw_Data!I251),4))))</f>
        <v>2025</v>
      </c>
      <c r="K260" s="25" t="str">
        <f>PROPER(TRIM(Raw_Data!J251))</f>
        <v>Homemaker</v>
      </c>
      <c r="L260" s="25" t="str">
        <f t="shared" si="9"/>
        <v>20+</v>
      </c>
      <c r="M260" s="25" t="str">
        <f t="shared" si="10"/>
        <v>Adult Learners</v>
      </c>
      <c r="N260" s="25" t="str">
        <f>IF(ISNUMBER(SEARCH("NON",UPPER(Raw_Data!M251))),"Non-Premium Learner","Premium Learner")</f>
        <v>Premium Learner</v>
      </c>
      <c r="O260" s="25" t="str">
        <f>PROPER(TRIM(Raw_Data!N251))</f>
        <v>Web Only</v>
      </c>
      <c r="P260" s="26">
        <f>IF(Raw_Data!O251="",$C$7,Raw_Data!O251)</f>
        <v>5302.43</v>
      </c>
      <c r="Q260" s="25" t="str">
        <f>IF(Raw_Data!O251="","Missing-Imputed","Original")</f>
        <v>Original</v>
      </c>
      <c r="R260" s="26">
        <f>Raw_Data!P251</f>
        <v>10.1</v>
      </c>
      <c r="S260" s="26">
        <f>Raw_Data!Q251</f>
        <v>2680.95</v>
      </c>
      <c r="T260" s="25" t="str">
        <f>IF(Raw_Data!R251="","Unknown",IF(ISNUMBER(SEARCH("ACT",UPPER(Raw_Data!R251))),"Active",IF(ISNUMBER(SEARCH("CLOS",UPPER(Raw_Data!R251))),"Closed","None")))</f>
        <v>Closed</v>
      </c>
      <c r="U260" s="26">
        <f>IF(Raw_Data!S251="",$C$8,VALUE(Raw_Data!S251))</f>
        <v>617</v>
      </c>
      <c r="V260" s="25" t="str">
        <f>IF(Raw_Data!S251="","Missing-Imputed","Original")</f>
        <v>Original</v>
      </c>
      <c r="W260" s="26">
        <f>Raw_Data!T251</f>
        <v>86</v>
      </c>
      <c r="X260" s="25" t="str">
        <f>IF(ISNUMBER(SEARCH("Y",UPPER(TRIM(Raw_Data!U251)))),"Yes","No")</f>
        <v>No</v>
      </c>
      <c r="Y260" s="25" t="str">
        <f>IF(ISNUMBER(SEARCH("Y",UPPER(TRIM(Raw_Data!V251)))),"Yes","No")</f>
        <v>Yes</v>
      </c>
      <c r="Z260" s="26">
        <f>Raw_Data!W251</f>
        <v>5</v>
      </c>
      <c r="AA260" s="26">
        <f>Raw_Data!X251</f>
        <v>5.9</v>
      </c>
      <c r="AB260" s="25" t="str">
        <f>IF(COUNTIFS(Raw_Data!$A$2:$A$616,Raw_Data!A251)&gt;1,"Duplicate","Unique")</f>
        <v>Unique</v>
      </c>
      <c r="AC260" s="25" t="str">
        <f t="shared" si="11"/>
        <v>Clean</v>
      </c>
    </row>
    <row r="261" spans="1:29" ht="15" customHeight="1">
      <c r="A261" s="23" t="str">
        <f>Raw_Data!A252</f>
        <v>BYJ1251</v>
      </c>
      <c r="B261" s="23" t="str">
        <f>Raw_Data!B252</f>
        <v>Jagdish Amble</v>
      </c>
      <c r="C261" s="24">
        <f>IF(OR(Raw_Data!C252="",Raw_Data!C252&lt;$C$5,Raw_Data!C252&gt;$C$6),$C$4,Raw_Data!C252)</f>
        <v>15</v>
      </c>
      <c r="D261" s="23" t="str">
        <f>IF(Raw_Data!C252="","Missing-Imputed",IF(OR(Raw_Data!C252&lt;$C$5,Raw_Data!C252&gt;$C$6),"Outlier-Imputed","Original"))</f>
        <v>Original</v>
      </c>
      <c r="E261" s="23" t="str">
        <f>IF(OR(UPPER(TRIM(Raw_Data!D252))="M",UPPER(TRIM(Raw_Data!D252))="MALE"),"Male","Female")</f>
        <v>Female</v>
      </c>
      <c r="F261" s="23" t="str">
        <f>PROPER(TRIM(Raw_Data!E252))</f>
        <v>Chinsurah</v>
      </c>
      <c r="G261" s="23" t="str">
        <f>PROPER(TRIM(Raw_Data!F252))</f>
        <v>Kerala</v>
      </c>
      <c r="H261" s="23" t="str">
        <f>PROPER(TRIM(Raw_Data!G252))</f>
        <v>Robotics</v>
      </c>
      <c r="I261" s="23" t="str">
        <f>PROPER(TRIM(Raw_Data!H252))</f>
        <v>Kolkata Main</v>
      </c>
      <c r="J261" s="24">
        <f>IF(LEN(TRIM(Raw_Data!I252))=4,VALUE(TRIM(Raw_Data!I252)),IF(ISNUMBER(IFERROR(VALUE(MID(TRIM(Raw_Data!I252),1,4)),"NA")),VALUE(MID(TRIM(Raw_Data!I252),1,4)),VALUE(RIGHT(TRIM(Raw_Data!I252),4))))</f>
        <v>2019</v>
      </c>
      <c r="K261" s="23" t="str">
        <f>PROPER(TRIM(Raw_Data!J252))</f>
        <v>Retired</v>
      </c>
      <c r="L261" s="23" t="str">
        <f t="shared" si="9"/>
        <v>14-16</v>
      </c>
      <c r="M261" s="23" t="str">
        <f t="shared" si="10"/>
        <v>Teens</v>
      </c>
      <c r="N261" s="23" t="str">
        <f>IF(ISNUMBER(SEARCH("NON",UPPER(Raw_Data!M252))),"Non-Premium Learner","Premium Learner")</f>
        <v>Non-Premium Learner</v>
      </c>
      <c r="O261" s="23" t="str">
        <f>PROPER(TRIM(Raw_Data!N252))</f>
        <v>Both App &amp; Web</v>
      </c>
      <c r="P261" s="24">
        <f>IF(Raw_Data!O252="",$C$7,Raw_Data!O252)</f>
        <v>17836.830000000002</v>
      </c>
      <c r="Q261" s="23" t="str">
        <f>IF(Raw_Data!O252="","Missing-Imputed","Original")</f>
        <v>Original</v>
      </c>
      <c r="R261" s="24">
        <f>Raw_Data!P252</f>
        <v>6.9</v>
      </c>
      <c r="S261" s="24">
        <f>Raw_Data!Q252</f>
        <v>37806.550000000003</v>
      </c>
      <c r="T261" s="23" t="str">
        <f>IF(Raw_Data!R252="","Unknown",IF(ISNUMBER(SEARCH("ACT",UPPER(Raw_Data!R252))),"Active",IF(ISNUMBER(SEARCH("CLOS",UPPER(Raw_Data!R252))),"Closed","None")))</f>
        <v>None</v>
      </c>
      <c r="U261" s="24">
        <f>IF(Raw_Data!S252="",$C$8,VALUE(Raw_Data!S252))</f>
        <v>874</v>
      </c>
      <c r="V261" s="23" t="str">
        <f>IF(Raw_Data!S252="","Missing-Imputed","Original")</f>
        <v>Original</v>
      </c>
      <c r="W261" s="24">
        <f>Raw_Data!T252</f>
        <v>164</v>
      </c>
      <c r="X261" s="23" t="str">
        <f>IF(ISNUMBER(SEARCH("Y",UPPER(TRIM(Raw_Data!U252)))),"Yes","No")</f>
        <v>Yes</v>
      </c>
      <c r="Y261" s="23" t="str">
        <f>IF(ISNUMBER(SEARCH("Y",UPPER(TRIM(Raw_Data!V252)))),"Yes","No")</f>
        <v>Yes</v>
      </c>
      <c r="Z261" s="24">
        <f>Raw_Data!W252</f>
        <v>4</v>
      </c>
      <c r="AA261" s="24">
        <f>Raw_Data!X252</f>
        <v>4.8</v>
      </c>
      <c r="AB261" s="23" t="str">
        <f>IF(COUNTIFS(Raw_Data!$A$2:$A$616,Raw_Data!A252)&gt;1,"Duplicate","Unique")</f>
        <v>Unique</v>
      </c>
      <c r="AC261" s="23" t="str">
        <f t="shared" si="11"/>
        <v>Clean</v>
      </c>
    </row>
    <row r="262" spans="1:29" ht="15" customHeight="1">
      <c r="A262" s="25" t="str">
        <f>Raw_Data!A253</f>
        <v>BYJ1252</v>
      </c>
      <c r="B262" s="25" t="str">
        <f>Raw_Data!B253</f>
        <v xml:space="preserve">  Kai Rai  </v>
      </c>
      <c r="C262" s="26">
        <f>IF(OR(Raw_Data!C253="",Raw_Data!C253&lt;$C$5,Raw_Data!C253&gt;$C$6),$C$4,Raw_Data!C253)</f>
        <v>40</v>
      </c>
      <c r="D262" s="25" t="str">
        <f>IF(Raw_Data!C253="","Missing-Imputed",IF(OR(Raw_Data!C253&lt;$C$5,Raw_Data!C253&gt;$C$6),"Outlier-Imputed","Original"))</f>
        <v>Original</v>
      </c>
      <c r="E262" s="25" t="str">
        <f>IF(OR(UPPER(TRIM(Raw_Data!D253))="M",UPPER(TRIM(Raw_Data!D253))="MALE"),"Male","Female")</f>
        <v>Male</v>
      </c>
      <c r="F262" s="25" t="str">
        <f>PROPER(TRIM(Raw_Data!E253))</f>
        <v>Orai</v>
      </c>
      <c r="G262" s="25" t="str">
        <f>PROPER(TRIM(Raw_Data!F253))</f>
        <v>Delhi</v>
      </c>
      <c r="H262" s="25" t="str">
        <f>PROPER(TRIM(Raw_Data!G253))</f>
        <v>English</v>
      </c>
      <c r="I262" s="25" t="str">
        <f>PROPER(TRIM(Raw_Data!H253))</f>
        <v>Lucknow Hub</v>
      </c>
      <c r="J262" s="26">
        <f>IF(LEN(TRIM(Raw_Data!I253))=4,VALUE(TRIM(Raw_Data!I253)),IF(ISNUMBER(IFERROR(VALUE(MID(TRIM(Raw_Data!I253),1,4)),"NA")),VALUE(MID(TRIM(Raw_Data!I253),1,4)),VALUE(RIGHT(TRIM(Raw_Data!I253),4))))</f>
        <v>2023</v>
      </c>
      <c r="K262" s="25" t="str">
        <f>PROPER(TRIM(Raw_Data!J253))</f>
        <v>Self-Employed</v>
      </c>
      <c r="L262" s="25" t="str">
        <f t="shared" si="9"/>
        <v>20+</v>
      </c>
      <c r="M262" s="25" t="str">
        <f t="shared" si="10"/>
        <v>Adult Learners</v>
      </c>
      <c r="N262" s="25" t="str">
        <f>IF(ISNUMBER(SEARCH("NON",UPPER(Raw_Data!M253))),"Non-Premium Learner","Premium Learner")</f>
        <v>Non-Premium Learner</v>
      </c>
      <c r="O262" s="25" t="str">
        <f>PROPER(TRIM(Raw_Data!N253))</f>
        <v>App Only</v>
      </c>
      <c r="P262" s="26">
        <f>IF(Raw_Data!O253="",$C$7,Raw_Data!O253)</f>
        <v>54293.7</v>
      </c>
      <c r="Q262" s="25" t="str">
        <f>IF(Raw_Data!O253="","Missing-Imputed","Original")</f>
        <v>Original</v>
      </c>
      <c r="R262" s="26">
        <f>Raw_Data!P253</f>
        <v>6.8</v>
      </c>
      <c r="S262" s="26">
        <f>Raw_Data!Q253</f>
        <v>31674.11</v>
      </c>
      <c r="T262" s="25" t="str">
        <f>IF(Raw_Data!R253="","Unknown",IF(ISNUMBER(SEARCH("ACT",UPPER(Raw_Data!R253))),"Active",IF(ISNUMBER(SEARCH("CLOS",UPPER(Raw_Data!R253))),"Closed","None")))</f>
        <v>Closed</v>
      </c>
      <c r="U262" s="26">
        <f>IF(Raw_Data!S253="",$C$8,VALUE(Raw_Data!S253))</f>
        <v>393</v>
      </c>
      <c r="V262" s="25" t="str">
        <f>IF(Raw_Data!S253="","Missing-Imputed","Original")</f>
        <v>Original</v>
      </c>
      <c r="W262" s="26">
        <f>Raw_Data!T253</f>
        <v>25</v>
      </c>
      <c r="X262" s="25" t="str">
        <f>IF(ISNUMBER(SEARCH("Y",UPPER(TRIM(Raw_Data!U253)))),"Yes","No")</f>
        <v>Yes</v>
      </c>
      <c r="Y262" s="25" t="str">
        <f>IF(ISNUMBER(SEARCH("Y",UPPER(TRIM(Raw_Data!V253)))),"Yes","No")</f>
        <v>Yes</v>
      </c>
      <c r="Z262" s="26">
        <f>Raw_Data!W253</f>
        <v>3</v>
      </c>
      <c r="AA262" s="26">
        <f>Raw_Data!X253</f>
        <v>7</v>
      </c>
      <c r="AB262" s="25" t="str">
        <f>IF(COUNTIFS(Raw_Data!$A$2:$A$616,Raw_Data!A253)&gt;1,"Duplicate","Unique")</f>
        <v>Unique</v>
      </c>
      <c r="AC262" s="25" t="str">
        <f t="shared" si="11"/>
        <v>Clean</v>
      </c>
    </row>
    <row r="263" spans="1:29" ht="15" customHeight="1">
      <c r="A263" s="23" t="str">
        <f>Raw_Data!A254</f>
        <v>BYJ1253</v>
      </c>
      <c r="B263" s="23" t="str">
        <f>Raw_Data!B254</f>
        <v>Ekbal Ranganathan</v>
      </c>
      <c r="C263" s="24">
        <f>IF(OR(Raw_Data!C254="",Raw_Data!C254&lt;$C$5,Raw_Data!C254&gt;$C$6),$C$4,Raw_Data!C254)</f>
        <v>16</v>
      </c>
      <c r="D263" s="23" t="str">
        <f>IF(Raw_Data!C254="","Missing-Imputed",IF(OR(Raw_Data!C254&lt;$C$5,Raw_Data!C254&gt;$C$6),"Outlier-Imputed","Original"))</f>
        <v>Original</v>
      </c>
      <c r="E263" s="23" t="str">
        <f>IF(OR(UPPER(TRIM(Raw_Data!D254))="M",UPPER(TRIM(Raw_Data!D254))="MALE"),"Male","Female")</f>
        <v>Male</v>
      </c>
      <c r="F263" s="23" t="str">
        <f>PROPER(TRIM(Raw_Data!E254))</f>
        <v>Junagadh</v>
      </c>
      <c r="G263" s="23" t="str">
        <f>PROPER(TRIM(Raw_Data!F254))</f>
        <v>Maharashtra</v>
      </c>
      <c r="H263" s="23" t="str">
        <f>PROPER(TRIM(Raw_Data!G254))</f>
        <v>Coding</v>
      </c>
      <c r="I263" s="23" t="str">
        <f>PROPER(TRIM(Raw_Data!H254))</f>
        <v>Chennai Central</v>
      </c>
      <c r="J263" s="24">
        <f>IF(LEN(TRIM(Raw_Data!I254))=4,VALUE(TRIM(Raw_Data!I254)),IF(ISNUMBER(IFERROR(VALUE(MID(TRIM(Raw_Data!I254),1,4)),"NA")),VALUE(MID(TRIM(Raw_Data!I254),1,4)),VALUE(RIGHT(TRIM(Raw_Data!I254),4))))</f>
        <v>2020</v>
      </c>
      <c r="K263" s="23" t="str">
        <f>PROPER(TRIM(Raw_Data!J254))</f>
        <v>Business</v>
      </c>
      <c r="L263" s="23" t="str">
        <f t="shared" si="9"/>
        <v>14-16</v>
      </c>
      <c r="M263" s="23" t="str">
        <f t="shared" si="10"/>
        <v>Teens</v>
      </c>
      <c r="N263" s="23" t="str">
        <f>IF(ISNUMBER(SEARCH("NON",UPPER(Raw_Data!M254))),"Non-Premium Learner","Premium Learner")</f>
        <v>Non-Premium Learner</v>
      </c>
      <c r="O263" s="23" t="str">
        <f>PROPER(TRIM(Raw_Data!N254))</f>
        <v>Web Only</v>
      </c>
      <c r="P263" s="24">
        <f>IF(Raw_Data!O254="",$C$7,Raw_Data!O254)</f>
        <v>141528.74</v>
      </c>
      <c r="Q263" s="23" t="str">
        <f>IF(Raw_Data!O254="","Missing-Imputed","Original")</f>
        <v>Original</v>
      </c>
      <c r="R263" s="24">
        <f>Raw_Data!P254</f>
        <v>8.9</v>
      </c>
      <c r="S263" s="24">
        <f>Raw_Data!Q254</f>
        <v>14377.38</v>
      </c>
      <c r="T263" s="23" t="str">
        <f>IF(Raw_Data!R254="","Unknown",IF(ISNUMBER(SEARCH("ACT",UPPER(Raw_Data!R254))),"Active",IF(ISNUMBER(SEARCH("CLOS",UPPER(Raw_Data!R254))),"Closed","None")))</f>
        <v>Unknown</v>
      </c>
      <c r="U263" s="24">
        <f>IF(Raw_Data!S254="",$C$8,VALUE(Raw_Data!S254))</f>
        <v>542</v>
      </c>
      <c r="V263" s="23" t="str">
        <f>IF(Raw_Data!S254="","Missing-Imputed","Original")</f>
        <v>Original</v>
      </c>
      <c r="W263" s="24">
        <f>Raw_Data!T254</f>
        <v>192</v>
      </c>
      <c r="X263" s="23" t="str">
        <f>IF(ISNUMBER(SEARCH("Y",UPPER(TRIM(Raw_Data!U254)))),"Yes","No")</f>
        <v>No</v>
      </c>
      <c r="Y263" s="23" t="str">
        <f>IF(ISNUMBER(SEARCH("Y",UPPER(TRIM(Raw_Data!V254)))),"Yes","No")</f>
        <v>No</v>
      </c>
      <c r="Z263" s="24">
        <f>Raw_Data!W254</f>
        <v>3</v>
      </c>
      <c r="AA263" s="24">
        <f>Raw_Data!X254</f>
        <v>4.5</v>
      </c>
      <c r="AB263" s="23" t="str">
        <f>IF(COUNTIFS(Raw_Data!$A$2:$A$616,Raw_Data!A254)&gt;1,"Duplicate","Unique")</f>
        <v>Unique</v>
      </c>
      <c r="AC263" s="23" t="str">
        <f t="shared" si="11"/>
        <v>Clean</v>
      </c>
    </row>
    <row r="264" spans="1:29" ht="15" customHeight="1">
      <c r="A264" s="25" t="str">
        <f>Raw_Data!A255</f>
        <v>BYJ1254</v>
      </c>
      <c r="B264" s="25" t="str">
        <f>Raw_Data!B255</f>
        <v>Tripti Brahmbhatt</v>
      </c>
      <c r="C264" s="26">
        <f>IF(OR(Raw_Data!C255="",Raw_Data!C255&lt;$C$5,Raw_Data!C255&gt;$C$6),$C$4,Raw_Data!C255)</f>
        <v>32</v>
      </c>
      <c r="D264" s="25" t="str">
        <f>IF(Raw_Data!C255="","Missing-Imputed",IF(OR(Raw_Data!C255&lt;$C$5,Raw_Data!C255&gt;$C$6),"Outlier-Imputed","Original"))</f>
        <v>Original</v>
      </c>
      <c r="E264" s="25" t="str">
        <f>IF(OR(UPPER(TRIM(Raw_Data!D255))="M",UPPER(TRIM(Raw_Data!D255))="MALE"),"Male","Female")</f>
        <v>Male</v>
      </c>
      <c r="F264" s="25" t="str">
        <f>PROPER(TRIM(Raw_Data!E255))</f>
        <v>Ramgarh</v>
      </c>
      <c r="G264" s="25" t="str">
        <f>PROPER(TRIM(Raw_Data!F255))</f>
        <v>Kerala</v>
      </c>
      <c r="H264" s="25" t="str">
        <f>PROPER(TRIM(Raw_Data!G255))</f>
        <v>Mathematics</v>
      </c>
      <c r="I264" s="25" t="str">
        <f>PROPER(TRIM(Raw_Data!H255))</f>
        <v>Delhi North</v>
      </c>
      <c r="J264" s="26">
        <f>IF(LEN(TRIM(Raw_Data!I255))=4,VALUE(TRIM(Raw_Data!I255)),IF(ISNUMBER(IFERROR(VALUE(MID(TRIM(Raw_Data!I255),1,4)),"NA")),VALUE(MID(TRIM(Raw_Data!I255),1,4)),VALUE(RIGHT(TRIM(Raw_Data!I255),4))))</f>
        <v>2024</v>
      </c>
      <c r="K264" s="25" t="str">
        <f>PROPER(TRIM(Raw_Data!J255))</f>
        <v>Homemaker</v>
      </c>
      <c r="L264" s="25" t="str">
        <f t="shared" si="9"/>
        <v>20+</v>
      </c>
      <c r="M264" s="25" t="str">
        <f t="shared" si="10"/>
        <v>Adult Learners</v>
      </c>
      <c r="N264" s="25" t="str">
        <f>IF(ISNUMBER(SEARCH("NON",UPPER(Raw_Data!M255))),"Non-Premium Learner","Premium Learner")</f>
        <v>Non-Premium Learner</v>
      </c>
      <c r="O264" s="25" t="str">
        <f>PROPER(TRIM(Raw_Data!N255))</f>
        <v>Both App &amp; Web</v>
      </c>
      <c r="P264" s="26">
        <f>IF(Raw_Data!O255="",$C$7,Raw_Data!O255)</f>
        <v>77562.69</v>
      </c>
      <c r="Q264" s="25" t="str">
        <f>IF(Raw_Data!O255="","Missing-Imputed","Original")</f>
        <v>Original</v>
      </c>
      <c r="R264" s="26">
        <f>Raw_Data!P255</f>
        <v>15.7</v>
      </c>
      <c r="S264" s="26">
        <f>Raw_Data!Q255</f>
        <v>32426.39</v>
      </c>
      <c r="T264" s="25" t="str">
        <f>IF(Raw_Data!R255="","Unknown",IF(ISNUMBER(SEARCH("ACT",UPPER(Raw_Data!R255))),"Active",IF(ISNUMBER(SEARCH("CLOS",UPPER(Raw_Data!R255))),"Closed","None")))</f>
        <v>Active</v>
      </c>
      <c r="U264" s="26">
        <f>IF(Raw_Data!S255="",$C$8,VALUE(Raw_Data!S255))</f>
        <v>850</v>
      </c>
      <c r="V264" s="25" t="str">
        <f>IF(Raw_Data!S255="","Missing-Imputed","Original")</f>
        <v>Original</v>
      </c>
      <c r="W264" s="26">
        <f>Raw_Data!T255</f>
        <v>142</v>
      </c>
      <c r="X264" s="25" t="str">
        <f>IF(ISNUMBER(SEARCH("Y",UPPER(TRIM(Raw_Data!U255)))),"Yes","No")</f>
        <v>No</v>
      </c>
      <c r="Y264" s="25" t="str">
        <f>IF(ISNUMBER(SEARCH("Y",UPPER(TRIM(Raw_Data!V255)))),"Yes","No")</f>
        <v>Yes</v>
      </c>
      <c r="Z264" s="26">
        <f>Raw_Data!W255</f>
        <v>5</v>
      </c>
      <c r="AA264" s="26">
        <f>Raw_Data!X255</f>
        <v>3</v>
      </c>
      <c r="AB264" s="25" t="str">
        <f>IF(COUNTIFS(Raw_Data!$A$2:$A$616,Raw_Data!A255)&gt;1,"Duplicate","Unique")</f>
        <v>Unique</v>
      </c>
      <c r="AC264" s="25" t="str">
        <f t="shared" si="11"/>
        <v>Clean</v>
      </c>
    </row>
    <row r="265" spans="1:29" ht="15" customHeight="1">
      <c r="A265" s="23" t="str">
        <f>Raw_Data!A256</f>
        <v>BYJ1255</v>
      </c>
      <c r="B265" s="23" t="str">
        <f>Raw_Data!B256</f>
        <v>Nidhi Sahni</v>
      </c>
      <c r="C265" s="24">
        <f>IF(OR(Raw_Data!C256="",Raw_Data!C256&lt;$C$5,Raw_Data!C256&gt;$C$6),$C$4,Raw_Data!C256)</f>
        <v>24</v>
      </c>
      <c r="D265" s="23" t="str">
        <f>IF(Raw_Data!C256="","Missing-Imputed",IF(OR(Raw_Data!C256&lt;$C$5,Raw_Data!C256&gt;$C$6),"Outlier-Imputed","Original"))</f>
        <v>Missing-Imputed</v>
      </c>
      <c r="E265" s="23" t="str">
        <f>IF(OR(UPPER(TRIM(Raw_Data!D256))="M",UPPER(TRIM(Raw_Data!D256))="MALE"),"Male","Female")</f>
        <v>Female</v>
      </c>
      <c r="F265" s="23" t="str">
        <f>PROPER(TRIM(Raw_Data!E256))</f>
        <v>Raipur</v>
      </c>
      <c r="G265" s="23" t="str">
        <f>PROPER(TRIM(Raw_Data!F256))</f>
        <v>West Bengal</v>
      </c>
      <c r="H265" s="23" t="str">
        <f>PROPER(TRIM(Raw_Data!G256))</f>
        <v>Neet Prep</v>
      </c>
      <c r="I265" s="23" t="str">
        <f>PROPER(TRIM(Raw_Data!H256))</f>
        <v>Delhi North</v>
      </c>
      <c r="J265" s="24">
        <f>IF(LEN(TRIM(Raw_Data!I256))=4,VALUE(TRIM(Raw_Data!I256)),IF(ISNUMBER(IFERROR(VALUE(MID(TRIM(Raw_Data!I256),1,4)),"NA")),VALUE(MID(TRIM(Raw_Data!I256),1,4)),VALUE(RIGHT(TRIM(Raw_Data!I256),4))))</f>
        <v>2025</v>
      </c>
      <c r="K265" s="23" t="str">
        <f>PROPER(TRIM(Raw_Data!J256))</f>
        <v>Business</v>
      </c>
      <c r="L265" s="23" t="str">
        <f t="shared" si="9"/>
        <v>20+</v>
      </c>
      <c r="M265" s="23" t="str">
        <f t="shared" si="10"/>
        <v>Adult Learners</v>
      </c>
      <c r="N265" s="23" t="str">
        <f>IF(ISNUMBER(SEARCH("NON",UPPER(Raw_Data!M256))),"Non-Premium Learner","Premium Learner")</f>
        <v>Non-Premium Learner</v>
      </c>
      <c r="O265" s="23" t="str">
        <f>PROPER(TRIM(Raw_Data!N256))</f>
        <v>Web Only</v>
      </c>
      <c r="P265" s="24">
        <f>IF(Raw_Data!O256="",$C$7,Raw_Data!O256)</f>
        <v>18008.689999999999</v>
      </c>
      <c r="Q265" s="23" t="str">
        <f>IF(Raw_Data!O256="","Missing-Imputed","Original")</f>
        <v>Original</v>
      </c>
      <c r="R265" s="24">
        <f>Raw_Data!P256</f>
        <v>67.3</v>
      </c>
      <c r="S265" s="24">
        <f>Raw_Data!Q256</f>
        <v>43504.43</v>
      </c>
      <c r="T265" s="23" t="str">
        <f>IF(Raw_Data!R256="","Unknown",IF(ISNUMBER(SEARCH("ACT",UPPER(Raw_Data!R256))),"Active",IF(ISNUMBER(SEARCH("CLOS",UPPER(Raw_Data!R256))),"Closed","None")))</f>
        <v>Closed</v>
      </c>
      <c r="U265" s="24">
        <f>IF(Raw_Data!S256="",$C$8,VALUE(Raw_Data!S256))</f>
        <v>515</v>
      </c>
      <c r="V265" s="23" t="str">
        <f>IF(Raw_Data!S256="","Missing-Imputed","Original")</f>
        <v>Original</v>
      </c>
      <c r="W265" s="24">
        <f>Raw_Data!T256</f>
        <v>81</v>
      </c>
      <c r="X265" s="23" t="str">
        <f>IF(ISNUMBER(SEARCH("Y",UPPER(TRIM(Raw_Data!U256)))),"Yes","No")</f>
        <v>No</v>
      </c>
      <c r="Y265" s="23" t="str">
        <f>IF(ISNUMBER(SEARCH("Y",UPPER(TRIM(Raw_Data!V256)))),"Yes","No")</f>
        <v>No</v>
      </c>
      <c r="Z265" s="24">
        <f>Raw_Data!W256</f>
        <v>2</v>
      </c>
      <c r="AA265" s="24">
        <f>Raw_Data!X256</f>
        <v>6.1</v>
      </c>
      <c r="AB265" s="23" t="str">
        <f>IF(COUNTIFS(Raw_Data!$A$2:$A$616,Raw_Data!A256)&gt;1,"Duplicate","Unique")</f>
        <v>Unique</v>
      </c>
      <c r="AC265" s="23" t="str">
        <f t="shared" si="11"/>
        <v>Imputed</v>
      </c>
    </row>
    <row r="266" spans="1:29" ht="15" customHeight="1">
      <c r="A266" s="25" t="str">
        <f>Raw_Data!A257</f>
        <v>BYJ1256</v>
      </c>
      <c r="B266" s="25" t="str">
        <f>Raw_Data!B257</f>
        <v>Ansh Nair</v>
      </c>
      <c r="C266" s="26">
        <f>IF(OR(Raw_Data!C257="",Raw_Data!C257&lt;$C$5,Raw_Data!C257&gt;$C$6),$C$4,Raw_Data!C257)</f>
        <v>44</v>
      </c>
      <c r="D266" s="25" t="str">
        <f>IF(Raw_Data!C257="","Missing-Imputed",IF(OR(Raw_Data!C257&lt;$C$5,Raw_Data!C257&gt;$C$6),"Outlier-Imputed","Original"))</f>
        <v>Original</v>
      </c>
      <c r="E266" s="25" t="str">
        <f>IF(OR(UPPER(TRIM(Raw_Data!D257))="M",UPPER(TRIM(Raw_Data!D257))="MALE"),"Male","Female")</f>
        <v>Female</v>
      </c>
      <c r="F266" s="25" t="str">
        <f>PROPER(TRIM(Raw_Data!E257))</f>
        <v>Tadipatri</v>
      </c>
      <c r="G266" s="25" t="str">
        <f>PROPER(TRIM(Raw_Data!F257))</f>
        <v>Maharashtra</v>
      </c>
      <c r="H266" s="25" t="str">
        <f>PROPER(TRIM(Raw_Data!G257))</f>
        <v>Coding</v>
      </c>
      <c r="I266" s="25" t="str">
        <f>PROPER(TRIM(Raw_Data!H257))</f>
        <v>Lucknow Hub</v>
      </c>
      <c r="J266" s="26">
        <f>IF(LEN(TRIM(Raw_Data!I257))=4,VALUE(TRIM(Raw_Data!I257)),IF(ISNUMBER(IFERROR(VALUE(MID(TRIM(Raw_Data!I257),1,4)),"NA")),VALUE(MID(TRIM(Raw_Data!I257),1,4)),VALUE(RIGHT(TRIM(Raw_Data!I257),4))))</f>
        <v>2023</v>
      </c>
      <c r="K266" s="25" t="str">
        <f>PROPER(TRIM(Raw_Data!J257))</f>
        <v>Self-Employed</v>
      </c>
      <c r="L266" s="25" t="str">
        <f t="shared" si="9"/>
        <v>20+</v>
      </c>
      <c r="M266" s="25" t="str">
        <f t="shared" si="10"/>
        <v>Adult Learners</v>
      </c>
      <c r="N266" s="25" t="str">
        <f>IF(ISNUMBER(SEARCH("NON",UPPER(Raw_Data!M257))),"Non-Premium Learner","Premium Learner")</f>
        <v>Non-Premium Learner</v>
      </c>
      <c r="O266" s="25" t="str">
        <f>PROPER(TRIM(Raw_Data!N257))</f>
        <v>Web Only</v>
      </c>
      <c r="P266" s="26">
        <f>IF(Raw_Data!O257="",$C$7,Raw_Data!O257)</f>
        <v>115557.46</v>
      </c>
      <c r="Q266" s="25" t="str">
        <f>IF(Raw_Data!O257="","Missing-Imputed","Original")</f>
        <v>Original</v>
      </c>
      <c r="R266" s="26">
        <f>Raw_Data!P257</f>
        <v>64</v>
      </c>
      <c r="S266" s="26">
        <f>Raw_Data!Q257</f>
        <v>38945.839999999997</v>
      </c>
      <c r="T266" s="25" t="str">
        <f>IF(Raw_Data!R257="","Unknown",IF(ISNUMBER(SEARCH("ACT",UPPER(Raw_Data!R257))),"Active",IF(ISNUMBER(SEARCH("CLOS",UPPER(Raw_Data!R257))),"Closed","None")))</f>
        <v>Active</v>
      </c>
      <c r="U266" s="26">
        <f>IF(Raw_Data!S257="",$C$8,VALUE(Raw_Data!S257))</f>
        <v>755</v>
      </c>
      <c r="V266" s="25" t="str">
        <f>IF(Raw_Data!S257="","Missing-Imputed","Original")</f>
        <v>Original</v>
      </c>
      <c r="W266" s="26">
        <f>Raw_Data!T257</f>
        <v>90</v>
      </c>
      <c r="X266" s="25" t="str">
        <f>IF(ISNUMBER(SEARCH("Y",UPPER(TRIM(Raw_Data!U257)))),"Yes","No")</f>
        <v>No</v>
      </c>
      <c r="Y266" s="25" t="str">
        <f>IF(ISNUMBER(SEARCH("Y",UPPER(TRIM(Raw_Data!V257)))),"Yes","No")</f>
        <v>No</v>
      </c>
      <c r="Z266" s="26">
        <f>Raw_Data!W257</f>
        <v>1</v>
      </c>
      <c r="AA266" s="26">
        <f>Raw_Data!X257</f>
        <v>1.6</v>
      </c>
      <c r="AB266" s="25" t="str">
        <f>IF(COUNTIFS(Raw_Data!$A$2:$A$616,Raw_Data!A257)&gt;1,"Duplicate","Unique")</f>
        <v>Unique</v>
      </c>
      <c r="AC266" s="25" t="str">
        <f t="shared" si="11"/>
        <v>Clean</v>
      </c>
    </row>
    <row r="267" spans="1:29" ht="15" customHeight="1">
      <c r="A267" s="23" t="str">
        <f>Raw_Data!A258</f>
        <v>BYJ1257</v>
      </c>
      <c r="B267" s="23" t="str">
        <f>Raw_Data!B258</f>
        <v>Janaki Chakrabarti</v>
      </c>
      <c r="C267" s="24">
        <f>IF(OR(Raw_Data!C258="",Raw_Data!C258&lt;$C$5,Raw_Data!C258&gt;$C$6),$C$4,Raw_Data!C258)</f>
        <v>6</v>
      </c>
      <c r="D267" s="23" t="str">
        <f>IF(Raw_Data!C258="","Missing-Imputed",IF(OR(Raw_Data!C258&lt;$C$5,Raw_Data!C258&gt;$C$6),"Outlier-Imputed","Original"))</f>
        <v>Original</v>
      </c>
      <c r="E267" s="23" t="str">
        <f>IF(OR(UPPER(TRIM(Raw_Data!D258))="M",UPPER(TRIM(Raw_Data!D258))="MALE"),"Male","Female")</f>
        <v>Male</v>
      </c>
      <c r="F267" s="23" t="str">
        <f>PROPER(TRIM(Raw_Data!E258))</f>
        <v>Aligarh</v>
      </c>
      <c r="G267" s="23" t="str">
        <f>PROPER(TRIM(Raw_Data!F258))</f>
        <v>Gujarat</v>
      </c>
      <c r="H267" s="23" t="str">
        <f>PROPER(TRIM(Raw_Data!G258))</f>
        <v>English</v>
      </c>
      <c r="I267" s="23" t="str">
        <f>PROPER(TRIM(Raw_Data!H258))</f>
        <v>Bengaluru South</v>
      </c>
      <c r="J267" s="24">
        <f>IF(LEN(TRIM(Raw_Data!I258))=4,VALUE(TRIM(Raw_Data!I258)),IF(ISNUMBER(IFERROR(VALUE(MID(TRIM(Raw_Data!I258),1,4)),"NA")),VALUE(MID(TRIM(Raw_Data!I258),1,4)),VALUE(RIGHT(TRIM(Raw_Data!I258),4))))</f>
        <v>2025</v>
      </c>
      <c r="K267" s="23" t="str">
        <f>PROPER(TRIM(Raw_Data!J258))</f>
        <v>Business</v>
      </c>
      <c r="L267" s="23" t="str">
        <f t="shared" ref="L267:L330" si="12">IF(C267&lt;10,"Under 10",IF(C267&lt;=13,"10-13",IF(C267&lt;=16,"14-16",IF(C267&lt;=19,"17-19","20+"))))</f>
        <v>Under 10</v>
      </c>
      <c r="M267" s="23" t="str">
        <f t="shared" ref="M267:M330" si="13">IF(OR(L267="Under 10",L267="10-13"),"Kids",IF(OR(L267="14-16",L267="17-19"),"Teens","Adult Learners"))</f>
        <v>Kids</v>
      </c>
      <c r="N267" s="23" t="str">
        <f>IF(ISNUMBER(SEARCH("NON",UPPER(Raw_Data!M258))),"Non-Premium Learner","Premium Learner")</f>
        <v>Non-Premium Learner</v>
      </c>
      <c r="O267" s="23" t="str">
        <f>PROPER(TRIM(Raw_Data!N258))</f>
        <v>App Only</v>
      </c>
      <c r="P267" s="24">
        <f>IF(Raw_Data!O258="",$C$7,Raw_Data!O258)</f>
        <v>45709.67</v>
      </c>
      <c r="Q267" s="23" t="str">
        <f>IF(Raw_Data!O258="","Missing-Imputed","Original")</f>
        <v>Original</v>
      </c>
      <c r="R267" s="24">
        <f>Raw_Data!P258</f>
        <v>58</v>
      </c>
      <c r="S267" s="24">
        <f>Raw_Data!Q258</f>
        <v>12545.18</v>
      </c>
      <c r="T267" s="23" t="str">
        <f>IF(Raw_Data!R258="","Unknown",IF(ISNUMBER(SEARCH("ACT",UPPER(Raw_Data!R258))),"Active",IF(ISNUMBER(SEARCH("CLOS",UPPER(Raw_Data!R258))),"Closed","None")))</f>
        <v>Active</v>
      </c>
      <c r="U267" s="24">
        <f>IF(Raw_Data!S258="",$C$8,VALUE(Raw_Data!S258))</f>
        <v>413</v>
      </c>
      <c r="V267" s="23" t="str">
        <f>IF(Raw_Data!S258="","Missing-Imputed","Original")</f>
        <v>Original</v>
      </c>
      <c r="W267" s="24">
        <f>Raw_Data!T258</f>
        <v>145</v>
      </c>
      <c r="X267" s="23" t="str">
        <f>IF(ISNUMBER(SEARCH("Y",UPPER(TRIM(Raw_Data!U258)))),"Yes","No")</f>
        <v>No</v>
      </c>
      <c r="Y267" s="23" t="str">
        <f>IF(ISNUMBER(SEARCH("Y",UPPER(TRIM(Raw_Data!V258)))),"Yes","No")</f>
        <v>Yes</v>
      </c>
      <c r="Z267" s="24">
        <f>Raw_Data!W258</f>
        <v>1</v>
      </c>
      <c r="AA267" s="24">
        <f>Raw_Data!X258</f>
        <v>5.5</v>
      </c>
      <c r="AB267" s="23" t="str">
        <f>IF(COUNTIFS(Raw_Data!$A$2:$A$616,Raw_Data!A258)&gt;1,"Duplicate","Unique")</f>
        <v>Unique</v>
      </c>
      <c r="AC267" s="23" t="str">
        <f t="shared" ref="AC267:AC330" si="14">IF(AB267="Duplicate","Review-Duplicate",IF(OR(D267&lt;&gt;"Original",Q267&lt;&gt;"Original",V267&lt;&gt;"Original"),"Imputed","Clean"))</f>
        <v>Clean</v>
      </c>
    </row>
    <row r="268" spans="1:29" ht="15" customHeight="1">
      <c r="A268" s="25" t="str">
        <f>Raw_Data!A259</f>
        <v>BYJ1258</v>
      </c>
      <c r="B268" s="25" t="str">
        <f>Raw_Data!B259</f>
        <v>Rajata Rattan</v>
      </c>
      <c r="C268" s="26">
        <f>IF(OR(Raw_Data!C259="",Raw_Data!C259&lt;$C$5,Raw_Data!C259&gt;$C$6),$C$4,Raw_Data!C259)</f>
        <v>42</v>
      </c>
      <c r="D268" s="25" t="str">
        <f>IF(Raw_Data!C259="","Missing-Imputed",IF(OR(Raw_Data!C259&lt;$C$5,Raw_Data!C259&gt;$C$6),"Outlier-Imputed","Original"))</f>
        <v>Original</v>
      </c>
      <c r="E268" s="25" t="str">
        <f>IF(OR(UPPER(TRIM(Raw_Data!D259))="M",UPPER(TRIM(Raw_Data!D259))="MALE"),"Male","Female")</f>
        <v>Male</v>
      </c>
      <c r="F268" s="25" t="str">
        <f>PROPER(TRIM(Raw_Data!E259))</f>
        <v>Tenali</v>
      </c>
      <c r="G268" s="25" t="str">
        <f>PROPER(TRIM(Raw_Data!F259))</f>
        <v>Telangana</v>
      </c>
      <c r="H268" s="25" t="str">
        <f>PROPER(TRIM(Raw_Data!G259))</f>
        <v>English</v>
      </c>
      <c r="I268" s="25" t="str">
        <f>PROPER(TRIM(Raw_Data!H259))</f>
        <v>Chennai Central</v>
      </c>
      <c r="J268" s="26">
        <f>IF(LEN(TRIM(Raw_Data!I259))=4,VALUE(TRIM(Raw_Data!I259)),IF(ISNUMBER(IFERROR(VALUE(MID(TRIM(Raw_Data!I259),1,4)),"NA")),VALUE(MID(TRIM(Raw_Data!I259),1,4)),VALUE(RIGHT(TRIM(Raw_Data!I259),4))))</f>
        <v>2024</v>
      </c>
      <c r="K268" s="25" t="str">
        <f>PROPER(TRIM(Raw_Data!J259))</f>
        <v>Salaried</v>
      </c>
      <c r="L268" s="25" t="str">
        <f t="shared" si="12"/>
        <v>20+</v>
      </c>
      <c r="M268" s="25" t="str">
        <f t="shared" si="13"/>
        <v>Adult Learners</v>
      </c>
      <c r="N268" s="25" t="str">
        <f>IF(ISNUMBER(SEARCH("NON",UPPER(Raw_Data!M259))),"Non-Premium Learner","Premium Learner")</f>
        <v>Non-Premium Learner</v>
      </c>
      <c r="O268" s="25" t="str">
        <f>PROPER(TRIM(Raw_Data!N259))</f>
        <v>Both App &amp; Web</v>
      </c>
      <c r="P268" s="26">
        <f>IF(Raw_Data!O259="",$C$7,Raw_Data!O259)</f>
        <v>12520.11</v>
      </c>
      <c r="Q268" s="25" t="str">
        <f>IF(Raw_Data!O259="","Missing-Imputed","Original")</f>
        <v>Original</v>
      </c>
      <c r="R268" s="26">
        <f>Raw_Data!P259</f>
        <v>37.4</v>
      </c>
      <c r="S268" s="26">
        <f>Raw_Data!Q259</f>
        <v>59706.39</v>
      </c>
      <c r="T268" s="25" t="str">
        <f>IF(Raw_Data!R259="","Unknown",IF(ISNUMBER(SEARCH("ACT",UPPER(Raw_Data!R259))),"Active",IF(ISNUMBER(SEARCH("CLOS",UPPER(Raw_Data!R259))),"Closed","None")))</f>
        <v>Closed</v>
      </c>
      <c r="U268" s="26">
        <f>IF(Raw_Data!S259="",$C$8,VALUE(Raw_Data!S259))</f>
        <v>830</v>
      </c>
      <c r="V268" s="25" t="str">
        <f>IF(Raw_Data!S259="","Missing-Imputed","Original")</f>
        <v>Original</v>
      </c>
      <c r="W268" s="26">
        <f>Raw_Data!T259</f>
        <v>92</v>
      </c>
      <c r="X268" s="25" t="str">
        <f>IF(ISNUMBER(SEARCH("Y",UPPER(TRIM(Raw_Data!U259)))),"Yes","No")</f>
        <v>Yes</v>
      </c>
      <c r="Y268" s="25" t="str">
        <f>IF(ISNUMBER(SEARCH("Y",UPPER(TRIM(Raw_Data!V259)))),"Yes","No")</f>
        <v>Yes</v>
      </c>
      <c r="Z268" s="26">
        <f>Raw_Data!W259</f>
        <v>4</v>
      </c>
      <c r="AA268" s="26">
        <f>Raw_Data!X259</f>
        <v>5</v>
      </c>
      <c r="AB268" s="25" t="str">
        <f>IF(COUNTIFS(Raw_Data!$A$2:$A$616,Raw_Data!A259)&gt;1,"Duplicate","Unique")</f>
        <v>Unique</v>
      </c>
      <c r="AC268" s="25" t="str">
        <f t="shared" si="14"/>
        <v>Clean</v>
      </c>
    </row>
    <row r="269" spans="1:29" ht="15" customHeight="1">
      <c r="A269" s="23" t="str">
        <f>Raw_Data!A260</f>
        <v>BYJ1259</v>
      </c>
      <c r="B269" s="23" t="str">
        <f>Raw_Data!B260</f>
        <v>Harinakshi Kant</v>
      </c>
      <c r="C269" s="24">
        <f>IF(OR(Raw_Data!C260="",Raw_Data!C260&lt;$C$5,Raw_Data!C260&gt;$C$6),$C$4,Raw_Data!C260)</f>
        <v>27</v>
      </c>
      <c r="D269" s="23" t="str">
        <f>IF(Raw_Data!C260="","Missing-Imputed",IF(OR(Raw_Data!C260&lt;$C$5,Raw_Data!C260&gt;$C$6),"Outlier-Imputed","Original"))</f>
        <v>Original</v>
      </c>
      <c r="E269" s="23" t="str">
        <f>IF(OR(UPPER(TRIM(Raw_Data!D260))="M",UPPER(TRIM(Raw_Data!D260))="MALE"),"Male","Female")</f>
        <v>Male</v>
      </c>
      <c r="F269" s="23" t="str">
        <f>PROPER(TRIM(Raw_Data!E260))</f>
        <v>Gulbarga</v>
      </c>
      <c r="G269" s="23" t="str">
        <f>PROPER(TRIM(Raw_Data!F260))</f>
        <v>Delhi</v>
      </c>
      <c r="H269" s="23" t="str">
        <f>PROPER(TRIM(Raw_Data!G260))</f>
        <v>Robotics</v>
      </c>
      <c r="I269" s="23" t="str">
        <f>PROPER(TRIM(Raw_Data!H260))</f>
        <v>Bengaluru South</v>
      </c>
      <c r="J269" s="24">
        <f>IF(LEN(TRIM(Raw_Data!I260))=4,VALUE(TRIM(Raw_Data!I260)),IF(ISNUMBER(IFERROR(VALUE(MID(TRIM(Raw_Data!I260),1,4)),"NA")),VALUE(MID(TRIM(Raw_Data!I260),1,4)),VALUE(RIGHT(TRIM(Raw_Data!I260),4))))</f>
        <v>2019</v>
      </c>
      <c r="K269" s="23" t="str">
        <f>PROPER(TRIM(Raw_Data!J260))</f>
        <v>Homemaker</v>
      </c>
      <c r="L269" s="23" t="str">
        <f t="shared" si="12"/>
        <v>20+</v>
      </c>
      <c r="M269" s="23" t="str">
        <f t="shared" si="13"/>
        <v>Adult Learners</v>
      </c>
      <c r="N269" s="23" t="str">
        <f>IF(ISNUMBER(SEARCH("NON",UPPER(Raw_Data!M260))),"Non-Premium Learner","Premium Learner")</f>
        <v>Premium Learner</v>
      </c>
      <c r="O269" s="23" t="str">
        <f>PROPER(TRIM(Raw_Data!N260))</f>
        <v>App Only</v>
      </c>
      <c r="P269" s="24">
        <f>IF(Raw_Data!O260="",$C$7,Raw_Data!O260)</f>
        <v>74595.13</v>
      </c>
      <c r="Q269" s="23" t="str">
        <f>IF(Raw_Data!O260="","Missing-Imputed","Original")</f>
        <v>Original</v>
      </c>
      <c r="R269" s="24">
        <f>Raw_Data!P260</f>
        <v>49.4</v>
      </c>
      <c r="S269" s="24">
        <f>Raw_Data!Q260</f>
        <v>37577.83</v>
      </c>
      <c r="T269" s="23" t="str">
        <f>IF(Raw_Data!R260="","Unknown",IF(ISNUMBER(SEARCH("ACT",UPPER(Raw_Data!R260))),"Active",IF(ISNUMBER(SEARCH("CLOS",UPPER(Raw_Data!R260))),"Closed","None")))</f>
        <v>Closed</v>
      </c>
      <c r="U269" s="24">
        <f>IF(Raw_Data!S260="",$C$8,VALUE(Raw_Data!S260))</f>
        <v>553</v>
      </c>
      <c r="V269" s="23" t="str">
        <f>IF(Raw_Data!S260="","Missing-Imputed","Original")</f>
        <v>Original</v>
      </c>
      <c r="W269" s="24">
        <f>Raw_Data!T260</f>
        <v>61</v>
      </c>
      <c r="X269" s="23" t="str">
        <f>IF(ISNUMBER(SEARCH("Y",UPPER(TRIM(Raw_Data!U260)))),"Yes","No")</f>
        <v>No</v>
      </c>
      <c r="Y269" s="23" t="str">
        <f>IF(ISNUMBER(SEARCH("Y",UPPER(TRIM(Raw_Data!V260)))),"Yes","No")</f>
        <v>No</v>
      </c>
      <c r="Z269" s="24">
        <f>Raw_Data!W260</f>
        <v>1</v>
      </c>
      <c r="AA269" s="24">
        <f>Raw_Data!X260</f>
        <v>7.1</v>
      </c>
      <c r="AB269" s="23" t="str">
        <f>IF(COUNTIFS(Raw_Data!$A$2:$A$616,Raw_Data!A260)&gt;1,"Duplicate","Unique")</f>
        <v>Unique</v>
      </c>
      <c r="AC269" s="23" t="str">
        <f t="shared" si="14"/>
        <v>Clean</v>
      </c>
    </row>
    <row r="270" spans="1:29" ht="15" customHeight="1">
      <c r="A270" s="25" t="str">
        <f>Raw_Data!A261</f>
        <v>BYJ1260</v>
      </c>
      <c r="B270" s="25" t="str">
        <f>Raw_Data!B261</f>
        <v>Yashvi Comar</v>
      </c>
      <c r="C270" s="26">
        <f>IF(OR(Raw_Data!C261="",Raw_Data!C261&lt;$C$5,Raw_Data!C261&gt;$C$6),$C$4,Raw_Data!C261)</f>
        <v>34</v>
      </c>
      <c r="D270" s="25" t="str">
        <f>IF(Raw_Data!C261="","Missing-Imputed",IF(OR(Raw_Data!C261&lt;$C$5,Raw_Data!C261&gt;$C$6),"Outlier-Imputed","Original"))</f>
        <v>Original</v>
      </c>
      <c r="E270" s="25" t="str">
        <f>IF(OR(UPPER(TRIM(Raw_Data!D261))="M",UPPER(TRIM(Raw_Data!D261))="MALE"),"Male","Female")</f>
        <v>Male</v>
      </c>
      <c r="F270" s="25" t="str">
        <f>PROPER(TRIM(Raw_Data!E261))</f>
        <v>Karnal</v>
      </c>
      <c r="G270" s="25" t="str">
        <f>PROPER(TRIM(Raw_Data!F261))</f>
        <v>Tamil Nadu</v>
      </c>
      <c r="H270" s="25" t="str">
        <f>PROPER(TRIM(Raw_Data!G261))</f>
        <v>Robotics</v>
      </c>
      <c r="I270" s="25" t="str">
        <f>PROPER(TRIM(Raw_Data!H261))</f>
        <v>Pune East</v>
      </c>
      <c r="J270" s="26">
        <f>IF(LEN(TRIM(Raw_Data!I261))=4,VALUE(TRIM(Raw_Data!I261)),IF(ISNUMBER(IFERROR(VALUE(MID(TRIM(Raw_Data!I261),1,4)),"NA")),VALUE(MID(TRIM(Raw_Data!I261),1,4)),VALUE(RIGHT(TRIM(Raw_Data!I261),4))))</f>
        <v>2017</v>
      </c>
      <c r="K270" s="25" t="str">
        <f>PROPER(TRIM(Raw_Data!J261))</f>
        <v>Salaried</v>
      </c>
      <c r="L270" s="25" t="str">
        <f t="shared" si="12"/>
        <v>20+</v>
      </c>
      <c r="M270" s="25" t="str">
        <f t="shared" si="13"/>
        <v>Adult Learners</v>
      </c>
      <c r="N270" s="25" t="str">
        <f>IF(ISNUMBER(SEARCH("NON",UPPER(Raw_Data!M261))),"Non-Premium Learner","Premium Learner")</f>
        <v>Non-Premium Learner</v>
      </c>
      <c r="O270" s="25" t="str">
        <f>PROPER(TRIM(Raw_Data!N261))</f>
        <v>App Only</v>
      </c>
      <c r="P270" s="26">
        <f>IF(Raw_Data!O261="",$C$7,Raw_Data!O261)</f>
        <v>19765</v>
      </c>
      <c r="Q270" s="25" t="str">
        <f>IF(Raw_Data!O261="","Missing-Imputed","Original")</f>
        <v>Original</v>
      </c>
      <c r="R270" s="26">
        <f>Raw_Data!P261</f>
        <v>8.9</v>
      </c>
      <c r="S270" s="26">
        <f>Raw_Data!Q261</f>
        <v>50995.76</v>
      </c>
      <c r="T270" s="25" t="str">
        <f>IF(Raw_Data!R261="","Unknown",IF(ISNUMBER(SEARCH("ACT",UPPER(Raw_Data!R261))),"Active",IF(ISNUMBER(SEARCH("CLOS",UPPER(Raw_Data!R261))),"Closed","None")))</f>
        <v>Closed</v>
      </c>
      <c r="U270" s="26">
        <f>IF(Raw_Data!S261="",$C$8,VALUE(Raw_Data!S261))</f>
        <v>720</v>
      </c>
      <c r="V270" s="25" t="str">
        <f>IF(Raw_Data!S261="","Missing-Imputed","Original")</f>
        <v>Original</v>
      </c>
      <c r="W270" s="26">
        <f>Raw_Data!T261</f>
        <v>153</v>
      </c>
      <c r="X270" s="25" t="str">
        <f>IF(ISNUMBER(SEARCH("Y",UPPER(TRIM(Raw_Data!U261)))),"Yes","No")</f>
        <v>Yes</v>
      </c>
      <c r="Y270" s="25" t="str">
        <f>IF(ISNUMBER(SEARCH("Y",UPPER(TRIM(Raw_Data!V261)))),"Yes","No")</f>
        <v>No</v>
      </c>
      <c r="Z270" s="26">
        <f>Raw_Data!W261</f>
        <v>4</v>
      </c>
      <c r="AA270" s="26">
        <f>Raw_Data!X261</f>
        <v>8</v>
      </c>
      <c r="AB270" s="25" t="str">
        <f>IF(COUNTIFS(Raw_Data!$A$2:$A$616,Raw_Data!A261)&gt;1,"Duplicate","Unique")</f>
        <v>Unique</v>
      </c>
      <c r="AC270" s="25" t="str">
        <f t="shared" si="14"/>
        <v>Clean</v>
      </c>
    </row>
    <row r="271" spans="1:29" ht="15" customHeight="1">
      <c r="A271" s="23" t="str">
        <f>Raw_Data!A262</f>
        <v>BYJ1261</v>
      </c>
      <c r="B271" s="23" t="str">
        <f>Raw_Data!B262</f>
        <v>Manbir Keer</v>
      </c>
      <c r="C271" s="24">
        <f>IF(OR(Raw_Data!C262="",Raw_Data!C262&lt;$C$5,Raw_Data!C262&gt;$C$6),$C$4,Raw_Data!C262)</f>
        <v>7</v>
      </c>
      <c r="D271" s="23" t="str">
        <f>IF(Raw_Data!C262="","Missing-Imputed",IF(OR(Raw_Data!C262&lt;$C$5,Raw_Data!C262&gt;$C$6),"Outlier-Imputed","Original"))</f>
        <v>Original</v>
      </c>
      <c r="E271" s="23" t="str">
        <f>IF(OR(UPPER(TRIM(Raw_Data!D262))="M",UPPER(TRIM(Raw_Data!D262))="MALE"),"Male","Female")</f>
        <v>Female</v>
      </c>
      <c r="F271" s="23" t="str">
        <f>PROPER(TRIM(Raw_Data!E262))</f>
        <v>Ulhasnagar</v>
      </c>
      <c r="G271" s="23" t="str">
        <f>PROPER(TRIM(Raw_Data!F262))</f>
        <v>Delhi</v>
      </c>
      <c r="H271" s="23" t="str">
        <f>PROPER(TRIM(Raw_Data!G262))</f>
        <v>Mathematics</v>
      </c>
      <c r="I271" s="23" t="str">
        <f>PROPER(TRIM(Raw_Data!H262))</f>
        <v>Bengaluru South</v>
      </c>
      <c r="J271" s="24">
        <f>IF(LEN(TRIM(Raw_Data!I262))=4,VALUE(TRIM(Raw_Data!I262)),IF(ISNUMBER(IFERROR(VALUE(MID(TRIM(Raw_Data!I262),1,4)),"NA")),VALUE(MID(TRIM(Raw_Data!I262),1,4)),VALUE(RIGHT(TRIM(Raw_Data!I262),4))))</f>
        <v>2016</v>
      </c>
      <c r="K271" s="23" t="str">
        <f>PROPER(TRIM(Raw_Data!J262))</f>
        <v>Government Employee</v>
      </c>
      <c r="L271" s="23" t="str">
        <f t="shared" si="12"/>
        <v>Under 10</v>
      </c>
      <c r="M271" s="23" t="str">
        <f t="shared" si="13"/>
        <v>Kids</v>
      </c>
      <c r="N271" s="23" t="str">
        <f>IF(ISNUMBER(SEARCH("NON",UPPER(Raw_Data!M262))),"Non-Premium Learner","Premium Learner")</f>
        <v>Non-Premium Learner</v>
      </c>
      <c r="O271" s="23" t="str">
        <f>PROPER(TRIM(Raw_Data!N262))</f>
        <v>Both App &amp; Web</v>
      </c>
      <c r="P271" s="24">
        <f>IF(Raw_Data!O262="",$C$7,Raw_Data!O262)</f>
        <v>23267.34</v>
      </c>
      <c r="Q271" s="23" t="str">
        <f>IF(Raw_Data!O262="","Missing-Imputed","Original")</f>
        <v>Original</v>
      </c>
      <c r="R271" s="24">
        <f>Raw_Data!P262</f>
        <v>31.7</v>
      </c>
      <c r="S271" s="24">
        <f>Raw_Data!Q262</f>
        <v>28883.96</v>
      </c>
      <c r="T271" s="23" t="str">
        <f>IF(Raw_Data!R262="","Unknown",IF(ISNUMBER(SEARCH("ACT",UPPER(Raw_Data!R262))),"Active",IF(ISNUMBER(SEARCH("CLOS",UPPER(Raw_Data!R262))),"Closed","None")))</f>
        <v>None</v>
      </c>
      <c r="U271" s="24">
        <f>IF(Raw_Data!S262="",$C$8,VALUE(Raw_Data!S262))</f>
        <v>490</v>
      </c>
      <c r="V271" s="23" t="str">
        <f>IF(Raw_Data!S262="","Missing-Imputed","Original")</f>
        <v>Original</v>
      </c>
      <c r="W271" s="24">
        <f>Raw_Data!T262</f>
        <v>11</v>
      </c>
      <c r="X271" s="23" t="str">
        <f>IF(ISNUMBER(SEARCH("Y",UPPER(TRIM(Raw_Data!U262)))),"Yes","No")</f>
        <v>Yes</v>
      </c>
      <c r="Y271" s="23" t="str">
        <f>IF(ISNUMBER(SEARCH("Y",UPPER(TRIM(Raw_Data!V262)))),"Yes","No")</f>
        <v>No</v>
      </c>
      <c r="Z271" s="24">
        <f>Raw_Data!W262</f>
        <v>5</v>
      </c>
      <c r="AA271" s="24">
        <f>Raw_Data!X262</f>
        <v>8.6999999999999993</v>
      </c>
      <c r="AB271" s="23" t="str">
        <f>IF(COUNTIFS(Raw_Data!$A$2:$A$616,Raw_Data!A262)&gt;1,"Duplicate","Unique")</f>
        <v>Unique</v>
      </c>
      <c r="AC271" s="23" t="str">
        <f t="shared" si="14"/>
        <v>Clean</v>
      </c>
    </row>
    <row r="272" spans="1:29" ht="15" customHeight="1">
      <c r="A272" s="25" t="str">
        <f>Raw_Data!A263</f>
        <v>BYJ1262</v>
      </c>
      <c r="B272" s="25" t="str">
        <f>Raw_Data!B263</f>
        <v>Rudra Ghose</v>
      </c>
      <c r="C272" s="26">
        <f>IF(OR(Raw_Data!C263="",Raw_Data!C263&lt;$C$5,Raw_Data!C263&gt;$C$6),$C$4,Raw_Data!C263)</f>
        <v>40</v>
      </c>
      <c r="D272" s="25" t="str">
        <f>IF(Raw_Data!C263="","Missing-Imputed",IF(OR(Raw_Data!C263&lt;$C$5,Raw_Data!C263&gt;$C$6),"Outlier-Imputed","Original"))</f>
        <v>Original</v>
      </c>
      <c r="E272" s="25" t="str">
        <f>IF(OR(UPPER(TRIM(Raw_Data!D263))="M",UPPER(TRIM(Raw_Data!D263))="MALE"),"Male","Female")</f>
        <v>Male</v>
      </c>
      <c r="F272" s="25" t="str">
        <f>PROPER(TRIM(Raw_Data!E263))</f>
        <v>Aurangabad</v>
      </c>
      <c r="G272" s="25" t="str">
        <f>PROPER(TRIM(Raw_Data!F263))</f>
        <v>Kerala</v>
      </c>
      <c r="H272" s="25" t="str">
        <f>PROPER(TRIM(Raw_Data!G263))</f>
        <v>Neet Prep</v>
      </c>
      <c r="I272" s="25" t="str">
        <f>PROPER(TRIM(Raw_Data!H263))</f>
        <v>Hyderabad Hub</v>
      </c>
      <c r="J272" s="26">
        <f>IF(LEN(TRIM(Raw_Data!I263))=4,VALUE(TRIM(Raw_Data!I263)),IF(ISNUMBER(IFERROR(VALUE(MID(TRIM(Raw_Data!I263),1,4)),"NA")),VALUE(MID(TRIM(Raw_Data!I263),1,4)),VALUE(RIGHT(TRIM(Raw_Data!I263),4))))</f>
        <v>2021</v>
      </c>
      <c r="K272" s="25" t="str">
        <f>PROPER(TRIM(Raw_Data!J263))</f>
        <v>Salaried</v>
      </c>
      <c r="L272" s="25" t="str">
        <f t="shared" si="12"/>
        <v>20+</v>
      </c>
      <c r="M272" s="25" t="str">
        <f t="shared" si="13"/>
        <v>Adult Learners</v>
      </c>
      <c r="N272" s="25" t="str">
        <f>IF(ISNUMBER(SEARCH("NON",UPPER(Raw_Data!M263))),"Non-Premium Learner","Premium Learner")</f>
        <v>Premium Learner</v>
      </c>
      <c r="O272" s="25" t="str">
        <f>PROPER(TRIM(Raw_Data!N263))</f>
        <v>Both App &amp; Web</v>
      </c>
      <c r="P272" s="26">
        <f>IF(Raw_Data!O263="",$C$7,Raw_Data!O263)</f>
        <v>129511.82</v>
      </c>
      <c r="Q272" s="25" t="str">
        <f>IF(Raw_Data!O263="","Missing-Imputed","Original")</f>
        <v>Original</v>
      </c>
      <c r="R272" s="26">
        <f>Raw_Data!P263</f>
        <v>19.7</v>
      </c>
      <c r="S272" s="26">
        <f>Raw_Data!Q263</f>
        <v>12022.31</v>
      </c>
      <c r="T272" s="25" t="str">
        <f>IF(Raw_Data!R263="","Unknown",IF(ISNUMBER(SEARCH("ACT",UPPER(Raw_Data!R263))),"Active",IF(ISNUMBER(SEARCH("CLOS",UPPER(Raw_Data!R263))),"Closed","None")))</f>
        <v>Active</v>
      </c>
      <c r="U272" s="26">
        <f>IF(Raw_Data!S263="",$C$8,VALUE(Raw_Data!S263))</f>
        <v>649</v>
      </c>
      <c r="V272" s="25" t="str">
        <f>IF(Raw_Data!S263="","Missing-Imputed","Original")</f>
        <v>Original</v>
      </c>
      <c r="W272" s="26">
        <f>Raw_Data!T263</f>
        <v>121</v>
      </c>
      <c r="X272" s="25" t="str">
        <f>IF(ISNUMBER(SEARCH("Y",UPPER(TRIM(Raw_Data!U263)))),"Yes","No")</f>
        <v>No</v>
      </c>
      <c r="Y272" s="25" t="str">
        <f>IF(ISNUMBER(SEARCH("Y",UPPER(TRIM(Raw_Data!V263)))),"Yes","No")</f>
        <v>No</v>
      </c>
      <c r="Z272" s="26">
        <f>Raw_Data!W263</f>
        <v>4</v>
      </c>
      <c r="AA272" s="26">
        <f>Raw_Data!X263</f>
        <v>3.3</v>
      </c>
      <c r="AB272" s="25" t="str">
        <f>IF(COUNTIFS(Raw_Data!$A$2:$A$616,Raw_Data!A263)&gt;1,"Duplicate","Unique")</f>
        <v>Unique</v>
      </c>
      <c r="AC272" s="25" t="str">
        <f t="shared" si="14"/>
        <v>Clean</v>
      </c>
    </row>
    <row r="273" spans="1:29" ht="15" customHeight="1">
      <c r="A273" s="23" t="str">
        <f>Raw_Data!A264</f>
        <v>BYJ1263</v>
      </c>
      <c r="B273" s="23" t="str">
        <f>Raw_Data!B264</f>
        <v>Wakeeta Shetty</v>
      </c>
      <c r="C273" s="24">
        <f>IF(OR(Raw_Data!C264="",Raw_Data!C264&lt;$C$5,Raw_Data!C264&gt;$C$6),$C$4,Raw_Data!C264)</f>
        <v>8</v>
      </c>
      <c r="D273" s="23" t="str">
        <f>IF(Raw_Data!C264="","Missing-Imputed",IF(OR(Raw_Data!C264&lt;$C$5,Raw_Data!C264&gt;$C$6),"Outlier-Imputed","Original"))</f>
        <v>Original</v>
      </c>
      <c r="E273" s="23" t="str">
        <f>IF(OR(UPPER(TRIM(Raw_Data!D264))="M",UPPER(TRIM(Raw_Data!D264))="MALE"),"Male","Female")</f>
        <v>Female</v>
      </c>
      <c r="F273" s="23" t="str">
        <f>PROPER(TRIM(Raw_Data!E264))</f>
        <v>Buxar</v>
      </c>
      <c r="G273" s="23" t="str">
        <f>PROPER(TRIM(Raw_Data!F264))</f>
        <v>Delhi</v>
      </c>
      <c r="H273" s="23" t="str">
        <f>PROPER(TRIM(Raw_Data!G264))</f>
        <v>English</v>
      </c>
      <c r="I273" s="23" t="str">
        <f>PROPER(TRIM(Raw_Data!H264))</f>
        <v>Ahmedabad Center</v>
      </c>
      <c r="J273" s="24">
        <f>IF(LEN(TRIM(Raw_Data!I264))=4,VALUE(TRIM(Raw_Data!I264)),IF(ISNUMBER(IFERROR(VALUE(MID(TRIM(Raw_Data!I264),1,4)),"NA")),VALUE(MID(TRIM(Raw_Data!I264),1,4)),VALUE(RIGHT(TRIM(Raw_Data!I264),4))))</f>
        <v>2025</v>
      </c>
      <c r="K273" s="23" t="str">
        <f>PROPER(TRIM(Raw_Data!J264))</f>
        <v>Retired</v>
      </c>
      <c r="L273" s="23" t="str">
        <f t="shared" si="12"/>
        <v>Under 10</v>
      </c>
      <c r="M273" s="23" t="str">
        <f t="shared" si="13"/>
        <v>Kids</v>
      </c>
      <c r="N273" s="23" t="str">
        <f>IF(ISNUMBER(SEARCH("NON",UPPER(Raw_Data!M264))),"Non-Premium Learner","Premium Learner")</f>
        <v>Non-Premium Learner</v>
      </c>
      <c r="O273" s="23" t="str">
        <f>PROPER(TRIM(Raw_Data!N264))</f>
        <v>Both App &amp; Web</v>
      </c>
      <c r="P273" s="24">
        <f>IF(Raw_Data!O264="",$C$7,Raw_Data!O264)</f>
        <v>59507.21</v>
      </c>
      <c r="Q273" s="23" t="str">
        <f>IF(Raw_Data!O264="","Missing-Imputed","Original")</f>
        <v>Original</v>
      </c>
      <c r="R273" s="24">
        <f>Raw_Data!P264</f>
        <v>67</v>
      </c>
      <c r="S273" s="24">
        <f>Raw_Data!Q264</f>
        <v>403.52</v>
      </c>
      <c r="T273" s="23" t="str">
        <f>IF(Raw_Data!R264="","Unknown",IF(ISNUMBER(SEARCH("ACT",UPPER(Raw_Data!R264))),"Active",IF(ISNUMBER(SEARCH("CLOS",UPPER(Raw_Data!R264))),"Closed","None")))</f>
        <v>Active</v>
      </c>
      <c r="U273" s="24">
        <f>IF(Raw_Data!S264="",$C$8,VALUE(Raw_Data!S264))</f>
        <v>666</v>
      </c>
      <c r="V273" s="23" t="str">
        <f>IF(Raw_Data!S264="","Missing-Imputed","Original")</f>
        <v>Original</v>
      </c>
      <c r="W273" s="24">
        <f>Raw_Data!T264</f>
        <v>29</v>
      </c>
      <c r="X273" s="23" t="str">
        <f>IF(ISNUMBER(SEARCH("Y",UPPER(TRIM(Raw_Data!U264)))),"Yes","No")</f>
        <v>Yes</v>
      </c>
      <c r="Y273" s="23" t="str">
        <f>IF(ISNUMBER(SEARCH("Y",UPPER(TRIM(Raw_Data!V264)))),"Yes","No")</f>
        <v>No</v>
      </c>
      <c r="Z273" s="24">
        <f>Raw_Data!W264</f>
        <v>5</v>
      </c>
      <c r="AA273" s="24">
        <f>Raw_Data!X264</f>
        <v>8.3000000000000007</v>
      </c>
      <c r="AB273" s="23" t="str">
        <f>IF(COUNTIFS(Raw_Data!$A$2:$A$616,Raw_Data!A264)&gt;1,"Duplicate","Unique")</f>
        <v>Unique</v>
      </c>
      <c r="AC273" s="23" t="str">
        <f t="shared" si="14"/>
        <v>Clean</v>
      </c>
    </row>
    <row r="274" spans="1:29" ht="15" customHeight="1">
      <c r="A274" s="25" t="str">
        <f>Raw_Data!A265</f>
        <v>BYJ1264</v>
      </c>
      <c r="B274" s="25" t="str">
        <f>Raw_Data!B265</f>
        <v>Diya Dora</v>
      </c>
      <c r="C274" s="26">
        <f>IF(OR(Raw_Data!C265="",Raw_Data!C265&lt;$C$5,Raw_Data!C265&gt;$C$6),$C$4,Raw_Data!C265)</f>
        <v>18</v>
      </c>
      <c r="D274" s="25" t="str">
        <f>IF(Raw_Data!C265="","Missing-Imputed",IF(OR(Raw_Data!C265&lt;$C$5,Raw_Data!C265&gt;$C$6),"Outlier-Imputed","Original"))</f>
        <v>Original</v>
      </c>
      <c r="E274" s="25" t="str">
        <f>IF(OR(UPPER(TRIM(Raw_Data!D265))="M",UPPER(TRIM(Raw_Data!D265))="MALE"),"Male","Female")</f>
        <v>Male</v>
      </c>
      <c r="F274" s="25" t="str">
        <f>PROPER(TRIM(Raw_Data!E265))</f>
        <v>Jabalpur</v>
      </c>
      <c r="G274" s="25" t="str">
        <f>PROPER(TRIM(Raw_Data!F265))</f>
        <v>Telangana</v>
      </c>
      <c r="H274" s="25" t="str">
        <f>PROPER(TRIM(Raw_Data!G265))</f>
        <v>Science</v>
      </c>
      <c r="I274" s="25" t="str">
        <f>PROPER(TRIM(Raw_Data!H265))</f>
        <v>Pune East</v>
      </c>
      <c r="J274" s="26">
        <f>IF(LEN(TRIM(Raw_Data!I265))=4,VALUE(TRIM(Raw_Data!I265)),IF(ISNUMBER(IFERROR(VALUE(MID(TRIM(Raw_Data!I265),1,4)),"NA")),VALUE(MID(TRIM(Raw_Data!I265),1,4)),VALUE(RIGHT(TRIM(Raw_Data!I265),4))))</f>
        <v>2024</v>
      </c>
      <c r="K274" s="25" t="str">
        <f>PROPER(TRIM(Raw_Data!J265))</f>
        <v>Salaried</v>
      </c>
      <c r="L274" s="25" t="str">
        <f t="shared" si="12"/>
        <v>17-19</v>
      </c>
      <c r="M274" s="25" t="str">
        <f t="shared" si="13"/>
        <v>Teens</v>
      </c>
      <c r="N274" s="25" t="str">
        <f>IF(ISNUMBER(SEARCH("NON",UPPER(Raw_Data!M265))),"Non-Premium Learner","Premium Learner")</f>
        <v>Premium Learner</v>
      </c>
      <c r="O274" s="25" t="str">
        <f>PROPER(TRIM(Raw_Data!N265))</f>
        <v>App Only</v>
      </c>
      <c r="P274" s="26">
        <f>IF(Raw_Data!O265="",$C$7,Raw_Data!O265)</f>
        <v>8044.1</v>
      </c>
      <c r="Q274" s="25" t="str">
        <f>IF(Raw_Data!O265="","Missing-Imputed","Original")</f>
        <v>Original</v>
      </c>
      <c r="R274" s="26">
        <f>Raw_Data!P265</f>
        <v>33.4</v>
      </c>
      <c r="S274" s="26">
        <f>Raw_Data!Q265</f>
        <v>47244.84</v>
      </c>
      <c r="T274" s="25" t="str">
        <f>IF(Raw_Data!R265="","Unknown",IF(ISNUMBER(SEARCH("ACT",UPPER(Raw_Data!R265))),"Active",IF(ISNUMBER(SEARCH("CLOS",UPPER(Raw_Data!R265))),"Closed","None")))</f>
        <v>Active</v>
      </c>
      <c r="U274" s="26">
        <f>IF(Raw_Data!S265="",$C$8,VALUE(Raw_Data!S265))</f>
        <v>515</v>
      </c>
      <c r="V274" s="25" t="str">
        <f>IF(Raw_Data!S265="","Missing-Imputed","Original")</f>
        <v>Original</v>
      </c>
      <c r="W274" s="26">
        <f>Raw_Data!T265</f>
        <v>61</v>
      </c>
      <c r="X274" s="25" t="str">
        <f>IF(ISNUMBER(SEARCH("Y",UPPER(TRIM(Raw_Data!U265)))),"Yes","No")</f>
        <v>No</v>
      </c>
      <c r="Y274" s="25" t="str">
        <f>IF(ISNUMBER(SEARCH("Y",UPPER(TRIM(Raw_Data!V265)))),"Yes","No")</f>
        <v>Yes</v>
      </c>
      <c r="Z274" s="26">
        <f>Raw_Data!W265</f>
        <v>1</v>
      </c>
      <c r="AA274" s="26">
        <f>Raw_Data!X265</f>
        <v>1.5</v>
      </c>
      <c r="AB274" s="25" t="str">
        <f>IF(COUNTIFS(Raw_Data!$A$2:$A$616,Raw_Data!A265)&gt;1,"Duplicate","Unique")</f>
        <v>Unique</v>
      </c>
      <c r="AC274" s="25" t="str">
        <f t="shared" si="14"/>
        <v>Clean</v>
      </c>
    </row>
    <row r="275" spans="1:29" ht="15" customHeight="1">
      <c r="A275" s="23" t="str">
        <f>Raw_Data!A266</f>
        <v>BYJ1265</v>
      </c>
      <c r="B275" s="23" t="str">
        <f>Raw_Data!B266</f>
        <v>Riya Mitter</v>
      </c>
      <c r="C275" s="24">
        <f>IF(OR(Raw_Data!C266="",Raw_Data!C266&lt;$C$5,Raw_Data!C266&gt;$C$6),$C$4,Raw_Data!C266)</f>
        <v>18</v>
      </c>
      <c r="D275" s="23" t="str">
        <f>IF(Raw_Data!C266="","Missing-Imputed",IF(OR(Raw_Data!C266&lt;$C$5,Raw_Data!C266&gt;$C$6),"Outlier-Imputed","Original"))</f>
        <v>Original</v>
      </c>
      <c r="E275" s="23" t="str">
        <f>IF(OR(UPPER(TRIM(Raw_Data!D266))="M",UPPER(TRIM(Raw_Data!D266))="MALE"),"Male","Female")</f>
        <v>Male</v>
      </c>
      <c r="F275" s="23" t="str">
        <f>PROPER(TRIM(Raw_Data!E266))</f>
        <v>Gudivada</v>
      </c>
      <c r="G275" s="23" t="str">
        <f>PROPER(TRIM(Raw_Data!F266))</f>
        <v>Gujarat</v>
      </c>
      <c r="H275" s="23" t="str">
        <f>PROPER(TRIM(Raw_Data!G266))</f>
        <v>Neet Prep</v>
      </c>
      <c r="I275" s="23" t="str">
        <f>PROPER(TRIM(Raw_Data!H266))</f>
        <v>Lucknow Hub</v>
      </c>
      <c r="J275" s="24">
        <f>IF(LEN(TRIM(Raw_Data!I266))=4,VALUE(TRIM(Raw_Data!I266)),IF(ISNUMBER(IFERROR(VALUE(MID(TRIM(Raw_Data!I266),1,4)),"NA")),VALUE(MID(TRIM(Raw_Data!I266),1,4)),VALUE(RIGHT(TRIM(Raw_Data!I266),4))))</f>
        <v>2022</v>
      </c>
      <c r="K275" s="23" t="str">
        <f>PROPER(TRIM(Raw_Data!J266))</f>
        <v>Government Employee</v>
      </c>
      <c r="L275" s="23" t="str">
        <f t="shared" si="12"/>
        <v>17-19</v>
      </c>
      <c r="M275" s="23" t="str">
        <f t="shared" si="13"/>
        <v>Teens</v>
      </c>
      <c r="N275" s="23" t="str">
        <f>IF(ISNUMBER(SEARCH("NON",UPPER(Raw_Data!M266))),"Non-Premium Learner","Premium Learner")</f>
        <v>Non-Premium Learner</v>
      </c>
      <c r="O275" s="23" t="str">
        <f>PROPER(TRIM(Raw_Data!N266))</f>
        <v>Web Only</v>
      </c>
      <c r="P275" s="24">
        <f>IF(Raw_Data!O266="",$C$7,Raw_Data!O266)</f>
        <v>119490.23</v>
      </c>
      <c r="Q275" s="23" t="str">
        <f>IF(Raw_Data!O266="","Missing-Imputed","Original")</f>
        <v>Original</v>
      </c>
      <c r="R275" s="24">
        <f>Raw_Data!P266</f>
        <v>9</v>
      </c>
      <c r="S275" s="24">
        <f>Raw_Data!Q266</f>
        <v>47736.72</v>
      </c>
      <c r="T275" s="23" t="str">
        <f>IF(Raw_Data!R266="","Unknown",IF(ISNUMBER(SEARCH("ACT",UPPER(Raw_Data!R266))),"Active",IF(ISNUMBER(SEARCH("CLOS",UPPER(Raw_Data!R266))),"Closed","None")))</f>
        <v>Active</v>
      </c>
      <c r="U275" s="24">
        <f>IF(Raw_Data!S266="",$C$8,VALUE(Raw_Data!S266))</f>
        <v>514</v>
      </c>
      <c r="V275" s="23" t="str">
        <f>IF(Raw_Data!S266="","Missing-Imputed","Original")</f>
        <v>Original</v>
      </c>
      <c r="W275" s="24">
        <f>Raw_Data!T266</f>
        <v>200</v>
      </c>
      <c r="X275" s="23" t="str">
        <f>IF(ISNUMBER(SEARCH("Y",UPPER(TRIM(Raw_Data!U266)))),"Yes","No")</f>
        <v>No</v>
      </c>
      <c r="Y275" s="23" t="str">
        <f>IF(ISNUMBER(SEARCH("Y",UPPER(TRIM(Raw_Data!V266)))),"Yes","No")</f>
        <v>Yes</v>
      </c>
      <c r="Z275" s="24">
        <f>Raw_Data!W266</f>
        <v>5</v>
      </c>
      <c r="AA275" s="24">
        <f>Raw_Data!X266</f>
        <v>3.7</v>
      </c>
      <c r="AB275" s="23" t="str">
        <f>IF(COUNTIFS(Raw_Data!$A$2:$A$616,Raw_Data!A266)&gt;1,"Duplicate","Unique")</f>
        <v>Unique</v>
      </c>
      <c r="AC275" s="23" t="str">
        <f t="shared" si="14"/>
        <v>Clean</v>
      </c>
    </row>
    <row r="276" spans="1:29" ht="15" customHeight="1">
      <c r="A276" s="25" t="str">
        <f>Raw_Data!A267</f>
        <v>BYJ1266</v>
      </c>
      <c r="B276" s="25" t="str">
        <f>Raw_Data!B267</f>
        <v>Indira Tripathi</v>
      </c>
      <c r="C276" s="26">
        <f>IF(OR(Raw_Data!C267="",Raw_Data!C267&lt;$C$5,Raw_Data!C267&gt;$C$6),$C$4,Raw_Data!C267)</f>
        <v>29</v>
      </c>
      <c r="D276" s="25" t="str">
        <f>IF(Raw_Data!C267="","Missing-Imputed",IF(OR(Raw_Data!C267&lt;$C$5,Raw_Data!C267&gt;$C$6),"Outlier-Imputed","Original"))</f>
        <v>Original</v>
      </c>
      <c r="E276" s="25" t="str">
        <f>IF(OR(UPPER(TRIM(Raw_Data!D267))="M",UPPER(TRIM(Raw_Data!D267))="MALE"),"Male","Female")</f>
        <v>Female</v>
      </c>
      <c r="F276" s="25" t="str">
        <f>PROPER(TRIM(Raw_Data!E267))</f>
        <v>Tirupati</v>
      </c>
      <c r="G276" s="25" t="str">
        <f>PROPER(TRIM(Raw_Data!F267))</f>
        <v>Kerala</v>
      </c>
      <c r="H276" s="25" t="str">
        <f>PROPER(TRIM(Raw_Data!G267))</f>
        <v>Robotics</v>
      </c>
      <c r="I276" s="25" t="str">
        <f>PROPER(TRIM(Raw_Data!H267))</f>
        <v>Lucknow Hub</v>
      </c>
      <c r="J276" s="26">
        <f>IF(LEN(TRIM(Raw_Data!I267))=4,VALUE(TRIM(Raw_Data!I267)),IF(ISNUMBER(IFERROR(VALUE(MID(TRIM(Raw_Data!I267),1,4)),"NA")),VALUE(MID(TRIM(Raw_Data!I267),1,4)),VALUE(RIGHT(TRIM(Raw_Data!I267),4))))</f>
        <v>2016</v>
      </c>
      <c r="K276" s="25" t="str">
        <f>PROPER(TRIM(Raw_Data!J267))</f>
        <v>Self-Employed</v>
      </c>
      <c r="L276" s="25" t="str">
        <f t="shared" si="12"/>
        <v>20+</v>
      </c>
      <c r="M276" s="25" t="str">
        <f t="shared" si="13"/>
        <v>Adult Learners</v>
      </c>
      <c r="N276" s="25" t="str">
        <f>IF(ISNUMBER(SEARCH("NON",UPPER(Raw_Data!M267))),"Non-Premium Learner","Premium Learner")</f>
        <v>Non-Premium Learner</v>
      </c>
      <c r="O276" s="25" t="str">
        <f>PROPER(TRIM(Raw_Data!N267))</f>
        <v>Web Only</v>
      </c>
      <c r="P276" s="26">
        <f>IF(Raw_Data!O267="",$C$7,Raw_Data!O267)</f>
        <v>66628.31</v>
      </c>
      <c r="Q276" s="25" t="str">
        <f>IF(Raw_Data!O267="","Missing-Imputed","Original")</f>
        <v>Original</v>
      </c>
      <c r="R276" s="26">
        <f>Raw_Data!P267</f>
        <v>16.8</v>
      </c>
      <c r="S276" s="26">
        <f>Raw_Data!Q267</f>
        <v>50545.9</v>
      </c>
      <c r="T276" s="25" t="str">
        <f>IF(Raw_Data!R267="","Unknown",IF(ISNUMBER(SEARCH("ACT",UPPER(Raw_Data!R267))),"Active",IF(ISNUMBER(SEARCH("CLOS",UPPER(Raw_Data!R267))),"Closed","None")))</f>
        <v>Closed</v>
      </c>
      <c r="U276" s="26">
        <f>IF(Raw_Data!S267="",$C$8,VALUE(Raw_Data!S267))</f>
        <v>386</v>
      </c>
      <c r="V276" s="25" t="str">
        <f>IF(Raw_Data!S267="","Missing-Imputed","Original")</f>
        <v>Original</v>
      </c>
      <c r="W276" s="26">
        <f>Raw_Data!T267</f>
        <v>21</v>
      </c>
      <c r="X276" s="25" t="str">
        <f>IF(ISNUMBER(SEARCH("Y",UPPER(TRIM(Raw_Data!U267)))),"Yes","No")</f>
        <v>No</v>
      </c>
      <c r="Y276" s="25" t="str">
        <f>IF(ISNUMBER(SEARCH("Y",UPPER(TRIM(Raw_Data!V267)))),"Yes","No")</f>
        <v>No</v>
      </c>
      <c r="Z276" s="26">
        <f>Raw_Data!W267</f>
        <v>5</v>
      </c>
      <c r="AA276" s="26">
        <f>Raw_Data!X267</f>
        <v>0.8</v>
      </c>
      <c r="AB276" s="25" t="str">
        <f>IF(COUNTIFS(Raw_Data!$A$2:$A$616,Raw_Data!A267)&gt;1,"Duplicate","Unique")</f>
        <v>Unique</v>
      </c>
      <c r="AC276" s="25" t="str">
        <f t="shared" si="14"/>
        <v>Clean</v>
      </c>
    </row>
    <row r="277" spans="1:29" ht="15" customHeight="1">
      <c r="A277" s="23" t="str">
        <f>Raw_Data!A268</f>
        <v>BYJ1267</v>
      </c>
      <c r="B277" s="23" t="str">
        <f>Raw_Data!B268</f>
        <v>Siya Barad</v>
      </c>
      <c r="C277" s="24">
        <f>IF(OR(Raw_Data!C268="",Raw_Data!C268&lt;$C$5,Raw_Data!C268&gt;$C$6),$C$4,Raw_Data!C268)</f>
        <v>34</v>
      </c>
      <c r="D277" s="23" t="str">
        <f>IF(Raw_Data!C268="","Missing-Imputed",IF(OR(Raw_Data!C268&lt;$C$5,Raw_Data!C268&gt;$C$6),"Outlier-Imputed","Original"))</f>
        <v>Original</v>
      </c>
      <c r="E277" s="23" t="str">
        <f>IF(OR(UPPER(TRIM(Raw_Data!D268))="M",UPPER(TRIM(Raw_Data!D268))="MALE"),"Male","Female")</f>
        <v>Female</v>
      </c>
      <c r="F277" s="23" t="str">
        <f>PROPER(TRIM(Raw_Data!E268))</f>
        <v>Arrah</v>
      </c>
      <c r="G277" s="23" t="str">
        <f>PROPER(TRIM(Raw_Data!F268))</f>
        <v>Rajasthan</v>
      </c>
      <c r="H277" s="23" t="str">
        <f>PROPER(TRIM(Raw_Data!G268))</f>
        <v>Neet Prep</v>
      </c>
      <c r="I277" s="23" t="str">
        <f>PROPER(TRIM(Raw_Data!H268))</f>
        <v>Hyderabad Hub</v>
      </c>
      <c r="J277" s="24">
        <f>IF(LEN(TRIM(Raw_Data!I268))=4,VALUE(TRIM(Raw_Data!I268)),IF(ISNUMBER(IFERROR(VALUE(MID(TRIM(Raw_Data!I268),1,4)),"NA")),VALUE(MID(TRIM(Raw_Data!I268),1,4)),VALUE(RIGHT(TRIM(Raw_Data!I268),4))))</f>
        <v>2022</v>
      </c>
      <c r="K277" s="23" t="str">
        <f>PROPER(TRIM(Raw_Data!J268))</f>
        <v>Business</v>
      </c>
      <c r="L277" s="23" t="str">
        <f t="shared" si="12"/>
        <v>20+</v>
      </c>
      <c r="M277" s="23" t="str">
        <f t="shared" si="13"/>
        <v>Adult Learners</v>
      </c>
      <c r="N277" s="23" t="str">
        <f>IF(ISNUMBER(SEARCH("NON",UPPER(Raw_Data!M268))),"Non-Premium Learner","Premium Learner")</f>
        <v>Premium Learner</v>
      </c>
      <c r="O277" s="23" t="str">
        <f>PROPER(TRIM(Raw_Data!N268))</f>
        <v>App Only</v>
      </c>
      <c r="P277" s="24">
        <f>IF(Raw_Data!O268="",$C$7,Raw_Data!O268)</f>
        <v>47705.08</v>
      </c>
      <c r="Q277" s="23" t="str">
        <f>IF(Raw_Data!O268="","Missing-Imputed","Original")</f>
        <v>Original</v>
      </c>
      <c r="R277" s="24">
        <f>Raw_Data!P268</f>
        <v>46</v>
      </c>
      <c r="S277" s="24">
        <f>Raw_Data!Q268</f>
        <v>4689.54</v>
      </c>
      <c r="T277" s="23" t="str">
        <f>IF(Raw_Data!R268="","Unknown",IF(ISNUMBER(SEARCH("ACT",UPPER(Raw_Data!R268))),"Active",IF(ISNUMBER(SEARCH("CLOS",UPPER(Raw_Data!R268))),"Closed","None")))</f>
        <v>Closed</v>
      </c>
      <c r="U277" s="24">
        <f>IF(Raw_Data!S268="",$C$8,VALUE(Raw_Data!S268))</f>
        <v>400</v>
      </c>
      <c r="V277" s="23" t="str">
        <f>IF(Raw_Data!S268="","Missing-Imputed","Original")</f>
        <v>Original</v>
      </c>
      <c r="W277" s="24">
        <f>Raw_Data!T268</f>
        <v>92</v>
      </c>
      <c r="X277" s="23" t="str">
        <f>IF(ISNUMBER(SEARCH("Y",UPPER(TRIM(Raw_Data!U268)))),"Yes","No")</f>
        <v>Yes</v>
      </c>
      <c r="Y277" s="23" t="str">
        <f>IF(ISNUMBER(SEARCH("Y",UPPER(TRIM(Raw_Data!V268)))),"Yes","No")</f>
        <v>No</v>
      </c>
      <c r="Z277" s="24">
        <f>Raw_Data!W268</f>
        <v>3</v>
      </c>
      <c r="AA277" s="24">
        <f>Raw_Data!X268</f>
        <v>2.6</v>
      </c>
      <c r="AB277" s="23" t="str">
        <f>IF(COUNTIFS(Raw_Data!$A$2:$A$616,Raw_Data!A268)&gt;1,"Duplicate","Unique")</f>
        <v>Unique</v>
      </c>
      <c r="AC277" s="23" t="str">
        <f t="shared" si="14"/>
        <v>Clean</v>
      </c>
    </row>
    <row r="278" spans="1:29" ht="15" customHeight="1">
      <c r="A278" s="25" t="str">
        <f>Raw_Data!A269</f>
        <v>BYJ1268</v>
      </c>
      <c r="B278" s="25" t="str">
        <f>Raw_Data!B269</f>
        <v>Faraj Chana</v>
      </c>
      <c r="C278" s="26">
        <f>IF(OR(Raw_Data!C269="",Raw_Data!C269&lt;$C$5,Raw_Data!C269&gt;$C$6),$C$4,Raw_Data!C269)</f>
        <v>23</v>
      </c>
      <c r="D278" s="25" t="str">
        <f>IF(Raw_Data!C269="","Missing-Imputed",IF(OR(Raw_Data!C269&lt;$C$5,Raw_Data!C269&gt;$C$6),"Outlier-Imputed","Original"))</f>
        <v>Original</v>
      </c>
      <c r="E278" s="25" t="str">
        <f>IF(OR(UPPER(TRIM(Raw_Data!D269))="M",UPPER(TRIM(Raw_Data!D269))="MALE"),"Male","Female")</f>
        <v>Male</v>
      </c>
      <c r="F278" s="25" t="str">
        <f>PROPER(TRIM(Raw_Data!E269))</f>
        <v>Surendranagar Dudhrej</v>
      </c>
      <c r="G278" s="25" t="str">
        <f>PROPER(TRIM(Raw_Data!F269))</f>
        <v>Uttar Pradesh</v>
      </c>
      <c r="H278" s="25" t="str">
        <f>PROPER(TRIM(Raw_Data!G269))</f>
        <v>Jee Prep</v>
      </c>
      <c r="I278" s="25" t="str">
        <f>PROPER(TRIM(Raw_Data!H269))</f>
        <v>Chennai Central</v>
      </c>
      <c r="J278" s="26">
        <f>IF(LEN(TRIM(Raw_Data!I269))=4,VALUE(TRIM(Raw_Data!I269)),IF(ISNUMBER(IFERROR(VALUE(MID(TRIM(Raw_Data!I269),1,4)),"NA")),VALUE(MID(TRIM(Raw_Data!I269),1,4)),VALUE(RIGHT(TRIM(Raw_Data!I269),4))))</f>
        <v>2020</v>
      </c>
      <c r="K278" s="25" t="str">
        <f>PROPER(TRIM(Raw_Data!J269))</f>
        <v>Self-Employed</v>
      </c>
      <c r="L278" s="25" t="str">
        <f t="shared" si="12"/>
        <v>20+</v>
      </c>
      <c r="M278" s="25" t="str">
        <f t="shared" si="13"/>
        <v>Adult Learners</v>
      </c>
      <c r="N278" s="25" t="str">
        <f>IF(ISNUMBER(SEARCH("NON",UPPER(Raw_Data!M269))),"Non-Premium Learner","Premium Learner")</f>
        <v>Non-Premium Learner</v>
      </c>
      <c r="O278" s="25" t="str">
        <f>PROPER(TRIM(Raw_Data!N269))</f>
        <v>Both App &amp; Web</v>
      </c>
      <c r="P278" s="26">
        <f>IF(Raw_Data!O269="",$C$7,Raw_Data!O269)</f>
        <v>6724.15</v>
      </c>
      <c r="Q278" s="25" t="str">
        <f>IF(Raw_Data!O269="","Missing-Imputed","Original")</f>
        <v>Original</v>
      </c>
      <c r="R278" s="26">
        <f>Raw_Data!P269</f>
        <v>79.2</v>
      </c>
      <c r="S278" s="26">
        <f>Raw_Data!Q269</f>
        <v>57089.33</v>
      </c>
      <c r="T278" s="25" t="str">
        <f>IF(Raw_Data!R269="","Unknown",IF(ISNUMBER(SEARCH("ACT",UPPER(Raw_Data!R269))),"Active",IF(ISNUMBER(SEARCH("CLOS",UPPER(Raw_Data!R269))),"Closed","None")))</f>
        <v>Closed</v>
      </c>
      <c r="U278" s="26">
        <f>IF(Raw_Data!S269="",$C$8,VALUE(Raw_Data!S269))</f>
        <v>532</v>
      </c>
      <c r="V278" s="25" t="str">
        <f>IF(Raw_Data!S269="","Missing-Imputed","Original")</f>
        <v>Original</v>
      </c>
      <c r="W278" s="26">
        <f>Raw_Data!T269</f>
        <v>53</v>
      </c>
      <c r="X278" s="25" t="str">
        <f>IF(ISNUMBER(SEARCH("Y",UPPER(TRIM(Raw_Data!U269)))),"Yes","No")</f>
        <v>No</v>
      </c>
      <c r="Y278" s="25" t="str">
        <f>IF(ISNUMBER(SEARCH("Y",UPPER(TRIM(Raw_Data!V269)))),"Yes","No")</f>
        <v>No</v>
      </c>
      <c r="Z278" s="26">
        <f>Raw_Data!W269</f>
        <v>3</v>
      </c>
      <c r="AA278" s="26">
        <f>Raw_Data!X269</f>
        <v>7.2</v>
      </c>
      <c r="AB278" s="25" t="str">
        <f>IF(COUNTIFS(Raw_Data!$A$2:$A$616,Raw_Data!A269)&gt;1,"Duplicate","Unique")</f>
        <v>Unique</v>
      </c>
      <c r="AC278" s="25" t="str">
        <f t="shared" si="14"/>
        <v>Clean</v>
      </c>
    </row>
    <row r="279" spans="1:29" ht="15" customHeight="1">
      <c r="A279" s="23" t="str">
        <f>Raw_Data!A270</f>
        <v>BYJ1269</v>
      </c>
      <c r="B279" s="23" t="str">
        <f>Raw_Data!B270</f>
        <v>Shivani Guha</v>
      </c>
      <c r="C279" s="24">
        <f>IF(OR(Raw_Data!C270="",Raw_Data!C270&lt;$C$5,Raw_Data!C270&gt;$C$6),$C$4,Raw_Data!C270)</f>
        <v>32</v>
      </c>
      <c r="D279" s="23" t="str">
        <f>IF(Raw_Data!C270="","Missing-Imputed",IF(OR(Raw_Data!C270&lt;$C$5,Raw_Data!C270&gt;$C$6),"Outlier-Imputed","Original"))</f>
        <v>Original</v>
      </c>
      <c r="E279" s="23" t="str">
        <f>IF(OR(UPPER(TRIM(Raw_Data!D270))="M",UPPER(TRIM(Raw_Data!D270))="MALE"),"Male","Female")</f>
        <v>Male</v>
      </c>
      <c r="F279" s="23" t="str">
        <f>PROPER(TRIM(Raw_Data!E270))</f>
        <v>Mahbubnagar</v>
      </c>
      <c r="G279" s="23" t="str">
        <f>PROPER(TRIM(Raw_Data!F270))</f>
        <v>Uttar Pradesh</v>
      </c>
      <c r="H279" s="23" t="str">
        <f>PROPER(TRIM(Raw_Data!G270))</f>
        <v>Coding</v>
      </c>
      <c r="I279" s="23" t="str">
        <f>PROPER(TRIM(Raw_Data!H270))</f>
        <v>Pune East</v>
      </c>
      <c r="J279" s="24">
        <f>IF(LEN(TRIM(Raw_Data!I270))=4,VALUE(TRIM(Raw_Data!I270)),IF(ISNUMBER(IFERROR(VALUE(MID(TRIM(Raw_Data!I270),1,4)),"NA")),VALUE(MID(TRIM(Raw_Data!I270),1,4)),VALUE(RIGHT(TRIM(Raw_Data!I270),4))))</f>
        <v>2018</v>
      </c>
      <c r="K279" s="23" t="str">
        <f>PROPER(TRIM(Raw_Data!J270))</f>
        <v>Homemaker</v>
      </c>
      <c r="L279" s="23" t="str">
        <f t="shared" si="12"/>
        <v>20+</v>
      </c>
      <c r="M279" s="23" t="str">
        <f t="shared" si="13"/>
        <v>Adult Learners</v>
      </c>
      <c r="N279" s="23" t="str">
        <f>IF(ISNUMBER(SEARCH("NON",UPPER(Raw_Data!M270))),"Non-Premium Learner","Premium Learner")</f>
        <v>Non-Premium Learner</v>
      </c>
      <c r="O279" s="23" t="str">
        <f>PROPER(TRIM(Raw_Data!N270))</f>
        <v>Both App &amp; Web</v>
      </c>
      <c r="P279" s="24">
        <f>IF(Raw_Data!O270="",$C$7,Raw_Data!O270)</f>
        <v>125973.34</v>
      </c>
      <c r="Q279" s="23" t="str">
        <f>IF(Raw_Data!O270="","Missing-Imputed","Original")</f>
        <v>Original</v>
      </c>
      <c r="R279" s="24">
        <f>Raw_Data!P270</f>
        <v>36.4</v>
      </c>
      <c r="S279" s="24">
        <f>Raw_Data!Q270</f>
        <v>41145.769999999997</v>
      </c>
      <c r="T279" s="23" t="str">
        <f>IF(Raw_Data!R270="","Unknown",IF(ISNUMBER(SEARCH("ACT",UPPER(Raw_Data!R270))),"Active",IF(ISNUMBER(SEARCH("CLOS",UPPER(Raw_Data!R270))),"Closed","None")))</f>
        <v>Closed</v>
      </c>
      <c r="U279" s="24">
        <f>IF(Raw_Data!S270="",$C$8,VALUE(Raw_Data!S270))</f>
        <v>850</v>
      </c>
      <c r="V279" s="23" t="str">
        <f>IF(Raw_Data!S270="","Missing-Imputed","Original")</f>
        <v>Original</v>
      </c>
      <c r="W279" s="24">
        <f>Raw_Data!T270</f>
        <v>150</v>
      </c>
      <c r="X279" s="23" t="str">
        <f>IF(ISNUMBER(SEARCH("Y",UPPER(TRIM(Raw_Data!U270)))),"Yes","No")</f>
        <v>Yes</v>
      </c>
      <c r="Y279" s="23" t="str">
        <f>IF(ISNUMBER(SEARCH("Y",UPPER(TRIM(Raw_Data!V270)))),"Yes","No")</f>
        <v>Yes</v>
      </c>
      <c r="Z279" s="24">
        <f>Raw_Data!W270</f>
        <v>3</v>
      </c>
      <c r="AA279" s="24">
        <f>Raw_Data!X270</f>
        <v>5.3</v>
      </c>
      <c r="AB279" s="23" t="str">
        <f>IF(COUNTIFS(Raw_Data!$A$2:$A$616,Raw_Data!A270)&gt;1,"Duplicate","Unique")</f>
        <v>Unique</v>
      </c>
      <c r="AC279" s="23" t="str">
        <f t="shared" si="14"/>
        <v>Clean</v>
      </c>
    </row>
    <row r="280" spans="1:29" ht="15" customHeight="1">
      <c r="A280" s="25" t="str">
        <f>Raw_Data!A271</f>
        <v>BYJ1270</v>
      </c>
      <c r="B280" s="25" t="str">
        <f>Raw_Data!B271</f>
        <v>Yachana Dora</v>
      </c>
      <c r="C280" s="26">
        <f>IF(OR(Raw_Data!C271="",Raw_Data!C271&lt;$C$5,Raw_Data!C271&gt;$C$6),$C$4,Raw_Data!C271)</f>
        <v>42</v>
      </c>
      <c r="D280" s="25" t="str">
        <f>IF(Raw_Data!C271="","Missing-Imputed",IF(OR(Raw_Data!C271&lt;$C$5,Raw_Data!C271&gt;$C$6),"Outlier-Imputed","Original"))</f>
        <v>Original</v>
      </c>
      <c r="E280" s="25" t="str">
        <f>IF(OR(UPPER(TRIM(Raw_Data!D271))="M",UPPER(TRIM(Raw_Data!D271))="MALE"),"Male","Female")</f>
        <v>Female</v>
      </c>
      <c r="F280" s="25" t="str">
        <f>PROPER(TRIM(Raw_Data!E271))</f>
        <v>Hospet</v>
      </c>
      <c r="G280" s="25" t="str">
        <f>PROPER(TRIM(Raw_Data!F271))</f>
        <v>West Bengal</v>
      </c>
      <c r="H280" s="25" t="str">
        <f>PROPER(TRIM(Raw_Data!G271))</f>
        <v>Mathematics</v>
      </c>
      <c r="I280" s="25" t="str">
        <f>PROPER(TRIM(Raw_Data!H271))</f>
        <v>Jaipur Center</v>
      </c>
      <c r="J280" s="26">
        <f>IF(LEN(TRIM(Raw_Data!I271))=4,VALUE(TRIM(Raw_Data!I271)),IF(ISNUMBER(IFERROR(VALUE(MID(TRIM(Raw_Data!I271),1,4)),"NA")),VALUE(MID(TRIM(Raw_Data!I271),1,4)),VALUE(RIGHT(TRIM(Raw_Data!I271),4))))</f>
        <v>2022</v>
      </c>
      <c r="K280" s="25" t="str">
        <f>PROPER(TRIM(Raw_Data!J271))</f>
        <v>Homemaker</v>
      </c>
      <c r="L280" s="25" t="str">
        <f t="shared" si="12"/>
        <v>20+</v>
      </c>
      <c r="M280" s="25" t="str">
        <f t="shared" si="13"/>
        <v>Adult Learners</v>
      </c>
      <c r="N280" s="25" t="str">
        <f>IF(ISNUMBER(SEARCH("NON",UPPER(Raw_Data!M271))),"Non-Premium Learner","Premium Learner")</f>
        <v>Non-Premium Learner</v>
      </c>
      <c r="O280" s="25" t="str">
        <f>PROPER(TRIM(Raw_Data!N271))</f>
        <v>Web Only</v>
      </c>
      <c r="P280" s="26">
        <f>IF(Raw_Data!O271="",$C$7,Raw_Data!O271)</f>
        <v>18520.02</v>
      </c>
      <c r="Q280" s="25" t="str">
        <f>IF(Raw_Data!O271="","Missing-Imputed","Original")</f>
        <v>Original</v>
      </c>
      <c r="R280" s="26">
        <f>Raw_Data!P271</f>
        <v>46.5</v>
      </c>
      <c r="S280" s="26">
        <f>Raw_Data!Q271</f>
        <v>1923.55</v>
      </c>
      <c r="T280" s="25" t="str">
        <f>IF(Raw_Data!R271="","Unknown",IF(ISNUMBER(SEARCH("ACT",UPPER(Raw_Data!R271))),"Active",IF(ISNUMBER(SEARCH("CLOS",UPPER(Raw_Data!R271))),"Closed","None")))</f>
        <v>Unknown</v>
      </c>
      <c r="U280" s="26">
        <f>IF(Raw_Data!S271="",$C$8,VALUE(Raw_Data!S271))</f>
        <v>800</v>
      </c>
      <c r="V280" s="25" t="str">
        <f>IF(Raw_Data!S271="","Missing-Imputed","Original")</f>
        <v>Original</v>
      </c>
      <c r="W280" s="26">
        <f>Raw_Data!T271</f>
        <v>50</v>
      </c>
      <c r="X280" s="25" t="str">
        <f>IF(ISNUMBER(SEARCH("Y",UPPER(TRIM(Raw_Data!U271)))),"Yes","No")</f>
        <v>Yes</v>
      </c>
      <c r="Y280" s="25" t="str">
        <f>IF(ISNUMBER(SEARCH("Y",UPPER(TRIM(Raw_Data!V271)))),"Yes","No")</f>
        <v>No</v>
      </c>
      <c r="Z280" s="26">
        <f>Raw_Data!W271</f>
        <v>2</v>
      </c>
      <c r="AA280" s="26">
        <f>Raw_Data!X271</f>
        <v>3</v>
      </c>
      <c r="AB280" s="25" t="str">
        <f>IF(COUNTIFS(Raw_Data!$A$2:$A$616,Raw_Data!A271)&gt;1,"Duplicate","Unique")</f>
        <v>Unique</v>
      </c>
      <c r="AC280" s="25" t="str">
        <f t="shared" si="14"/>
        <v>Clean</v>
      </c>
    </row>
    <row r="281" spans="1:29" ht="15" customHeight="1">
      <c r="A281" s="23" t="str">
        <f>Raw_Data!A272</f>
        <v>BYJ1271</v>
      </c>
      <c r="B281" s="23" t="str">
        <f>Raw_Data!B272</f>
        <v>Hemal Chad</v>
      </c>
      <c r="C281" s="24">
        <f>IF(OR(Raw_Data!C272="",Raw_Data!C272&lt;$C$5,Raw_Data!C272&gt;$C$6),$C$4,Raw_Data!C272)</f>
        <v>29</v>
      </c>
      <c r="D281" s="23" t="str">
        <f>IF(Raw_Data!C272="","Missing-Imputed",IF(OR(Raw_Data!C272&lt;$C$5,Raw_Data!C272&gt;$C$6),"Outlier-Imputed","Original"))</f>
        <v>Original</v>
      </c>
      <c r="E281" s="23" t="str">
        <f>IF(OR(UPPER(TRIM(Raw_Data!D272))="M",UPPER(TRIM(Raw_Data!D272))="MALE"),"Male","Female")</f>
        <v>Male</v>
      </c>
      <c r="F281" s="23" t="str">
        <f>PROPER(TRIM(Raw_Data!E272))</f>
        <v>Thane</v>
      </c>
      <c r="G281" s="23" t="str">
        <f>PROPER(TRIM(Raw_Data!F272))</f>
        <v>West Bengal</v>
      </c>
      <c r="H281" s="23" t="str">
        <f>PROPER(TRIM(Raw_Data!G272))</f>
        <v>Robotics</v>
      </c>
      <c r="I281" s="23" t="str">
        <f>PROPER(TRIM(Raw_Data!H272))</f>
        <v>Mumbai West</v>
      </c>
      <c r="J281" s="24">
        <f>IF(LEN(TRIM(Raw_Data!I272))=4,VALUE(TRIM(Raw_Data!I272)),IF(ISNUMBER(IFERROR(VALUE(MID(TRIM(Raw_Data!I272),1,4)),"NA")),VALUE(MID(TRIM(Raw_Data!I272),1,4)),VALUE(RIGHT(TRIM(Raw_Data!I272),4))))</f>
        <v>2017</v>
      </c>
      <c r="K281" s="23" t="str">
        <f>PROPER(TRIM(Raw_Data!J272))</f>
        <v>Self-Employed</v>
      </c>
      <c r="L281" s="23" t="str">
        <f t="shared" si="12"/>
        <v>20+</v>
      </c>
      <c r="M281" s="23" t="str">
        <f t="shared" si="13"/>
        <v>Adult Learners</v>
      </c>
      <c r="N281" s="23" t="str">
        <f>IF(ISNUMBER(SEARCH("NON",UPPER(Raw_Data!M272))),"Non-Premium Learner","Premium Learner")</f>
        <v>Non-Premium Learner</v>
      </c>
      <c r="O281" s="23" t="str">
        <f>PROPER(TRIM(Raw_Data!N272))</f>
        <v>App Only</v>
      </c>
      <c r="P281" s="24">
        <f>IF(Raw_Data!O272="",$C$7,Raw_Data!O272)</f>
        <v>23840.18</v>
      </c>
      <c r="Q281" s="23" t="str">
        <f>IF(Raw_Data!O272="","Missing-Imputed","Original")</f>
        <v>Original</v>
      </c>
      <c r="R281" s="24">
        <f>Raw_Data!P272</f>
        <v>37.4</v>
      </c>
      <c r="S281" s="24">
        <f>Raw_Data!Q272</f>
        <v>42580.3</v>
      </c>
      <c r="T281" s="23" t="str">
        <f>IF(Raw_Data!R272="","Unknown",IF(ISNUMBER(SEARCH("ACT",UPPER(Raw_Data!R272))),"Active",IF(ISNUMBER(SEARCH("CLOS",UPPER(Raw_Data!R272))),"Closed","None")))</f>
        <v>Closed</v>
      </c>
      <c r="U281" s="24">
        <f>IF(Raw_Data!S272="",$C$8,VALUE(Raw_Data!S272))</f>
        <v>888</v>
      </c>
      <c r="V281" s="23" t="str">
        <f>IF(Raw_Data!S272="","Missing-Imputed","Original")</f>
        <v>Original</v>
      </c>
      <c r="W281" s="24">
        <f>Raw_Data!T272</f>
        <v>150</v>
      </c>
      <c r="X281" s="23" t="str">
        <f>IF(ISNUMBER(SEARCH("Y",UPPER(TRIM(Raw_Data!U272)))),"Yes","No")</f>
        <v>Yes</v>
      </c>
      <c r="Y281" s="23" t="str">
        <f>IF(ISNUMBER(SEARCH("Y",UPPER(TRIM(Raw_Data!V272)))),"Yes","No")</f>
        <v>No</v>
      </c>
      <c r="Z281" s="24">
        <f>Raw_Data!W272</f>
        <v>1</v>
      </c>
      <c r="AA281" s="24">
        <f>Raw_Data!X272</f>
        <v>8.9</v>
      </c>
      <c r="AB281" s="23" t="str">
        <f>IF(COUNTIFS(Raw_Data!$A$2:$A$616,Raw_Data!A272)&gt;1,"Duplicate","Unique")</f>
        <v>Unique</v>
      </c>
      <c r="AC281" s="23" t="str">
        <f t="shared" si="14"/>
        <v>Clean</v>
      </c>
    </row>
    <row r="282" spans="1:29" ht="15" customHeight="1">
      <c r="A282" s="25" t="str">
        <f>Raw_Data!A273</f>
        <v>BYJ1272</v>
      </c>
      <c r="B282" s="25" t="str">
        <f>Raw_Data!B273</f>
        <v>Raksha Sarna</v>
      </c>
      <c r="C282" s="26">
        <f>IF(OR(Raw_Data!C273="",Raw_Data!C273&lt;$C$5,Raw_Data!C273&gt;$C$6),$C$4,Raw_Data!C273)</f>
        <v>44</v>
      </c>
      <c r="D282" s="25" t="str">
        <f>IF(Raw_Data!C273="","Missing-Imputed",IF(OR(Raw_Data!C273&lt;$C$5,Raw_Data!C273&gt;$C$6),"Outlier-Imputed","Original"))</f>
        <v>Original</v>
      </c>
      <c r="E282" s="25" t="str">
        <f>IF(OR(UPPER(TRIM(Raw_Data!D273))="M",UPPER(TRIM(Raw_Data!D273))="MALE"),"Male","Female")</f>
        <v>Male</v>
      </c>
      <c r="F282" s="25" t="str">
        <f>PROPER(TRIM(Raw_Data!E273))</f>
        <v>Bharatpur</v>
      </c>
      <c r="G282" s="25" t="str">
        <f>PROPER(TRIM(Raw_Data!F273))</f>
        <v>Kerala</v>
      </c>
      <c r="H282" s="25" t="str">
        <f>PROPER(TRIM(Raw_Data!G273))</f>
        <v>Spoken English</v>
      </c>
      <c r="I282" s="25" t="str">
        <f>PROPER(TRIM(Raw_Data!H273))</f>
        <v>Ahmedabad Center</v>
      </c>
      <c r="J282" s="26">
        <f>IF(LEN(TRIM(Raw_Data!I273))=4,VALUE(TRIM(Raw_Data!I273)),IF(ISNUMBER(IFERROR(VALUE(MID(TRIM(Raw_Data!I273),1,4)),"NA")),VALUE(MID(TRIM(Raw_Data!I273),1,4)),VALUE(RIGHT(TRIM(Raw_Data!I273),4))))</f>
        <v>2023</v>
      </c>
      <c r="K282" s="25" t="str">
        <f>PROPER(TRIM(Raw_Data!J273))</f>
        <v>Homemaker</v>
      </c>
      <c r="L282" s="25" t="str">
        <f t="shared" si="12"/>
        <v>20+</v>
      </c>
      <c r="M282" s="25" t="str">
        <f t="shared" si="13"/>
        <v>Adult Learners</v>
      </c>
      <c r="N282" s="25" t="str">
        <f>IF(ISNUMBER(SEARCH("NON",UPPER(Raw_Data!M273))),"Non-Premium Learner","Premium Learner")</f>
        <v>Non-Premium Learner</v>
      </c>
      <c r="O282" s="25" t="str">
        <f>PROPER(TRIM(Raw_Data!N273))</f>
        <v>Web Only</v>
      </c>
      <c r="P282" s="26">
        <f>IF(Raw_Data!O273="",$C$7,Raw_Data!O273)</f>
        <v>106545.9</v>
      </c>
      <c r="Q282" s="25" t="str">
        <f>IF(Raw_Data!O273="","Missing-Imputed","Original")</f>
        <v>Original</v>
      </c>
      <c r="R282" s="26">
        <f>Raw_Data!P273</f>
        <v>27.3</v>
      </c>
      <c r="S282" s="26">
        <f>Raw_Data!Q273</f>
        <v>36781.65</v>
      </c>
      <c r="T282" s="25" t="str">
        <f>IF(Raw_Data!R273="","Unknown",IF(ISNUMBER(SEARCH("ACT",UPPER(Raw_Data!R273))),"Active",IF(ISNUMBER(SEARCH("CLOS",UPPER(Raw_Data!R273))),"Closed","None")))</f>
        <v>Active</v>
      </c>
      <c r="U282" s="26">
        <f>IF(Raw_Data!S273="",$C$8,VALUE(Raw_Data!S273))</f>
        <v>555</v>
      </c>
      <c r="V282" s="25" t="str">
        <f>IF(Raw_Data!S273="","Missing-Imputed","Original")</f>
        <v>Original</v>
      </c>
      <c r="W282" s="26">
        <f>Raw_Data!T273</f>
        <v>158</v>
      </c>
      <c r="X282" s="25" t="str">
        <f>IF(ISNUMBER(SEARCH("Y",UPPER(TRIM(Raw_Data!U273)))),"Yes","No")</f>
        <v>No</v>
      </c>
      <c r="Y282" s="25" t="str">
        <f>IF(ISNUMBER(SEARCH("Y",UPPER(TRIM(Raw_Data!V273)))),"Yes","No")</f>
        <v>No</v>
      </c>
      <c r="Z282" s="26">
        <f>Raw_Data!W273</f>
        <v>5</v>
      </c>
      <c r="AA282" s="26">
        <f>Raw_Data!X273</f>
        <v>1.3</v>
      </c>
      <c r="AB282" s="25" t="str">
        <f>IF(COUNTIFS(Raw_Data!$A$2:$A$616,Raw_Data!A273)&gt;1,"Duplicate","Unique")</f>
        <v>Unique</v>
      </c>
      <c r="AC282" s="25" t="str">
        <f t="shared" si="14"/>
        <v>Clean</v>
      </c>
    </row>
    <row r="283" spans="1:29" ht="15" customHeight="1">
      <c r="A283" s="23" t="str">
        <f>Raw_Data!A274</f>
        <v>BYJ1273</v>
      </c>
      <c r="B283" s="23" t="str">
        <f>Raw_Data!B274</f>
        <v>Barkha Ram</v>
      </c>
      <c r="C283" s="24">
        <f>IF(OR(Raw_Data!C274="",Raw_Data!C274&lt;$C$5,Raw_Data!C274&gt;$C$6),$C$4,Raw_Data!C274)</f>
        <v>24</v>
      </c>
      <c r="D283" s="23" t="str">
        <f>IF(Raw_Data!C274="","Missing-Imputed",IF(OR(Raw_Data!C274&lt;$C$5,Raw_Data!C274&gt;$C$6),"Outlier-Imputed","Original"))</f>
        <v>Outlier-Imputed</v>
      </c>
      <c r="E283" s="23" t="str">
        <f>IF(OR(UPPER(TRIM(Raw_Data!D274))="M",UPPER(TRIM(Raw_Data!D274))="MALE"),"Male","Female")</f>
        <v>Female</v>
      </c>
      <c r="F283" s="23" t="str">
        <f>PROPER(TRIM(Raw_Data!E274))</f>
        <v>Sonipat</v>
      </c>
      <c r="G283" s="23" t="str">
        <f>PROPER(TRIM(Raw_Data!F274))</f>
        <v>Karnataka</v>
      </c>
      <c r="H283" s="23" t="str">
        <f>PROPER(TRIM(Raw_Data!G274))</f>
        <v>English</v>
      </c>
      <c r="I283" s="23" t="str">
        <f>PROPER(TRIM(Raw_Data!H274))</f>
        <v>Ahmedabad Center</v>
      </c>
      <c r="J283" s="24">
        <f>IF(LEN(TRIM(Raw_Data!I274))=4,VALUE(TRIM(Raw_Data!I274)),IF(ISNUMBER(IFERROR(VALUE(MID(TRIM(Raw_Data!I274),1,4)),"NA")),VALUE(MID(TRIM(Raw_Data!I274),1,4)),VALUE(RIGHT(TRIM(Raw_Data!I274),4))))</f>
        <v>2022</v>
      </c>
      <c r="K283" s="23" t="str">
        <f>PROPER(TRIM(Raw_Data!J274))</f>
        <v>Salaried</v>
      </c>
      <c r="L283" s="23" t="str">
        <f t="shared" si="12"/>
        <v>20+</v>
      </c>
      <c r="M283" s="23" t="str">
        <f t="shared" si="13"/>
        <v>Adult Learners</v>
      </c>
      <c r="N283" s="23" t="str">
        <f>IF(ISNUMBER(SEARCH("NON",UPPER(Raw_Data!M274))),"Non-Premium Learner","Premium Learner")</f>
        <v>Non-Premium Learner</v>
      </c>
      <c r="O283" s="23" t="str">
        <f>PROPER(TRIM(Raw_Data!N274))</f>
        <v>Web Only</v>
      </c>
      <c r="P283" s="24">
        <f>IF(Raw_Data!O274="",$C$7,Raw_Data!O274)</f>
        <v>64463.93</v>
      </c>
      <c r="Q283" s="23" t="str">
        <f>IF(Raw_Data!O274="","Missing-Imputed","Original")</f>
        <v>Original</v>
      </c>
      <c r="R283" s="24">
        <f>Raw_Data!P274</f>
        <v>20.6</v>
      </c>
      <c r="S283" s="24">
        <f>Raw_Data!Q274</f>
        <v>2678.11</v>
      </c>
      <c r="T283" s="23" t="str">
        <f>IF(Raw_Data!R274="","Unknown",IF(ISNUMBER(SEARCH("ACT",UPPER(Raw_Data!R274))),"Active",IF(ISNUMBER(SEARCH("CLOS",UPPER(Raw_Data!R274))),"Closed","None")))</f>
        <v>Active</v>
      </c>
      <c r="U283" s="24">
        <f>IF(Raw_Data!S274="",$C$8,VALUE(Raw_Data!S274))</f>
        <v>772</v>
      </c>
      <c r="V283" s="23" t="str">
        <f>IF(Raw_Data!S274="","Missing-Imputed","Original")</f>
        <v>Original</v>
      </c>
      <c r="W283" s="24">
        <f>Raw_Data!T274</f>
        <v>190</v>
      </c>
      <c r="X283" s="23" t="str">
        <f>IF(ISNUMBER(SEARCH("Y",UPPER(TRIM(Raw_Data!U274)))),"Yes","No")</f>
        <v>No</v>
      </c>
      <c r="Y283" s="23" t="str">
        <f>IF(ISNUMBER(SEARCH("Y",UPPER(TRIM(Raw_Data!V274)))),"Yes","No")</f>
        <v>No</v>
      </c>
      <c r="Z283" s="24">
        <f>Raw_Data!W274</f>
        <v>1</v>
      </c>
      <c r="AA283" s="24">
        <f>Raw_Data!X274</f>
        <v>2.6</v>
      </c>
      <c r="AB283" s="23" t="str">
        <f>IF(COUNTIFS(Raw_Data!$A$2:$A$616,Raw_Data!A274)&gt;1,"Duplicate","Unique")</f>
        <v>Unique</v>
      </c>
      <c r="AC283" s="23" t="str">
        <f t="shared" si="14"/>
        <v>Imputed</v>
      </c>
    </row>
    <row r="284" spans="1:29" ht="15" customHeight="1">
      <c r="A284" s="25" t="str">
        <f>Raw_Data!A275</f>
        <v>BYJ1274</v>
      </c>
      <c r="B284" s="25" t="str">
        <f>Raw_Data!B275</f>
        <v>Gaurika Bhatti</v>
      </c>
      <c r="C284" s="26">
        <f>IF(OR(Raw_Data!C275="",Raw_Data!C275&lt;$C$5,Raw_Data!C275&gt;$C$6),$C$4,Raw_Data!C275)</f>
        <v>35</v>
      </c>
      <c r="D284" s="25" t="str">
        <f>IF(Raw_Data!C275="","Missing-Imputed",IF(OR(Raw_Data!C275&lt;$C$5,Raw_Data!C275&gt;$C$6),"Outlier-Imputed","Original"))</f>
        <v>Original</v>
      </c>
      <c r="E284" s="25" t="str">
        <f>IF(OR(UPPER(TRIM(Raw_Data!D275))="M",UPPER(TRIM(Raw_Data!D275))="MALE"),"Male","Female")</f>
        <v>Female</v>
      </c>
      <c r="F284" s="25" t="str">
        <f>PROPER(TRIM(Raw_Data!E275))</f>
        <v>Bareilly</v>
      </c>
      <c r="G284" s="25" t="str">
        <f>PROPER(TRIM(Raw_Data!F275))</f>
        <v>Uttar Pradesh</v>
      </c>
      <c r="H284" s="25" t="str">
        <f>PROPER(TRIM(Raw_Data!G275))</f>
        <v>English</v>
      </c>
      <c r="I284" s="25" t="str">
        <f>PROPER(TRIM(Raw_Data!H275))</f>
        <v>Ahmedabad Center</v>
      </c>
      <c r="J284" s="26">
        <f>IF(LEN(TRIM(Raw_Data!I275))=4,VALUE(TRIM(Raw_Data!I275)),IF(ISNUMBER(IFERROR(VALUE(MID(TRIM(Raw_Data!I275),1,4)),"NA")),VALUE(MID(TRIM(Raw_Data!I275),1,4)),VALUE(RIGHT(TRIM(Raw_Data!I275),4))))</f>
        <v>2018</v>
      </c>
      <c r="K284" s="25" t="str">
        <f>PROPER(TRIM(Raw_Data!J275))</f>
        <v>Business</v>
      </c>
      <c r="L284" s="25" t="str">
        <f t="shared" si="12"/>
        <v>20+</v>
      </c>
      <c r="M284" s="25" t="str">
        <f t="shared" si="13"/>
        <v>Adult Learners</v>
      </c>
      <c r="N284" s="25" t="str">
        <f>IF(ISNUMBER(SEARCH("NON",UPPER(Raw_Data!M275))),"Non-Premium Learner","Premium Learner")</f>
        <v>Premium Learner</v>
      </c>
      <c r="O284" s="25" t="str">
        <f>PROPER(TRIM(Raw_Data!N275))</f>
        <v>App Only</v>
      </c>
      <c r="P284" s="26">
        <f>IF(Raw_Data!O275="",$C$7,Raw_Data!O275)</f>
        <v>30699.31</v>
      </c>
      <c r="Q284" s="25" t="str">
        <f>IF(Raw_Data!O275="","Missing-Imputed","Original")</f>
        <v>Original</v>
      </c>
      <c r="R284" s="26">
        <f>Raw_Data!P275</f>
        <v>60.6</v>
      </c>
      <c r="S284" s="26">
        <f>Raw_Data!Q275</f>
        <v>10107.200000000001</v>
      </c>
      <c r="T284" s="25" t="str">
        <f>IF(Raw_Data!R275="","Unknown",IF(ISNUMBER(SEARCH("ACT",UPPER(Raw_Data!R275))),"Active",IF(ISNUMBER(SEARCH("CLOS",UPPER(Raw_Data!R275))),"Closed","None")))</f>
        <v>None</v>
      </c>
      <c r="U284" s="26">
        <f>IF(Raw_Data!S275="",$C$8,VALUE(Raw_Data!S275))</f>
        <v>579</v>
      </c>
      <c r="V284" s="25" t="str">
        <f>IF(Raw_Data!S275="","Missing-Imputed","Original")</f>
        <v>Original</v>
      </c>
      <c r="W284" s="26">
        <f>Raw_Data!T275</f>
        <v>91</v>
      </c>
      <c r="X284" s="25" t="str">
        <f>IF(ISNUMBER(SEARCH("Y",UPPER(TRIM(Raw_Data!U275)))),"Yes","No")</f>
        <v>Yes</v>
      </c>
      <c r="Y284" s="25" t="str">
        <f>IF(ISNUMBER(SEARCH("Y",UPPER(TRIM(Raw_Data!V275)))),"Yes","No")</f>
        <v>Yes</v>
      </c>
      <c r="Z284" s="26">
        <f>Raw_Data!W275</f>
        <v>4</v>
      </c>
      <c r="AA284" s="26">
        <f>Raw_Data!X275</f>
        <v>6.4</v>
      </c>
      <c r="AB284" s="25" t="str">
        <f>IF(COUNTIFS(Raw_Data!$A$2:$A$616,Raw_Data!A275)&gt;1,"Duplicate","Unique")</f>
        <v>Unique</v>
      </c>
      <c r="AC284" s="25" t="str">
        <f t="shared" si="14"/>
        <v>Clean</v>
      </c>
    </row>
    <row r="285" spans="1:29" ht="15" customHeight="1">
      <c r="A285" s="23" t="str">
        <f>Raw_Data!A276</f>
        <v>BYJ1275</v>
      </c>
      <c r="B285" s="23" t="str">
        <f>Raw_Data!B276</f>
        <v>Bhanumati Krishnan</v>
      </c>
      <c r="C285" s="24">
        <f>IF(OR(Raw_Data!C276="",Raw_Data!C276&lt;$C$5,Raw_Data!C276&gt;$C$6),$C$4,Raw_Data!C276)</f>
        <v>12</v>
      </c>
      <c r="D285" s="23" t="str">
        <f>IF(Raw_Data!C276="","Missing-Imputed",IF(OR(Raw_Data!C276&lt;$C$5,Raw_Data!C276&gt;$C$6),"Outlier-Imputed","Original"))</f>
        <v>Original</v>
      </c>
      <c r="E285" s="23" t="str">
        <f>IF(OR(UPPER(TRIM(Raw_Data!D276))="M",UPPER(TRIM(Raw_Data!D276))="MALE"),"Male","Female")</f>
        <v>Female</v>
      </c>
      <c r="F285" s="23" t="str">
        <f>PROPER(TRIM(Raw_Data!E276))</f>
        <v>Thoothukudi</v>
      </c>
      <c r="G285" s="23" t="str">
        <f>PROPER(TRIM(Raw_Data!F276))</f>
        <v>Kerala</v>
      </c>
      <c r="H285" s="23" t="str">
        <f>PROPER(TRIM(Raw_Data!G276))</f>
        <v>Coding</v>
      </c>
      <c r="I285" s="23" t="str">
        <f>PROPER(TRIM(Raw_Data!H276))</f>
        <v>Chennai Central</v>
      </c>
      <c r="J285" s="24">
        <f>IF(LEN(TRIM(Raw_Data!I276))=4,VALUE(TRIM(Raw_Data!I276)),IF(ISNUMBER(IFERROR(VALUE(MID(TRIM(Raw_Data!I276),1,4)),"NA")),VALUE(MID(TRIM(Raw_Data!I276),1,4)),VALUE(RIGHT(TRIM(Raw_Data!I276),4))))</f>
        <v>2022</v>
      </c>
      <c r="K285" s="23" t="str">
        <f>PROPER(TRIM(Raw_Data!J276))</f>
        <v>Business</v>
      </c>
      <c r="L285" s="23" t="str">
        <f t="shared" si="12"/>
        <v>10-13</v>
      </c>
      <c r="M285" s="23" t="str">
        <f t="shared" si="13"/>
        <v>Kids</v>
      </c>
      <c r="N285" s="23" t="str">
        <f>IF(ISNUMBER(SEARCH("NON",UPPER(Raw_Data!M276))),"Non-Premium Learner","Premium Learner")</f>
        <v>Premium Learner</v>
      </c>
      <c r="O285" s="23" t="str">
        <f>PROPER(TRIM(Raw_Data!N276))</f>
        <v>App Only</v>
      </c>
      <c r="P285" s="24">
        <f>IF(Raw_Data!O276="",$C$7,Raw_Data!O276)</f>
        <v>148447.14000000001</v>
      </c>
      <c r="Q285" s="23" t="str">
        <f>IF(Raw_Data!O276="","Missing-Imputed","Original")</f>
        <v>Original</v>
      </c>
      <c r="R285" s="24">
        <f>Raw_Data!P276</f>
        <v>19.399999999999999</v>
      </c>
      <c r="S285" s="24">
        <f>Raw_Data!Q276</f>
        <v>40136.97</v>
      </c>
      <c r="T285" s="23" t="str">
        <f>IF(Raw_Data!R276="","Unknown",IF(ISNUMBER(SEARCH("ACT",UPPER(Raw_Data!R276))),"Active",IF(ISNUMBER(SEARCH("CLOS",UPPER(Raw_Data!R276))),"Closed","None")))</f>
        <v>Active</v>
      </c>
      <c r="U285" s="24">
        <f>IF(Raw_Data!S276="",$C$8,VALUE(Raw_Data!S276))</f>
        <v>471</v>
      </c>
      <c r="V285" s="23" t="str">
        <f>IF(Raw_Data!S276="","Missing-Imputed","Original")</f>
        <v>Original</v>
      </c>
      <c r="W285" s="24">
        <f>Raw_Data!T276</f>
        <v>11</v>
      </c>
      <c r="X285" s="23" t="str">
        <f>IF(ISNUMBER(SEARCH("Y",UPPER(TRIM(Raw_Data!U276)))),"Yes","No")</f>
        <v>No</v>
      </c>
      <c r="Y285" s="23" t="str">
        <f>IF(ISNUMBER(SEARCH("Y",UPPER(TRIM(Raw_Data!V276)))),"Yes","No")</f>
        <v>No</v>
      </c>
      <c r="Z285" s="24">
        <f>Raw_Data!W276</f>
        <v>5</v>
      </c>
      <c r="AA285" s="24">
        <f>Raw_Data!X276</f>
        <v>5.8</v>
      </c>
      <c r="AB285" s="23" t="str">
        <f>IF(COUNTIFS(Raw_Data!$A$2:$A$616,Raw_Data!A276)&gt;1,"Duplicate","Unique")</f>
        <v>Unique</v>
      </c>
      <c r="AC285" s="23" t="str">
        <f t="shared" si="14"/>
        <v>Clean</v>
      </c>
    </row>
    <row r="286" spans="1:29" ht="15" customHeight="1">
      <c r="A286" s="25" t="str">
        <f>Raw_Data!A277</f>
        <v>BYJ1276</v>
      </c>
      <c r="B286" s="25" t="str">
        <f>Raw_Data!B277</f>
        <v>Lohit Palla</v>
      </c>
      <c r="C286" s="26">
        <f>IF(OR(Raw_Data!C277="",Raw_Data!C277&lt;$C$5,Raw_Data!C277&gt;$C$6),$C$4,Raw_Data!C277)</f>
        <v>31</v>
      </c>
      <c r="D286" s="25" t="str">
        <f>IF(Raw_Data!C277="","Missing-Imputed",IF(OR(Raw_Data!C277&lt;$C$5,Raw_Data!C277&gt;$C$6),"Outlier-Imputed","Original"))</f>
        <v>Original</v>
      </c>
      <c r="E286" s="25" t="str">
        <f>IF(OR(UPPER(TRIM(Raw_Data!D277))="M",UPPER(TRIM(Raw_Data!D277))="MALE"),"Male","Female")</f>
        <v>Female</v>
      </c>
      <c r="F286" s="25" t="str">
        <f>PROPER(TRIM(Raw_Data!E277))</f>
        <v>Katni</v>
      </c>
      <c r="G286" s="25" t="str">
        <f>PROPER(TRIM(Raw_Data!F277))</f>
        <v>Karnataka</v>
      </c>
      <c r="H286" s="25" t="str">
        <f>PROPER(TRIM(Raw_Data!G277))</f>
        <v>Neet Prep</v>
      </c>
      <c r="I286" s="25" t="str">
        <f>PROPER(TRIM(Raw_Data!H277))</f>
        <v>Pune East</v>
      </c>
      <c r="J286" s="26">
        <f>IF(LEN(TRIM(Raw_Data!I277))=4,VALUE(TRIM(Raw_Data!I277)),IF(ISNUMBER(IFERROR(VALUE(MID(TRIM(Raw_Data!I277),1,4)),"NA")),VALUE(MID(TRIM(Raw_Data!I277),1,4)),VALUE(RIGHT(TRIM(Raw_Data!I277),4))))</f>
        <v>2018</v>
      </c>
      <c r="K286" s="25" t="str">
        <f>PROPER(TRIM(Raw_Data!J277))</f>
        <v>Salaried</v>
      </c>
      <c r="L286" s="25" t="str">
        <f t="shared" si="12"/>
        <v>20+</v>
      </c>
      <c r="M286" s="25" t="str">
        <f t="shared" si="13"/>
        <v>Adult Learners</v>
      </c>
      <c r="N286" s="25" t="str">
        <f>IF(ISNUMBER(SEARCH("NON",UPPER(Raw_Data!M277))),"Non-Premium Learner","Premium Learner")</f>
        <v>Non-Premium Learner</v>
      </c>
      <c r="O286" s="25" t="str">
        <f>PROPER(TRIM(Raw_Data!N277))</f>
        <v>App Only</v>
      </c>
      <c r="P286" s="26">
        <f>IF(Raw_Data!O277="",$C$7,Raw_Data!O277)</f>
        <v>100404.45</v>
      </c>
      <c r="Q286" s="25" t="str">
        <f>IF(Raw_Data!O277="","Missing-Imputed","Original")</f>
        <v>Original</v>
      </c>
      <c r="R286" s="26">
        <f>Raw_Data!P277</f>
        <v>51.8</v>
      </c>
      <c r="S286" s="26">
        <f>Raw_Data!Q277</f>
        <v>2636.34</v>
      </c>
      <c r="T286" s="25" t="str">
        <f>IF(Raw_Data!R277="","Unknown",IF(ISNUMBER(SEARCH("ACT",UPPER(Raw_Data!R277))),"Active",IF(ISNUMBER(SEARCH("CLOS",UPPER(Raw_Data!R277))),"Closed","None")))</f>
        <v>Active</v>
      </c>
      <c r="U286" s="26">
        <f>IF(Raw_Data!S277="",$C$8,VALUE(Raw_Data!S277))</f>
        <v>608</v>
      </c>
      <c r="V286" s="25" t="str">
        <f>IF(Raw_Data!S277="","Missing-Imputed","Original")</f>
        <v>Original</v>
      </c>
      <c r="W286" s="26">
        <f>Raw_Data!T277</f>
        <v>127</v>
      </c>
      <c r="X286" s="25" t="str">
        <f>IF(ISNUMBER(SEARCH("Y",UPPER(TRIM(Raw_Data!U277)))),"Yes","No")</f>
        <v>Yes</v>
      </c>
      <c r="Y286" s="25" t="str">
        <f>IF(ISNUMBER(SEARCH("Y",UPPER(TRIM(Raw_Data!V277)))),"Yes","No")</f>
        <v>No</v>
      </c>
      <c r="Z286" s="26">
        <f>Raw_Data!W277</f>
        <v>5</v>
      </c>
      <c r="AA286" s="26">
        <f>Raw_Data!X277</f>
        <v>3.3</v>
      </c>
      <c r="AB286" s="25" t="str">
        <f>IF(COUNTIFS(Raw_Data!$A$2:$A$616,Raw_Data!A277)&gt;1,"Duplicate","Unique")</f>
        <v>Unique</v>
      </c>
      <c r="AC286" s="25" t="str">
        <f t="shared" si="14"/>
        <v>Clean</v>
      </c>
    </row>
    <row r="287" spans="1:29" ht="15" customHeight="1">
      <c r="A287" s="23" t="str">
        <f>Raw_Data!A278</f>
        <v>BYJ1277</v>
      </c>
      <c r="B287" s="23" t="str">
        <f>Raw_Data!B278</f>
        <v>Frado Mukherjee</v>
      </c>
      <c r="C287" s="24">
        <f>IF(OR(Raw_Data!C278="",Raw_Data!C278&lt;$C$5,Raw_Data!C278&gt;$C$6),$C$4,Raw_Data!C278)</f>
        <v>14</v>
      </c>
      <c r="D287" s="23" t="str">
        <f>IF(Raw_Data!C278="","Missing-Imputed",IF(OR(Raw_Data!C278&lt;$C$5,Raw_Data!C278&gt;$C$6),"Outlier-Imputed","Original"))</f>
        <v>Original</v>
      </c>
      <c r="E287" s="23" t="str">
        <f>IF(OR(UPPER(TRIM(Raw_Data!D278))="M",UPPER(TRIM(Raw_Data!D278))="MALE"),"Male","Female")</f>
        <v>Female</v>
      </c>
      <c r="F287" s="23" t="str">
        <f>PROPER(TRIM(Raw_Data!E278))</f>
        <v>Ozhukarai</v>
      </c>
      <c r="G287" s="23" t="str">
        <f>PROPER(TRIM(Raw_Data!F278))</f>
        <v>Gujarat</v>
      </c>
      <c r="H287" s="23" t="str">
        <f>PROPER(TRIM(Raw_Data!G278))</f>
        <v>Spoken English</v>
      </c>
      <c r="I287" s="23" t="str">
        <f>PROPER(TRIM(Raw_Data!H278))</f>
        <v>Bengaluru South</v>
      </c>
      <c r="J287" s="24">
        <f>IF(LEN(TRIM(Raw_Data!I278))=4,VALUE(TRIM(Raw_Data!I278)),IF(ISNUMBER(IFERROR(VALUE(MID(TRIM(Raw_Data!I278),1,4)),"NA")),VALUE(MID(TRIM(Raw_Data!I278),1,4)),VALUE(RIGHT(TRIM(Raw_Data!I278),4))))</f>
        <v>2021</v>
      </c>
      <c r="K287" s="23" t="str">
        <f>PROPER(TRIM(Raw_Data!J278))</f>
        <v>Self-Employed</v>
      </c>
      <c r="L287" s="23" t="str">
        <f t="shared" si="12"/>
        <v>14-16</v>
      </c>
      <c r="M287" s="23" t="str">
        <f t="shared" si="13"/>
        <v>Teens</v>
      </c>
      <c r="N287" s="23" t="str">
        <f>IF(ISNUMBER(SEARCH("NON",UPPER(Raw_Data!M278))),"Non-Premium Learner","Premium Learner")</f>
        <v>Non-Premium Learner</v>
      </c>
      <c r="O287" s="23" t="str">
        <f>PROPER(TRIM(Raw_Data!N278))</f>
        <v>Both App &amp; Web</v>
      </c>
      <c r="P287" s="24">
        <f>IF(Raw_Data!O278="",$C$7,Raw_Data!O278)</f>
        <v>90182.94</v>
      </c>
      <c r="Q287" s="23" t="str">
        <f>IF(Raw_Data!O278="","Missing-Imputed","Original")</f>
        <v>Original</v>
      </c>
      <c r="R287" s="24">
        <f>Raw_Data!P278</f>
        <v>22.4</v>
      </c>
      <c r="S287" s="24">
        <f>Raw_Data!Q278</f>
        <v>36980.92</v>
      </c>
      <c r="T287" s="23" t="str">
        <f>IF(Raw_Data!R278="","Unknown",IF(ISNUMBER(SEARCH("ACT",UPPER(Raw_Data!R278))),"Active",IF(ISNUMBER(SEARCH("CLOS",UPPER(Raw_Data!R278))),"Closed","None")))</f>
        <v>Active</v>
      </c>
      <c r="U287" s="24">
        <f>IF(Raw_Data!S278="",$C$8,VALUE(Raw_Data!S278))</f>
        <v>542</v>
      </c>
      <c r="V287" s="23" t="str">
        <f>IF(Raw_Data!S278="","Missing-Imputed","Original")</f>
        <v>Original</v>
      </c>
      <c r="W287" s="24">
        <f>Raw_Data!T278</f>
        <v>193</v>
      </c>
      <c r="X287" s="23" t="str">
        <f>IF(ISNUMBER(SEARCH("Y",UPPER(TRIM(Raw_Data!U278)))),"Yes","No")</f>
        <v>Yes</v>
      </c>
      <c r="Y287" s="23" t="str">
        <f>IF(ISNUMBER(SEARCH("Y",UPPER(TRIM(Raw_Data!V278)))),"Yes","No")</f>
        <v>Yes</v>
      </c>
      <c r="Z287" s="24">
        <f>Raw_Data!W278</f>
        <v>3</v>
      </c>
      <c r="AA287" s="24">
        <f>Raw_Data!X278</f>
        <v>4.7</v>
      </c>
      <c r="AB287" s="23" t="str">
        <f>IF(COUNTIFS(Raw_Data!$A$2:$A$616,Raw_Data!A278)&gt;1,"Duplicate","Unique")</f>
        <v>Unique</v>
      </c>
      <c r="AC287" s="23" t="str">
        <f t="shared" si="14"/>
        <v>Clean</v>
      </c>
    </row>
    <row r="288" spans="1:29" ht="15" customHeight="1">
      <c r="A288" s="25" t="str">
        <f>Raw_Data!A279</f>
        <v>BYJ1278</v>
      </c>
      <c r="B288" s="25" t="str">
        <f>Raw_Data!B279</f>
        <v>Girik Sampath</v>
      </c>
      <c r="C288" s="26">
        <f>IF(OR(Raw_Data!C279="",Raw_Data!C279&lt;$C$5,Raw_Data!C279&gt;$C$6),$C$4,Raw_Data!C279)</f>
        <v>8</v>
      </c>
      <c r="D288" s="25" t="str">
        <f>IF(Raw_Data!C279="","Missing-Imputed",IF(OR(Raw_Data!C279&lt;$C$5,Raw_Data!C279&gt;$C$6),"Outlier-Imputed","Original"))</f>
        <v>Original</v>
      </c>
      <c r="E288" s="25" t="str">
        <f>IF(OR(UPPER(TRIM(Raw_Data!D279))="M",UPPER(TRIM(Raw_Data!D279))="MALE"),"Male","Female")</f>
        <v>Male</v>
      </c>
      <c r="F288" s="25" t="str">
        <f>PROPER(TRIM(Raw_Data!E279))</f>
        <v>Surat</v>
      </c>
      <c r="G288" s="25" t="str">
        <f>PROPER(TRIM(Raw_Data!F279))</f>
        <v>Rajasthan</v>
      </c>
      <c r="H288" s="25" t="str">
        <f>PROPER(TRIM(Raw_Data!G279))</f>
        <v>Neet Prep</v>
      </c>
      <c r="I288" s="25" t="str">
        <f>PROPER(TRIM(Raw_Data!H279))</f>
        <v>Mumbai West</v>
      </c>
      <c r="J288" s="26">
        <f>IF(LEN(TRIM(Raw_Data!I279))=4,VALUE(TRIM(Raw_Data!I279)),IF(ISNUMBER(IFERROR(VALUE(MID(TRIM(Raw_Data!I279),1,4)),"NA")),VALUE(MID(TRIM(Raw_Data!I279),1,4)),VALUE(RIGHT(TRIM(Raw_Data!I279),4))))</f>
        <v>2020</v>
      </c>
      <c r="K288" s="25" t="str">
        <f>PROPER(TRIM(Raw_Data!J279))</f>
        <v>Government Employee</v>
      </c>
      <c r="L288" s="25" t="str">
        <f t="shared" si="12"/>
        <v>Under 10</v>
      </c>
      <c r="M288" s="25" t="str">
        <f t="shared" si="13"/>
        <v>Kids</v>
      </c>
      <c r="N288" s="25" t="str">
        <f>IF(ISNUMBER(SEARCH("NON",UPPER(Raw_Data!M279))),"Non-Premium Learner","Premium Learner")</f>
        <v>Non-Premium Learner</v>
      </c>
      <c r="O288" s="25" t="str">
        <f>PROPER(TRIM(Raw_Data!N279))</f>
        <v>Web Only</v>
      </c>
      <c r="P288" s="26">
        <f>IF(Raw_Data!O279="",$C$7,Raw_Data!O279)</f>
        <v>113829.88</v>
      </c>
      <c r="Q288" s="25" t="str">
        <f>IF(Raw_Data!O279="","Missing-Imputed","Original")</f>
        <v>Original</v>
      </c>
      <c r="R288" s="26">
        <f>Raw_Data!P279</f>
        <v>60</v>
      </c>
      <c r="S288" s="26">
        <f>Raw_Data!Q279</f>
        <v>20563.7</v>
      </c>
      <c r="T288" s="25" t="str">
        <f>IF(Raw_Data!R279="","Unknown",IF(ISNUMBER(SEARCH("ACT",UPPER(Raw_Data!R279))),"Active",IF(ISNUMBER(SEARCH("CLOS",UPPER(Raw_Data!R279))),"Closed","None")))</f>
        <v>Active</v>
      </c>
      <c r="U288" s="26">
        <f>IF(Raw_Data!S279="",$C$8,VALUE(Raw_Data!S279))</f>
        <v>554</v>
      </c>
      <c r="V288" s="25" t="str">
        <f>IF(Raw_Data!S279="","Missing-Imputed","Original")</f>
        <v>Original</v>
      </c>
      <c r="W288" s="26">
        <f>Raw_Data!T279</f>
        <v>178</v>
      </c>
      <c r="X288" s="25" t="str">
        <f>IF(ISNUMBER(SEARCH("Y",UPPER(TRIM(Raw_Data!U279)))),"Yes","No")</f>
        <v>Yes</v>
      </c>
      <c r="Y288" s="25" t="str">
        <f>IF(ISNUMBER(SEARCH("Y",UPPER(TRIM(Raw_Data!V279)))),"Yes","No")</f>
        <v>No</v>
      </c>
      <c r="Z288" s="26">
        <f>Raw_Data!W279</f>
        <v>4</v>
      </c>
      <c r="AA288" s="26">
        <f>Raw_Data!X279</f>
        <v>5.9</v>
      </c>
      <c r="AB288" s="25" t="str">
        <f>IF(COUNTIFS(Raw_Data!$A$2:$A$616,Raw_Data!A279)&gt;1,"Duplicate","Unique")</f>
        <v>Unique</v>
      </c>
      <c r="AC288" s="25" t="str">
        <f t="shared" si="14"/>
        <v>Clean</v>
      </c>
    </row>
    <row r="289" spans="1:29" ht="15" customHeight="1">
      <c r="A289" s="23" t="str">
        <f>Raw_Data!A280</f>
        <v>BYJ1279</v>
      </c>
      <c r="B289" s="23" t="str">
        <f>Raw_Data!B280</f>
        <v xml:space="preserve">  Dayamai Gole  </v>
      </c>
      <c r="C289" s="24">
        <f>IF(OR(Raw_Data!C280="",Raw_Data!C280&lt;$C$5,Raw_Data!C280&gt;$C$6),$C$4,Raw_Data!C280)</f>
        <v>18</v>
      </c>
      <c r="D289" s="23" t="str">
        <f>IF(Raw_Data!C280="","Missing-Imputed",IF(OR(Raw_Data!C280&lt;$C$5,Raw_Data!C280&gt;$C$6),"Outlier-Imputed","Original"))</f>
        <v>Original</v>
      </c>
      <c r="E289" s="23" t="str">
        <f>IF(OR(UPPER(TRIM(Raw_Data!D280))="M",UPPER(TRIM(Raw_Data!D280))="MALE"),"Male","Female")</f>
        <v>Male</v>
      </c>
      <c r="F289" s="23" t="str">
        <f>PROPER(TRIM(Raw_Data!E280))</f>
        <v>Mau</v>
      </c>
      <c r="G289" s="23" t="str">
        <f>PROPER(TRIM(Raw_Data!F280))</f>
        <v>Maharashtra</v>
      </c>
      <c r="H289" s="23" t="str">
        <f>PROPER(TRIM(Raw_Data!G280))</f>
        <v>Mathematics</v>
      </c>
      <c r="I289" s="23" t="str">
        <f>PROPER(TRIM(Raw_Data!H280))</f>
        <v>Mumbai West</v>
      </c>
      <c r="J289" s="24">
        <f>IF(LEN(TRIM(Raw_Data!I280))=4,VALUE(TRIM(Raw_Data!I280)),IF(ISNUMBER(IFERROR(VALUE(MID(TRIM(Raw_Data!I280),1,4)),"NA")),VALUE(MID(TRIM(Raw_Data!I280),1,4)),VALUE(RIGHT(TRIM(Raw_Data!I280),4))))</f>
        <v>2025</v>
      </c>
      <c r="K289" s="23" t="str">
        <f>PROPER(TRIM(Raw_Data!J280))</f>
        <v>Business</v>
      </c>
      <c r="L289" s="23" t="str">
        <f t="shared" si="12"/>
        <v>17-19</v>
      </c>
      <c r="M289" s="23" t="str">
        <f t="shared" si="13"/>
        <v>Teens</v>
      </c>
      <c r="N289" s="23" t="str">
        <f>IF(ISNUMBER(SEARCH("NON",UPPER(Raw_Data!M280))),"Non-Premium Learner","Premium Learner")</f>
        <v>Non-Premium Learner</v>
      </c>
      <c r="O289" s="23" t="str">
        <f>PROPER(TRIM(Raw_Data!N280))</f>
        <v>Web Only</v>
      </c>
      <c r="P289" s="24">
        <f>IF(Raw_Data!O280="",$C$7,Raw_Data!O280)</f>
        <v>50162.13</v>
      </c>
      <c r="Q289" s="23" t="str">
        <f>IF(Raw_Data!O280="","Missing-Imputed","Original")</f>
        <v>Original</v>
      </c>
      <c r="R289" s="24">
        <f>Raw_Data!P280</f>
        <v>23.4</v>
      </c>
      <c r="S289" s="24">
        <f>Raw_Data!Q280</f>
        <v>10586.13</v>
      </c>
      <c r="T289" s="23" t="str">
        <f>IF(Raw_Data!R280="","Unknown",IF(ISNUMBER(SEARCH("ACT",UPPER(Raw_Data!R280))),"Active",IF(ISNUMBER(SEARCH("CLOS",UPPER(Raw_Data!R280))),"Closed","None")))</f>
        <v>Active</v>
      </c>
      <c r="U289" s="24">
        <f>IF(Raw_Data!S280="",$C$8,VALUE(Raw_Data!S280))</f>
        <v>592</v>
      </c>
      <c r="V289" s="23" t="str">
        <f>IF(Raw_Data!S280="","Missing-Imputed","Original")</f>
        <v>Original</v>
      </c>
      <c r="W289" s="24">
        <f>Raw_Data!T280</f>
        <v>162</v>
      </c>
      <c r="X289" s="23" t="str">
        <f>IF(ISNUMBER(SEARCH("Y",UPPER(TRIM(Raw_Data!U280)))),"Yes","No")</f>
        <v>Yes</v>
      </c>
      <c r="Y289" s="23" t="str">
        <f>IF(ISNUMBER(SEARCH("Y",UPPER(TRIM(Raw_Data!V280)))),"Yes","No")</f>
        <v>No</v>
      </c>
      <c r="Z289" s="24">
        <f>Raw_Data!W280</f>
        <v>3</v>
      </c>
      <c r="AA289" s="24">
        <f>Raw_Data!X280</f>
        <v>3.9</v>
      </c>
      <c r="AB289" s="23" t="str">
        <f>IF(COUNTIFS(Raw_Data!$A$2:$A$616,Raw_Data!A280)&gt;1,"Duplicate","Unique")</f>
        <v>Unique</v>
      </c>
      <c r="AC289" s="23" t="str">
        <f t="shared" si="14"/>
        <v>Clean</v>
      </c>
    </row>
    <row r="290" spans="1:29" ht="15" customHeight="1">
      <c r="A290" s="25" t="str">
        <f>Raw_Data!A281</f>
        <v>BYJ1280</v>
      </c>
      <c r="B290" s="25" t="str">
        <f>Raw_Data!B281</f>
        <v>Rehaan Kara</v>
      </c>
      <c r="C290" s="26">
        <f>IF(OR(Raw_Data!C281="",Raw_Data!C281&lt;$C$5,Raw_Data!C281&gt;$C$6),$C$4,Raw_Data!C281)</f>
        <v>38</v>
      </c>
      <c r="D290" s="25" t="str">
        <f>IF(Raw_Data!C281="","Missing-Imputed",IF(OR(Raw_Data!C281&lt;$C$5,Raw_Data!C281&gt;$C$6),"Outlier-Imputed","Original"))</f>
        <v>Original</v>
      </c>
      <c r="E290" s="25" t="str">
        <f>IF(OR(UPPER(TRIM(Raw_Data!D281))="M",UPPER(TRIM(Raw_Data!D281))="MALE"),"Male","Female")</f>
        <v>Female</v>
      </c>
      <c r="F290" s="25" t="str">
        <f>PROPER(TRIM(Raw_Data!E281))</f>
        <v>Bhatpara</v>
      </c>
      <c r="G290" s="25" t="str">
        <f>PROPER(TRIM(Raw_Data!F281))</f>
        <v>Rajasthan</v>
      </c>
      <c r="H290" s="25" t="str">
        <f>PROPER(TRIM(Raw_Data!G281))</f>
        <v>Coding</v>
      </c>
      <c r="I290" s="25" t="str">
        <f>PROPER(TRIM(Raw_Data!H281))</f>
        <v>Kolkata Main</v>
      </c>
      <c r="J290" s="26">
        <f>IF(LEN(TRIM(Raw_Data!I281))=4,VALUE(TRIM(Raw_Data!I281)),IF(ISNUMBER(IFERROR(VALUE(MID(TRIM(Raw_Data!I281),1,4)),"NA")),VALUE(MID(TRIM(Raw_Data!I281),1,4)),VALUE(RIGHT(TRIM(Raw_Data!I281),4))))</f>
        <v>2022</v>
      </c>
      <c r="K290" s="25" t="str">
        <f>PROPER(TRIM(Raw_Data!J281))</f>
        <v>Government Employee</v>
      </c>
      <c r="L290" s="25" t="str">
        <f t="shared" si="12"/>
        <v>20+</v>
      </c>
      <c r="M290" s="25" t="str">
        <f t="shared" si="13"/>
        <v>Adult Learners</v>
      </c>
      <c r="N290" s="25" t="str">
        <f>IF(ISNUMBER(SEARCH("NON",UPPER(Raw_Data!M281))),"Non-Premium Learner","Premium Learner")</f>
        <v>Non-Premium Learner</v>
      </c>
      <c r="O290" s="25" t="str">
        <f>PROPER(TRIM(Raw_Data!N281))</f>
        <v>App Only</v>
      </c>
      <c r="P290" s="26">
        <f>IF(Raw_Data!O281="",$C$7,Raw_Data!O281)</f>
        <v>42307.3</v>
      </c>
      <c r="Q290" s="25" t="str">
        <f>IF(Raw_Data!O281="","Missing-Imputed","Original")</f>
        <v>Original</v>
      </c>
      <c r="R290" s="26">
        <f>Raw_Data!P281</f>
        <v>39</v>
      </c>
      <c r="S290" s="26">
        <f>Raw_Data!Q281</f>
        <v>22508.81</v>
      </c>
      <c r="T290" s="25" t="str">
        <f>IF(Raw_Data!R281="","Unknown",IF(ISNUMBER(SEARCH("ACT",UPPER(Raw_Data!R281))),"Active",IF(ISNUMBER(SEARCH("CLOS",UPPER(Raw_Data!R281))),"Closed","None")))</f>
        <v>None</v>
      </c>
      <c r="U290" s="26">
        <f>IF(Raw_Data!S281="",$C$8,VALUE(Raw_Data!S281))</f>
        <v>373</v>
      </c>
      <c r="V290" s="25" t="str">
        <f>IF(Raw_Data!S281="","Missing-Imputed","Original")</f>
        <v>Original</v>
      </c>
      <c r="W290" s="26">
        <f>Raw_Data!T281</f>
        <v>183</v>
      </c>
      <c r="X290" s="25" t="str">
        <f>IF(ISNUMBER(SEARCH("Y",UPPER(TRIM(Raw_Data!U281)))),"Yes","No")</f>
        <v>No</v>
      </c>
      <c r="Y290" s="25" t="str">
        <f>IF(ISNUMBER(SEARCH("Y",UPPER(TRIM(Raw_Data!V281)))),"Yes","No")</f>
        <v>Yes</v>
      </c>
      <c r="Z290" s="26">
        <f>Raw_Data!W281</f>
        <v>1</v>
      </c>
      <c r="AA290" s="26">
        <f>Raw_Data!X281</f>
        <v>0.6</v>
      </c>
      <c r="AB290" s="25" t="str">
        <f>IF(COUNTIFS(Raw_Data!$A$2:$A$616,Raw_Data!A281)&gt;1,"Duplicate","Unique")</f>
        <v>Unique</v>
      </c>
      <c r="AC290" s="25" t="str">
        <f t="shared" si="14"/>
        <v>Clean</v>
      </c>
    </row>
    <row r="291" spans="1:29" ht="15" customHeight="1">
      <c r="A291" s="23" t="str">
        <f>Raw_Data!A282</f>
        <v>BYJ1281</v>
      </c>
      <c r="B291" s="23" t="str">
        <f>Raw_Data!B282</f>
        <v>Chakrika Chaudhuri</v>
      </c>
      <c r="C291" s="24">
        <f>IF(OR(Raw_Data!C282="",Raw_Data!C282&lt;$C$5,Raw_Data!C282&gt;$C$6),$C$4,Raw_Data!C282)</f>
        <v>37</v>
      </c>
      <c r="D291" s="23" t="str">
        <f>IF(Raw_Data!C282="","Missing-Imputed",IF(OR(Raw_Data!C282&lt;$C$5,Raw_Data!C282&gt;$C$6),"Outlier-Imputed","Original"))</f>
        <v>Original</v>
      </c>
      <c r="E291" s="23" t="str">
        <f>IF(OR(UPPER(TRIM(Raw_Data!D282))="M",UPPER(TRIM(Raw_Data!D282))="MALE"),"Male","Female")</f>
        <v>Female</v>
      </c>
      <c r="F291" s="23" t="str">
        <f>PROPER(TRIM(Raw_Data!E282))</f>
        <v>Naihati</v>
      </c>
      <c r="G291" s="23" t="str">
        <f>PROPER(TRIM(Raw_Data!F282))</f>
        <v>Gujarat</v>
      </c>
      <c r="H291" s="23" t="str">
        <f>PROPER(TRIM(Raw_Data!G282))</f>
        <v>Robotics</v>
      </c>
      <c r="I291" s="23" t="str">
        <f>PROPER(TRIM(Raw_Data!H282))</f>
        <v>Ahmedabad Center</v>
      </c>
      <c r="J291" s="24">
        <f>IF(LEN(TRIM(Raw_Data!I282))=4,VALUE(TRIM(Raw_Data!I282)),IF(ISNUMBER(IFERROR(VALUE(MID(TRIM(Raw_Data!I282),1,4)),"NA")),VALUE(MID(TRIM(Raw_Data!I282),1,4)),VALUE(RIGHT(TRIM(Raw_Data!I282),4))))</f>
        <v>2020</v>
      </c>
      <c r="K291" s="23" t="str">
        <f>PROPER(TRIM(Raw_Data!J282))</f>
        <v>Self-Employed</v>
      </c>
      <c r="L291" s="23" t="str">
        <f t="shared" si="12"/>
        <v>20+</v>
      </c>
      <c r="M291" s="23" t="str">
        <f t="shared" si="13"/>
        <v>Adult Learners</v>
      </c>
      <c r="N291" s="23" t="str">
        <f>IF(ISNUMBER(SEARCH("NON",UPPER(Raw_Data!M282))),"Non-Premium Learner","Premium Learner")</f>
        <v>Non-Premium Learner</v>
      </c>
      <c r="O291" s="23" t="str">
        <f>PROPER(TRIM(Raw_Data!N282))</f>
        <v>App Only</v>
      </c>
      <c r="P291" s="24">
        <f>IF(Raw_Data!O282="",$C$7,Raw_Data!O282)</f>
        <v>60799.77</v>
      </c>
      <c r="Q291" s="23" t="str">
        <f>IF(Raw_Data!O282="","Missing-Imputed","Original")</f>
        <v>Original</v>
      </c>
      <c r="R291" s="24">
        <f>Raw_Data!P282</f>
        <v>19.600000000000001</v>
      </c>
      <c r="S291" s="24">
        <f>Raw_Data!Q282</f>
        <v>26177.88</v>
      </c>
      <c r="T291" s="23" t="str">
        <f>IF(Raw_Data!R282="","Unknown",IF(ISNUMBER(SEARCH("ACT",UPPER(Raw_Data!R282))),"Active",IF(ISNUMBER(SEARCH("CLOS",UPPER(Raw_Data!R282))),"Closed","None")))</f>
        <v>Closed</v>
      </c>
      <c r="U291" s="24">
        <f>IF(Raw_Data!S282="",$C$8,VALUE(Raw_Data!S282))</f>
        <v>656</v>
      </c>
      <c r="V291" s="23" t="str">
        <f>IF(Raw_Data!S282="","Missing-Imputed","Original")</f>
        <v>Original</v>
      </c>
      <c r="W291" s="24">
        <f>Raw_Data!T282</f>
        <v>125</v>
      </c>
      <c r="X291" s="23" t="str">
        <f>IF(ISNUMBER(SEARCH("Y",UPPER(TRIM(Raw_Data!U282)))),"Yes","No")</f>
        <v>No</v>
      </c>
      <c r="Y291" s="23" t="str">
        <f>IF(ISNUMBER(SEARCH("Y",UPPER(TRIM(Raw_Data!V282)))),"Yes","No")</f>
        <v>No</v>
      </c>
      <c r="Z291" s="24">
        <f>Raw_Data!W282</f>
        <v>2</v>
      </c>
      <c r="AA291" s="24">
        <f>Raw_Data!X282</f>
        <v>2.6</v>
      </c>
      <c r="AB291" s="23" t="str">
        <f>IF(COUNTIFS(Raw_Data!$A$2:$A$616,Raw_Data!A282)&gt;1,"Duplicate","Unique")</f>
        <v>Unique</v>
      </c>
      <c r="AC291" s="23" t="str">
        <f t="shared" si="14"/>
        <v>Clean</v>
      </c>
    </row>
    <row r="292" spans="1:29" ht="15" customHeight="1">
      <c r="A292" s="25" t="str">
        <f>Raw_Data!A283</f>
        <v>BYJ1282</v>
      </c>
      <c r="B292" s="25" t="str">
        <f>Raw_Data!B283</f>
        <v xml:space="preserve">  Krisha Dube  </v>
      </c>
      <c r="C292" s="26">
        <f>IF(OR(Raw_Data!C283="",Raw_Data!C283&lt;$C$5,Raw_Data!C283&gt;$C$6),$C$4,Raw_Data!C283)</f>
        <v>7</v>
      </c>
      <c r="D292" s="25" t="str">
        <f>IF(Raw_Data!C283="","Missing-Imputed",IF(OR(Raw_Data!C283&lt;$C$5,Raw_Data!C283&gt;$C$6),"Outlier-Imputed","Original"))</f>
        <v>Original</v>
      </c>
      <c r="E292" s="25" t="str">
        <f>IF(OR(UPPER(TRIM(Raw_Data!D283))="M",UPPER(TRIM(Raw_Data!D283))="MALE"),"Male","Female")</f>
        <v>Male</v>
      </c>
      <c r="F292" s="25" t="str">
        <f>PROPER(TRIM(Raw_Data!E283))</f>
        <v>Bokaro</v>
      </c>
      <c r="G292" s="25" t="str">
        <f>PROPER(TRIM(Raw_Data!F283))</f>
        <v>Maharashtra</v>
      </c>
      <c r="H292" s="25" t="str">
        <f>PROPER(TRIM(Raw_Data!G283))</f>
        <v>Jee Prep</v>
      </c>
      <c r="I292" s="25" t="str">
        <f>PROPER(TRIM(Raw_Data!H283))</f>
        <v>Delhi North</v>
      </c>
      <c r="J292" s="26">
        <f>IF(LEN(TRIM(Raw_Data!I283))=4,VALUE(TRIM(Raw_Data!I283)),IF(ISNUMBER(IFERROR(VALUE(MID(TRIM(Raw_Data!I283),1,4)),"NA")),VALUE(MID(TRIM(Raw_Data!I283),1,4)),VALUE(RIGHT(TRIM(Raw_Data!I283),4))))</f>
        <v>2025</v>
      </c>
      <c r="K292" s="25" t="str">
        <f>PROPER(TRIM(Raw_Data!J283))</f>
        <v>Salaried</v>
      </c>
      <c r="L292" s="25" t="str">
        <f t="shared" si="12"/>
        <v>Under 10</v>
      </c>
      <c r="M292" s="25" t="str">
        <f t="shared" si="13"/>
        <v>Kids</v>
      </c>
      <c r="N292" s="25" t="str">
        <f>IF(ISNUMBER(SEARCH("NON",UPPER(Raw_Data!M283))),"Non-Premium Learner","Premium Learner")</f>
        <v>Premium Learner</v>
      </c>
      <c r="O292" s="25" t="str">
        <f>PROPER(TRIM(Raw_Data!N283))</f>
        <v>Both App &amp; Web</v>
      </c>
      <c r="P292" s="26">
        <f>IF(Raw_Data!O283="",$C$7,Raw_Data!O283)</f>
        <v>137948.01</v>
      </c>
      <c r="Q292" s="25" t="str">
        <f>IF(Raw_Data!O283="","Missing-Imputed","Original")</f>
        <v>Original</v>
      </c>
      <c r="R292" s="26">
        <f>Raw_Data!P283</f>
        <v>49</v>
      </c>
      <c r="S292" s="26">
        <f>Raw_Data!Q283</f>
        <v>54059.74</v>
      </c>
      <c r="T292" s="25" t="str">
        <f>IF(Raw_Data!R283="","Unknown",IF(ISNUMBER(SEARCH("ACT",UPPER(Raw_Data!R283))),"Active",IF(ISNUMBER(SEARCH("CLOS",UPPER(Raw_Data!R283))),"Closed","None")))</f>
        <v>None</v>
      </c>
      <c r="U292" s="26">
        <f>IF(Raw_Data!S283="",$C$8,VALUE(Raw_Data!S283))</f>
        <v>733</v>
      </c>
      <c r="V292" s="25" t="str">
        <f>IF(Raw_Data!S283="","Missing-Imputed","Original")</f>
        <v>Original</v>
      </c>
      <c r="W292" s="26">
        <f>Raw_Data!T283</f>
        <v>109</v>
      </c>
      <c r="X292" s="25" t="str">
        <f>IF(ISNUMBER(SEARCH("Y",UPPER(TRIM(Raw_Data!U283)))),"Yes","No")</f>
        <v>No</v>
      </c>
      <c r="Y292" s="25" t="str">
        <f>IF(ISNUMBER(SEARCH("Y",UPPER(TRIM(Raw_Data!V283)))),"Yes","No")</f>
        <v>No</v>
      </c>
      <c r="Z292" s="26">
        <f>Raw_Data!W283</f>
        <v>4</v>
      </c>
      <c r="AA292" s="26">
        <f>Raw_Data!X283</f>
        <v>6.9</v>
      </c>
      <c r="AB292" s="25" t="str">
        <f>IF(COUNTIFS(Raw_Data!$A$2:$A$616,Raw_Data!A283)&gt;1,"Duplicate","Unique")</f>
        <v>Unique</v>
      </c>
      <c r="AC292" s="25" t="str">
        <f t="shared" si="14"/>
        <v>Clean</v>
      </c>
    </row>
    <row r="293" spans="1:29" ht="15" customHeight="1">
      <c r="A293" s="23" t="str">
        <f>Raw_Data!A284</f>
        <v>BYJ1283</v>
      </c>
      <c r="B293" s="23" t="str">
        <f>Raw_Data!B284</f>
        <v>Raksha Bassi</v>
      </c>
      <c r="C293" s="24">
        <f>IF(OR(Raw_Data!C284="",Raw_Data!C284&lt;$C$5,Raw_Data!C284&gt;$C$6),$C$4,Raw_Data!C284)</f>
        <v>12</v>
      </c>
      <c r="D293" s="23" t="str">
        <f>IF(Raw_Data!C284="","Missing-Imputed",IF(OR(Raw_Data!C284&lt;$C$5,Raw_Data!C284&gt;$C$6),"Outlier-Imputed","Original"))</f>
        <v>Original</v>
      </c>
      <c r="E293" s="23" t="str">
        <f>IF(OR(UPPER(TRIM(Raw_Data!D284))="M",UPPER(TRIM(Raw_Data!D284))="MALE"),"Male","Female")</f>
        <v>Female</v>
      </c>
      <c r="F293" s="23" t="str">
        <f>PROPER(TRIM(Raw_Data!E284))</f>
        <v>Bharatpur</v>
      </c>
      <c r="G293" s="23" t="str">
        <f>PROPER(TRIM(Raw_Data!F284))</f>
        <v>Delhi</v>
      </c>
      <c r="H293" s="23" t="str">
        <f>PROPER(TRIM(Raw_Data!G284))</f>
        <v>Robotics</v>
      </c>
      <c r="I293" s="23" t="str">
        <f>PROPER(TRIM(Raw_Data!H284))</f>
        <v>Hyderabad Hub</v>
      </c>
      <c r="J293" s="24">
        <f>IF(LEN(TRIM(Raw_Data!I284))=4,VALUE(TRIM(Raw_Data!I284)),IF(ISNUMBER(IFERROR(VALUE(MID(TRIM(Raw_Data!I284),1,4)),"NA")),VALUE(MID(TRIM(Raw_Data!I284),1,4)),VALUE(RIGHT(TRIM(Raw_Data!I284),4))))</f>
        <v>2016</v>
      </c>
      <c r="K293" s="23" t="str">
        <f>PROPER(TRIM(Raw_Data!J284))</f>
        <v>Salaried</v>
      </c>
      <c r="L293" s="23" t="str">
        <f t="shared" si="12"/>
        <v>10-13</v>
      </c>
      <c r="M293" s="23" t="str">
        <f t="shared" si="13"/>
        <v>Kids</v>
      </c>
      <c r="N293" s="23" t="str">
        <f>IF(ISNUMBER(SEARCH("NON",UPPER(Raw_Data!M284))),"Non-Premium Learner","Premium Learner")</f>
        <v>Premium Learner</v>
      </c>
      <c r="O293" s="23" t="str">
        <f>PROPER(TRIM(Raw_Data!N284))</f>
        <v>Web Only</v>
      </c>
      <c r="P293" s="24">
        <f>IF(Raw_Data!O284="",$C$7,Raw_Data!O284)</f>
        <v>81119.490000000005</v>
      </c>
      <c r="Q293" s="23" t="str">
        <f>IF(Raw_Data!O284="","Missing-Imputed","Original")</f>
        <v>Original</v>
      </c>
      <c r="R293" s="24">
        <f>Raw_Data!P284</f>
        <v>60</v>
      </c>
      <c r="S293" s="24">
        <f>Raw_Data!Q284</f>
        <v>10238.06</v>
      </c>
      <c r="T293" s="23" t="str">
        <f>IF(Raw_Data!R284="","Unknown",IF(ISNUMBER(SEARCH("ACT",UPPER(Raw_Data!R284))),"Active",IF(ISNUMBER(SEARCH("CLOS",UPPER(Raw_Data!R284))),"Closed","None")))</f>
        <v>Closed</v>
      </c>
      <c r="U293" s="24">
        <f>IF(Raw_Data!S284="",$C$8,VALUE(Raw_Data!S284))</f>
        <v>437</v>
      </c>
      <c r="V293" s="23" t="str">
        <f>IF(Raw_Data!S284="","Missing-Imputed","Original")</f>
        <v>Original</v>
      </c>
      <c r="W293" s="24">
        <f>Raw_Data!T284</f>
        <v>46</v>
      </c>
      <c r="X293" s="23" t="str">
        <f>IF(ISNUMBER(SEARCH("Y",UPPER(TRIM(Raw_Data!U284)))),"Yes","No")</f>
        <v>Yes</v>
      </c>
      <c r="Y293" s="23" t="str">
        <f>IF(ISNUMBER(SEARCH("Y",UPPER(TRIM(Raw_Data!V284)))),"Yes","No")</f>
        <v>Yes</v>
      </c>
      <c r="Z293" s="24">
        <f>Raw_Data!W284</f>
        <v>2</v>
      </c>
      <c r="AA293" s="24">
        <f>Raw_Data!X284</f>
        <v>1</v>
      </c>
      <c r="AB293" s="23" t="str">
        <f>IF(COUNTIFS(Raw_Data!$A$2:$A$616,Raw_Data!A284)&gt;1,"Duplicate","Unique")</f>
        <v>Unique</v>
      </c>
      <c r="AC293" s="23" t="str">
        <f t="shared" si="14"/>
        <v>Clean</v>
      </c>
    </row>
    <row r="294" spans="1:29" ht="15" customHeight="1">
      <c r="A294" s="25" t="str">
        <f>Raw_Data!A285</f>
        <v>BYJ1284</v>
      </c>
      <c r="B294" s="25" t="str">
        <f>Raw_Data!B285</f>
        <v>Sachi Mane</v>
      </c>
      <c r="C294" s="26">
        <f>IF(OR(Raw_Data!C285="",Raw_Data!C285&lt;$C$5,Raw_Data!C285&gt;$C$6),$C$4,Raw_Data!C285)</f>
        <v>22</v>
      </c>
      <c r="D294" s="25" t="str">
        <f>IF(Raw_Data!C285="","Missing-Imputed",IF(OR(Raw_Data!C285&lt;$C$5,Raw_Data!C285&gt;$C$6),"Outlier-Imputed","Original"))</f>
        <v>Original</v>
      </c>
      <c r="E294" s="25" t="str">
        <f>IF(OR(UPPER(TRIM(Raw_Data!D285))="M",UPPER(TRIM(Raw_Data!D285))="MALE"),"Male","Female")</f>
        <v>Female</v>
      </c>
      <c r="F294" s="25" t="str">
        <f>PROPER(TRIM(Raw_Data!E285))</f>
        <v>Muzaffarpur</v>
      </c>
      <c r="G294" s="25" t="str">
        <f>PROPER(TRIM(Raw_Data!F285))</f>
        <v>Kerala</v>
      </c>
      <c r="H294" s="25" t="str">
        <f>PROPER(TRIM(Raw_Data!G285))</f>
        <v>Mathematics</v>
      </c>
      <c r="I294" s="25" t="str">
        <f>PROPER(TRIM(Raw_Data!H285))</f>
        <v>Mumbai West</v>
      </c>
      <c r="J294" s="26">
        <f>IF(LEN(TRIM(Raw_Data!I285))=4,VALUE(TRIM(Raw_Data!I285)),IF(ISNUMBER(IFERROR(VALUE(MID(TRIM(Raw_Data!I285),1,4)),"NA")),VALUE(MID(TRIM(Raw_Data!I285),1,4)),VALUE(RIGHT(TRIM(Raw_Data!I285),4))))</f>
        <v>2017</v>
      </c>
      <c r="K294" s="25" t="str">
        <f>PROPER(TRIM(Raw_Data!J285))</f>
        <v>Salaried</v>
      </c>
      <c r="L294" s="25" t="str">
        <f t="shared" si="12"/>
        <v>20+</v>
      </c>
      <c r="M294" s="25" t="str">
        <f t="shared" si="13"/>
        <v>Adult Learners</v>
      </c>
      <c r="N294" s="25" t="str">
        <f>IF(ISNUMBER(SEARCH("NON",UPPER(Raw_Data!M285))),"Non-Premium Learner","Premium Learner")</f>
        <v>Premium Learner</v>
      </c>
      <c r="O294" s="25" t="str">
        <f>PROPER(TRIM(Raw_Data!N285))</f>
        <v>Both App &amp; Web</v>
      </c>
      <c r="P294" s="26">
        <f>IF(Raw_Data!O285="",$C$7,Raw_Data!O285)</f>
        <v>39043.120000000003</v>
      </c>
      <c r="Q294" s="25" t="str">
        <f>IF(Raw_Data!O285="","Missing-Imputed","Original")</f>
        <v>Original</v>
      </c>
      <c r="R294" s="26">
        <f>Raw_Data!P285</f>
        <v>62</v>
      </c>
      <c r="S294" s="26">
        <f>Raw_Data!Q285</f>
        <v>570.39</v>
      </c>
      <c r="T294" s="25" t="str">
        <f>IF(Raw_Data!R285="","Unknown",IF(ISNUMBER(SEARCH("ACT",UPPER(Raw_Data!R285))),"Active",IF(ISNUMBER(SEARCH("CLOS",UPPER(Raw_Data!R285))),"Closed","None")))</f>
        <v>Closed</v>
      </c>
      <c r="U294" s="26">
        <f>IF(Raw_Data!S285="",$C$8,VALUE(Raw_Data!S285))</f>
        <v>896</v>
      </c>
      <c r="V294" s="25" t="str">
        <f>IF(Raw_Data!S285="","Missing-Imputed","Original")</f>
        <v>Original</v>
      </c>
      <c r="W294" s="26">
        <f>Raw_Data!T285</f>
        <v>10</v>
      </c>
      <c r="X294" s="25" t="str">
        <f>IF(ISNUMBER(SEARCH("Y",UPPER(TRIM(Raw_Data!U285)))),"Yes","No")</f>
        <v>Yes</v>
      </c>
      <c r="Y294" s="25" t="str">
        <f>IF(ISNUMBER(SEARCH("Y",UPPER(TRIM(Raw_Data!V285)))),"Yes","No")</f>
        <v>Yes</v>
      </c>
      <c r="Z294" s="26">
        <f>Raw_Data!W285</f>
        <v>5</v>
      </c>
      <c r="AA294" s="26">
        <f>Raw_Data!X285</f>
        <v>4.9000000000000004</v>
      </c>
      <c r="AB294" s="25" t="str">
        <f>IF(COUNTIFS(Raw_Data!$A$2:$A$616,Raw_Data!A285)&gt;1,"Duplicate","Unique")</f>
        <v>Unique</v>
      </c>
      <c r="AC294" s="25" t="str">
        <f t="shared" si="14"/>
        <v>Clean</v>
      </c>
    </row>
    <row r="295" spans="1:29" ht="15" customHeight="1">
      <c r="A295" s="23" t="str">
        <f>Raw_Data!A286</f>
        <v>BYJ1285</v>
      </c>
      <c r="B295" s="23" t="str">
        <f>Raw_Data!B286</f>
        <v>Dayamai Singh</v>
      </c>
      <c r="C295" s="24">
        <f>IF(OR(Raw_Data!C286="",Raw_Data!C286&lt;$C$5,Raw_Data!C286&gt;$C$6),$C$4,Raw_Data!C286)</f>
        <v>37</v>
      </c>
      <c r="D295" s="23" t="str">
        <f>IF(Raw_Data!C286="","Missing-Imputed",IF(OR(Raw_Data!C286&lt;$C$5,Raw_Data!C286&gt;$C$6),"Outlier-Imputed","Original"))</f>
        <v>Original</v>
      </c>
      <c r="E295" s="23" t="str">
        <f>IF(OR(UPPER(TRIM(Raw_Data!D286))="M",UPPER(TRIM(Raw_Data!D286))="MALE"),"Male","Female")</f>
        <v>Female</v>
      </c>
      <c r="F295" s="23" t="str">
        <f>PROPER(TRIM(Raw_Data!E286))</f>
        <v>Arrah</v>
      </c>
      <c r="G295" s="23" t="str">
        <f>PROPER(TRIM(Raw_Data!F286))</f>
        <v>Gujarat</v>
      </c>
      <c r="H295" s="23" t="str">
        <f>PROPER(TRIM(Raw_Data!G286))</f>
        <v>Neet Prep</v>
      </c>
      <c r="I295" s="23" t="str">
        <f>PROPER(TRIM(Raw_Data!H286))</f>
        <v>Pune East</v>
      </c>
      <c r="J295" s="24">
        <f>IF(LEN(TRIM(Raw_Data!I286))=4,VALUE(TRIM(Raw_Data!I286)),IF(ISNUMBER(IFERROR(VALUE(MID(TRIM(Raw_Data!I286),1,4)),"NA")),VALUE(MID(TRIM(Raw_Data!I286),1,4)),VALUE(RIGHT(TRIM(Raw_Data!I286),4))))</f>
        <v>2021</v>
      </c>
      <c r="K295" s="23" t="str">
        <f>PROPER(TRIM(Raw_Data!J286))</f>
        <v>Self-Employed</v>
      </c>
      <c r="L295" s="23" t="str">
        <f t="shared" si="12"/>
        <v>20+</v>
      </c>
      <c r="M295" s="23" t="str">
        <f t="shared" si="13"/>
        <v>Adult Learners</v>
      </c>
      <c r="N295" s="23" t="str">
        <f>IF(ISNUMBER(SEARCH("NON",UPPER(Raw_Data!M286))),"Non-Premium Learner","Premium Learner")</f>
        <v>Non-Premium Learner</v>
      </c>
      <c r="O295" s="23" t="str">
        <f>PROPER(TRIM(Raw_Data!N286))</f>
        <v>Web Only</v>
      </c>
      <c r="P295" s="24">
        <f>IF(Raw_Data!O286="",$C$7,Raw_Data!O286)</f>
        <v>71742.19</v>
      </c>
      <c r="Q295" s="23" t="str">
        <f>IF(Raw_Data!O286="","Missing-Imputed","Original")</f>
        <v>Missing-Imputed</v>
      </c>
      <c r="R295" s="24">
        <f>Raw_Data!P286</f>
        <v>70.3</v>
      </c>
      <c r="S295" s="24">
        <f>Raw_Data!Q286</f>
        <v>24108.5</v>
      </c>
      <c r="T295" s="23" t="str">
        <f>IF(Raw_Data!R286="","Unknown",IF(ISNUMBER(SEARCH("ACT",UPPER(Raw_Data!R286))),"Active",IF(ISNUMBER(SEARCH("CLOS",UPPER(Raw_Data!R286))),"Closed","None")))</f>
        <v>Active</v>
      </c>
      <c r="U295" s="24">
        <f>IF(Raw_Data!S286="",$C$8,VALUE(Raw_Data!S286))</f>
        <v>425</v>
      </c>
      <c r="V295" s="23" t="str">
        <f>IF(Raw_Data!S286="","Missing-Imputed","Original")</f>
        <v>Original</v>
      </c>
      <c r="W295" s="24">
        <f>Raw_Data!T286</f>
        <v>71</v>
      </c>
      <c r="X295" s="23" t="str">
        <f>IF(ISNUMBER(SEARCH("Y",UPPER(TRIM(Raw_Data!U286)))),"Yes","No")</f>
        <v>Yes</v>
      </c>
      <c r="Y295" s="23" t="str">
        <f>IF(ISNUMBER(SEARCH("Y",UPPER(TRIM(Raw_Data!V286)))),"Yes","No")</f>
        <v>No</v>
      </c>
      <c r="Z295" s="24">
        <f>Raw_Data!W286</f>
        <v>5</v>
      </c>
      <c r="AA295" s="24">
        <f>Raw_Data!X286</f>
        <v>4</v>
      </c>
      <c r="AB295" s="23" t="str">
        <f>IF(COUNTIFS(Raw_Data!$A$2:$A$616,Raw_Data!A286)&gt;1,"Duplicate","Unique")</f>
        <v>Unique</v>
      </c>
      <c r="AC295" s="23" t="str">
        <f t="shared" si="14"/>
        <v>Imputed</v>
      </c>
    </row>
    <row r="296" spans="1:29" ht="15" customHeight="1">
      <c r="A296" s="25" t="str">
        <f>Raw_Data!A287</f>
        <v>BYJ1286</v>
      </c>
      <c r="B296" s="25" t="str">
        <f>Raw_Data!B287</f>
        <v>Triya Manda</v>
      </c>
      <c r="C296" s="26">
        <f>IF(OR(Raw_Data!C287="",Raw_Data!C287&lt;$C$5,Raw_Data!C287&gt;$C$6),$C$4,Raw_Data!C287)</f>
        <v>26</v>
      </c>
      <c r="D296" s="25" t="str">
        <f>IF(Raw_Data!C287="","Missing-Imputed",IF(OR(Raw_Data!C287&lt;$C$5,Raw_Data!C287&gt;$C$6),"Outlier-Imputed","Original"))</f>
        <v>Original</v>
      </c>
      <c r="E296" s="25" t="str">
        <f>IF(OR(UPPER(TRIM(Raw_Data!D287))="M",UPPER(TRIM(Raw_Data!D287))="MALE"),"Male","Female")</f>
        <v>Male</v>
      </c>
      <c r="F296" s="25" t="str">
        <f>PROPER(TRIM(Raw_Data!E287))</f>
        <v>Ambala</v>
      </c>
      <c r="G296" s="25" t="str">
        <f>PROPER(TRIM(Raw_Data!F287))</f>
        <v>Gujarat</v>
      </c>
      <c r="H296" s="25" t="str">
        <f>PROPER(TRIM(Raw_Data!G287))</f>
        <v>Spoken English</v>
      </c>
      <c r="I296" s="25" t="str">
        <f>PROPER(TRIM(Raw_Data!H287))</f>
        <v>Delhi North</v>
      </c>
      <c r="J296" s="26">
        <f>IF(LEN(TRIM(Raw_Data!I287))=4,VALUE(TRIM(Raw_Data!I287)),IF(ISNUMBER(IFERROR(VALUE(MID(TRIM(Raw_Data!I287),1,4)),"NA")),VALUE(MID(TRIM(Raw_Data!I287),1,4)),VALUE(RIGHT(TRIM(Raw_Data!I287),4))))</f>
        <v>2025</v>
      </c>
      <c r="K296" s="25" t="str">
        <f>PROPER(TRIM(Raw_Data!J287))</f>
        <v>Homemaker</v>
      </c>
      <c r="L296" s="25" t="str">
        <f t="shared" si="12"/>
        <v>20+</v>
      </c>
      <c r="M296" s="25" t="str">
        <f t="shared" si="13"/>
        <v>Adult Learners</v>
      </c>
      <c r="N296" s="25" t="str">
        <f>IF(ISNUMBER(SEARCH("NON",UPPER(Raw_Data!M287))),"Non-Premium Learner","Premium Learner")</f>
        <v>Non-Premium Learner</v>
      </c>
      <c r="O296" s="25" t="str">
        <f>PROPER(TRIM(Raw_Data!N287))</f>
        <v>Web Only</v>
      </c>
      <c r="P296" s="26">
        <f>IF(Raw_Data!O287="",$C$7,Raw_Data!O287)</f>
        <v>148096.35999999999</v>
      </c>
      <c r="Q296" s="25" t="str">
        <f>IF(Raw_Data!O287="","Missing-Imputed","Original")</f>
        <v>Original</v>
      </c>
      <c r="R296" s="26">
        <f>Raw_Data!P287</f>
        <v>72.900000000000006</v>
      </c>
      <c r="S296" s="26">
        <f>Raw_Data!Q287</f>
        <v>44056.66</v>
      </c>
      <c r="T296" s="25" t="str">
        <f>IF(Raw_Data!R287="","Unknown",IF(ISNUMBER(SEARCH("ACT",UPPER(Raw_Data!R287))),"Active",IF(ISNUMBER(SEARCH("CLOS",UPPER(Raw_Data!R287))),"Closed","None")))</f>
        <v>Closed</v>
      </c>
      <c r="U296" s="26">
        <f>IF(Raw_Data!S287="",$C$8,VALUE(Raw_Data!S287))</f>
        <v>499</v>
      </c>
      <c r="V296" s="25" t="str">
        <f>IF(Raw_Data!S287="","Missing-Imputed","Original")</f>
        <v>Original</v>
      </c>
      <c r="W296" s="26">
        <f>Raw_Data!T287</f>
        <v>133</v>
      </c>
      <c r="X296" s="25" t="str">
        <f>IF(ISNUMBER(SEARCH("Y",UPPER(TRIM(Raw_Data!U287)))),"Yes","No")</f>
        <v>Yes</v>
      </c>
      <c r="Y296" s="25" t="str">
        <f>IF(ISNUMBER(SEARCH("Y",UPPER(TRIM(Raw_Data!V287)))),"Yes","No")</f>
        <v>No</v>
      </c>
      <c r="Z296" s="26">
        <f>Raw_Data!W287</f>
        <v>3</v>
      </c>
      <c r="AA296" s="26">
        <f>Raw_Data!X287</f>
        <v>7.6</v>
      </c>
      <c r="AB296" s="25" t="str">
        <f>IF(COUNTIFS(Raw_Data!$A$2:$A$616,Raw_Data!A287)&gt;1,"Duplicate","Unique")</f>
        <v>Unique</v>
      </c>
      <c r="AC296" s="25" t="str">
        <f t="shared" si="14"/>
        <v>Clean</v>
      </c>
    </row>
    <row r="297" spans="1:29" ht="15" customHeight="1">
      <c r="A297" s="23" t="str">
        <f>Raw_Data!A288</f>
        <v>BYJ1287</v>
      </c>
      <c r="B297" s="23" t="str">
        <f>Raw_Data!B288</f>
        <v>Neel Iyengar</v>
      </c>
      <c r="C297" s="24">
        <f>IF(OR(Raw_Data!C288="",Raw_Data!C288&lt;$C$5,Raw_Data!C288&gt;$C$6),$C$4,Raw_Data!C288)</f>
        <v>35</v>
      </c>
      <c r="D297" s="23" t="str">
        <f>IF(Raw_Data!C288="","Missing-Imputed",IF(OR(Raw_Data!C288&lt;$C$5,Raw_Data!C288&gt;$C$6),"Outlier-Imputed","Original"))</f>
        <v>Original</v>
      </c>
      <c r="E297" s="23" t="str">
        <f>IF(OR(UPPER(TRIM(Raw_Data!D288))="M",UPPER(TRIM(Raw_Data!D288))="MALE"),"Male","Female")</f>
        <v>Male</v>
      </c>
      <c r="F297" s="23" t="str">
        <f>PROPER(TRIM(Raw_Data!E288))</f>
        <v>Chandrapur</v>
      </c>
      <c r="G297" s="23" t="str">
        <f>PROPER(TRIM(Raw_Data!F288))</f>
        <v>Rajasthan</v>
      </c>
      <c r="H297" s="23" t="str">
        <f>PROPER(TRIM(Raw_Data!G288))</f>
        <v>English</v>
      </c>
      <c r="I297" s="23" t="str">
        <f>PROPER(TRIM(Raw_Data!H288))</f>
        <v>Delhi North</v>
      </c>
      <c r="J297" s="24">
        <f>IF(LEN(TRIM(Raw_Data!I288))=4,VALUE(TRIM(Raw_Data!I288)),IF(ISNUMBER(IFERROR(VALUE(MID(TRIM(Raw_Data!I288),1,4)),"NA")),VALUE(MID(TRIM(Raw_Data!I288),1,4)),VALUE(RIGHT(TRIM(Raw_Data!I288),4))))</f>
        <v>2019</v>
      </c>
      <c r="K297" s="23" t="str">
        <f>PROPER(TRIM(Raw_Data!J288))</f>
        <v>Salaried</v>
      </c>
      <c r="L297" s="23" t="str">
        <f t="shared" si="12"/>
        <v>20+</v>
      </c>
      <c r="M297" s="23" t="str">
        <f t="shared" si="13"/>
        <v>Adult Learners</v>
      </c>
      <c r="N297" s="23" t="str">
        <f>IF(ISNUMBER(SEARCH("NON",UPPER(Raw_Data!M288))),"Non-Premium Learner","Premium Learner")</f>
        <v>Non-Premium Learner</v>
      </c>
      <c r="O297" s="23" t="str">
        <f>PROPER(TRIM(Raw_Data!N288))</f>
        <v>App Only</v>
      </c>
      <c r="P297" s="24">
        <f>IF(Raw_Data!O288="",$C$7,Raw_Data!O288)</f>
        <v>139705.5</v>
      </c>
      <c r="Q297" s="23" t="str">
        <f>IF(Raw_Data!O288="","Missing-Imputed","Original")</f>
        <v>Original</v>
      </c>
      <c r="R297" s="24">
        <f>Raw_Data!P288</f>
        <v>33.799999999999997</v>
      </c>
      <c r="S297" s="24">
        <f>Raw_Data!Q288</f>
        <v>16821.47</v>
      </c>
      <c r="T297" s="23" t="str">
        <f>IF(Raw_Data!R288="","Unknown",IF(ISNUMBER(SEARCH("ACT",UPPER(Raw_Data!R288))),"Active",IF(ISNUMBER(SEARCH("CLOS",UPPER(Raw_Data!R288))),"Closed","None")))</f>
        <v>None</v>
      </c>
      <c r="U297" s="24">
        <f>IF(Raw_Data!S288="",$C$8,VALUE(Raw_Data!S288))</f>
        <v>787</v>
      </c>
      <c r="V297" s="23" t="str">
        <f>IF(Raw_Data!S288="","Missing-Imputed","Original")</f>
        <v>Original</v>
      </c>
      <c r="W297" s="24">
        <f>Raw_Data!T288</f>
        <v>171</v>
      </c>
      <c r="X297" s="23" t="str">
        <f>IF(ISNUMBER(SEARCH("Y",UPPER(TRIM(Raw_Data!U288)))),"Yes","No")</f>
        <v>Yes</v>
      </c>
      <c r="Y297" s="23" t="str">
        <f>IF(ISNUMBER(SEARCH("Y",UPPER(TRIM(Raw_Data!V288)))),"Yes","No")</f>
        <v>No</v>
      </c>
      <c r="Z297" s="24">
        <f>Raw_Data!W288</f>
        <v>3</v>
      </c>
      <c r="AA297" s="24">
        <f>Raw_Data!X288</f>
        <v>7.9</v>
      </c>
      <c r="AB297" s="23" t="str">
        <f>IF(COUNTIFS(Raw_Data!$A$2:$A$616,Raw_Data!A288)&gt;1,"Duplicate","Unique")</f>
        <v>Unique</v>
      </c>
      <c r="AC297" s="23" t="str">
        <f t="shared" si="14"/>
        <v>Clean</v>
      </c>
    </row>
    <row r="298" spans="1:29" ht="15" customHeight="1">
      <c r="A298" s="25" t="str">
        <f>Raw_Data!A289</f>
        <v>BYJ1288</v>
      </c>
      <c r="B298" s="25" t="str">
        <f>Raw_Data!B289</f>
        <v>Vasana Prabhu</v>
      </c>
      <c r="C298" s="26">
        <f>IF(OR(Raw_Data!C289="",Raw_Data!C289&lt;$C$5,Raw_Data!C289&gt;$C$6),$C$4,Raw_Data!C289)</f>
        <v>44</v>
      </c>
      <c r="D298" s="25" t="str">
        <f>IF(Raw_Data!C289="","Missing-Imputed",IF(OR(Raw_Data!C289&lt;$C$5,Raw_Data!C289&gt;$C$6),"Outlier-Imputed","Original"))</f>
        <v>Original</v>
      </c>
      <c r="E298" s="25" t="str">
        <f>IF(OR(UPPER(TRIM(Raw_Data!D289))="M",UPPER(TRIM(Raw_Data!D289))="MALE"),"Male","Female")</f>
        <v>Male</v>
      </c>
      <c r="F298" s="25" t="str">
        <f>PROPER(TRIM(Raw_Data!E289))</f>
        <v>Hazaribagh</v>
      </c>
      <c r="G298" s="25" t="str">
        <f>PROPER(TRIM(Raw_Data!F289))</f>
        <v>West Bengal</v>
      </c>
      <c r="H298" s="25" t="str">
        <f>PROPER(TRIM(Raw_Data!G289))</f>
        <v>Robotics</v>
      </c>
      <c r="I298" s="25" t="str">
        <f>PROPER(TRIM(Raw_Data!H289))</f>
        <v>Delhi North</v>
      </c>
      <c r="J298" s="26">
        <f>IF(LEN(TRIM(Raw_Data!I289))=4,VALUE(TRIM(Raw_Data!I289)),IF(ISNUMBER(IFERROR(VALUE(MID(TRIM(Raw_Data!I289),1,4)),"NA")),VALUE(MID(TRIM(Raw_Data!I289),1,4)),VALUE(RIGHT(TRIM(Raw_Data!I289),4))))</f>
        <v>2019</v>
      </c>
      <c r="K298" s="25" t="str">
        <f>PROPER(TRIM(Raw_Data!J289))</f>
        <v>Salaried</v>
      </c>
      <c r="L298" s="25" t="str">
        <f t="shared" si="12"/>
        <v>20+</v>
      </c>
      <c r="M298" s="25" t="str">
        <f t="shared" si="13"/>
        <v>Adult Learners</v>
      </c>
      <c r="N298" s="25" t="str">
        <f>IF(ISNUMBER(SEARCH("NON",UPPER(Raw_Data!M289))),"Non-Premium Learner","Premium Learner")</f>
        <v>Premium Learner</v>
      </c>
      <c r="O298" s="25" t="str">
        <f>PROPER(TRIM(Raw_Data!N289))</f>
        <v>Both App &amp; Web</v>
      </c>
      <c r="P298" s="26">
        <f>IF(Raw_Data!O289="",$C$7,Raw_Data!O289)</f>
        <v>140895.54</v>
      </c>
      <c r="Q298" s="25" t="str">
        <f>IF(Raw_Data!O289="","Missing-Imputed","Original")</f>
        <v>Original</v>
      </c>
      <c r="R298" s="26">
        <f>Raw_Data!P289</f>
        <v>13.7</v>
      </c>
      <c r="S298" s="26">
        <f>Raw_Data!Q289</f>
        <v>22064.22</v>
      </c>
      <c r="T298" s="25" t="str">
        <f>IF(Raw_Data!R289="","Unknown",IF(ISNUMBER(SEARCH("ACT",UPPER(Raw_Data!R289))),"Active",IF(ISNUMBER(SEARCH("CLOS",UPPER(Raw_Data!R289))),"Closed","None")))</f>
        <v>Closed</v>
      </c>
      <c r="U298" s="26">
        <f>IF(Raw_Data!S289="",$C$8,VALUE(Raw_Data!S289))</f>
        <v>890</v>
      </c>
      <c r="V298" s="25" t="str">
        <f>IF(Raw_Data!S289="","Missing-Imputed","Original")</f>
        <v>Original</v>
      </c>
      <c r="W298" s="26">
        <f>Raw_Data!T289</f>
        <v>79</v>
      </c>
      <c r="X298" s="25" t="str">
        <f>IF(ISNUMBER(SEARCH("Y",UPPER(TRIM(Raw_Data!U289)))),"Yes","No")</f>
        <v>Yes</v>
      </c>
      <c r="Y298" s="25" t="str">
        <f>IF(ISNUMBER(SEARCH("Y",UPPER(TRIM(Raw_Data!V289)))),"Yes","No")</f>
        <v>No</v>
      </c>
      <c r="Z298" s="26">
        <f>Raw_Data!W289</f>
        <v>3</v>
      </c>
      <c r="AA298" s="26">
        <f>Raw_Data!X289</f>
        <v>7.1</v>
      </c>
      <c r="AB298" s="25" t="str">
        <f>IF(COUNTIFS(Raw_Data!$A$2:$A$616,Raw_Data!A289)&gt;1,"Duplicate","Unique")</f>
        <v>Unique</v>
      </c>
      <c r="AC298" s="25" t="str">
        <f t="shared" si="14"/>
        <v>Clean</v>
      </c>
    </row>
    <row r="299" spans="1:29" ht="15" customHeight="1">
      <c r="A299" s="23" t="str">
        <f>Raw_Data!A290</f>
        <v>BYJ1289</v>
      </c>
      <c r="B299" s="23" t="str">
        <f>Raw_Data!B290</f>
        <v>Bhavani Chacko</v>
      </c>
      <c r="C299" s="24">
        <f>IF(OR(Raw_Data!C290="",Raw_Data!C290&lt;$C$5,Raw_Data!C290&gt;$C$6),$C$4,Raw_Data!C290)</f>
        <v>14</v>
      </c>
      <c r="D299" s="23" t="str">
        <f>IF(Raw_Data!C290="","Missing-Imputed",IF(OR(Raw_Data!C290&lt;$C$5,Raw_Data!C290&gt;$C$6),"Outlier-Imputed","Original"))</f>
        <v>Original</v>
      </c>
      <c r="E299" s="23" t="str">
        <f>IF(OR(UPPER(TRIM(Raw_Data!D290))="M",UPPER(TRIM(Raw_Data!D290))="MALE"),"Male","Female")</f>
        <v>Male</v>
      </c>
      <c r="F299" s="23" t="str">
        <f>PROPER(TRIM(Raw_Data!E290))</f>
        <v>Darbhanga</v>
      </c>
      <c r="G299" s="23" t="str">
        <f>PROPER(TRIM(Raw_Data!F290))</f>
        <v>Uttar Pradesh</v>
      </c>
      <c r="H299" s="23" t="str">
        <f>PROPER(TRIM(Raw_Data!G290))</f>
        <v>Spoken English</v>
      </c>
      <c r="I299" s="23" t="str">
        <f>PROPER(TRIM(Raw_Data!H290))</f>
        <v>Pune East</v>
      </c>
      <c r="J299" s="24">
        <f>IF(LEN(TRIM(Raw_Data!I290))=4,VALUE(TRIM(Raw_Data!I290)),IF(ISNUMBER(IFERROR(VALUE(MID(TRIM(Raw_Data!I290),1,4)),"NA")),VALUE(MID(TRIM(Raw_Data!I290),1,4)),VALUE(RIGHT(TRIM(Raw_Data!I290),4))))</f>
        <v>2018</v>
      </c>
      <c r="K299" s="23" t="str">
        <f>PROPER(TRIM(Raw_Data!J290))</f>
        <v>Self-Employed</v>
      </c>
      <c r="L299" s="23" t="str">
        <f t="shared" si="12"/>
        <v>14-16</v>
      </c>
      <c r="M299" s="23" t="str">
        <f t="shared" si="13"/>
        <v>Teens</v>
      </c>
      <c r="N299" s="23" t="str">
        <f>IF(ISNUMBER(SEARCH("NON",UPPER(Raw_Data!M290))),"Non-Premium Learner","Premium Learner")</f>
        <v>Non-Premium Learner</v>
      </c>
      <c r="O299" s="23" t="str">
        <f>PROPER(TRIM(Raw_Data!N290))</f>
        <v>Web Only</v>
      </c>
      <c r="P299" s="24">
        <f>IF(Raw_Data!O290="",$C$7,Raw_Data!O290)</f>
        <v>26151.25</v>
      </c>
      <c r="Q299" s="23" t="str">
        <f>IF(Raw_Data!O290="","Missing-Imputed","Original")</f>
        <v>Original</v>
      </c>
      <c r="R299" s="24">
        <f>Raw_Data!P290</f>
        <v>65.099999999999994</v>
      </c>
      <c r="S299" s="24">
        <f>Raw_Data!Q290</f>
        <v>42178.01</v>
      </c>
      <c r="T299" s="23" t="str">
        <f>IF(Raw_Data!R290="","Unknown",IF(ISNUMBER(SEARCH("ACT",UPPER(Raw_Data!R290))),"Active",IF(ISNUMBER(SEARCH("CLOS",UPPER(Raw_Data!R290))),"Closed","None")))</f>
        <v>None</v>
      </c>
      <c r="U299" s="24">
        <f>IF(Raw_Data!S290="",$C$8,VALUE(Raw_Data!S290))</f>
        <v>616</v>
      </c>
      <c r="V299" s="23" t="str">
        <f>IF(Raw_Data!S290="","Missing-Imputed","Original")</f>
        <v>Original</v>
      </c>
      <c r="W299" s="24">
        <f>Raw_Data!T290</f>
        <v>176</v>
      </c>
      <c r="X299" s="23" t="str">
        <f>IF(ISNUMBER(SEARCH("Y",UPPER(TRIM(Raw_Data!U290)))),"Yes","No")</f>
        <v>Yes</v>
      </c>
      <c r="Y299" s="23" t="str">
        <f>IF(ISNUMBER(SEARCH("Y",UPPER(TRIM(Raw_Data!V290)))),"Yes","No")</f>
        <v>No</v>
      </c>
      <c r="Z299" s="24">
        <f>Raw_Data!W290</f>
        <v>4</v>
      </c>
      <c r="AA299" s="24">
        <f>Raw_Data!X290</f>
        <v>3</v>
      </c>
      <c r="AB299" s="23" t="str">
        <f>IF(COUNTIFS(Raw_Data!$A$2:$A$616,Raw_Data!A290)&gt;1,"Duplicate","Unique")</f>
        <v>Unique</v>
      </c>
      <c r="AC299" s="23" t="str">
        <f t="shared" si="14"/>
        <v>Clean</v>
      </c>
    </row>
    <row r="300" spans="1:29" ht="15" customHeight="1">
      <c r="A300" s="25" t="str">
        <f>Raw_Data!A291</f>
        <v>BYJ1290</v>
      </c>
      <c r="B300" s="25" t="str">
        <f>Raw_Data!B291</f>
        <v>Yochana Din</v>
      </c>
      <c r="C300" s="26">
        <f>IF(OR(Raw_Data!C291="",Raw_Data!C291&lt;$C$5,Raw_Data!C291&gt;$C$6),$C$4,Raw_Data!C291)</f>
        <v>27</v>
      </c>
      <c r="D300" s="25" t="str">
        <f>IF(Raw_Data!C291="","Missing-Imputed",IF(OR(Raw_Data!C291&lt;$C$5,Raw_Data!C291&gt;$C$6),"Outlier-Imputed","Original"))</f>
        <v>Original</v>
      </c>
      <c r="E300" s="25" t="str">
        <f>IF(OR(UPPER(TRIM(Raw_Data!D291))="M",UPPER(TRIM(Raw_Data!D291))="MALE"),"Male","Female")</f>
        <v>Male</v>
      </c>
      <c r="F300" s="25" t="str">
        <f>PROPER(TRIM(Raw_Data!E291))</f>
        <v>Mysore</v>
      </c>
      <c r="G300" s="25" t="str">
        <f>PROPER(TRIM(Raw_Data!F291))</f>
        <v>Delhi</v>
      </c>
      <c r="H300" s="25" t="str">
        <f>PROPER(TRIM(Raw_Data!G291))</f>
        <v>Coding</v>
      </c>
      <c r="I300" s="25" t="str">
        <f>PROPER(TRIM(Raw_Data!H291))</f>
        <v>Mumbai West</v>
      </c>
      <c r="J300" s="26">
        <f>IF(LEN(TRIM(Raw_Data!I291))=4,VALUE(TRIM(Raw_Data!I291)),IF(ISNUMBER(IFERROR(VALUE(MID(TRIM(Raw_Data!I291),1,4)),"NA")),VALUE(MID(TRIM(Raw_Data!I291),1,4)),VALUE(RIGHT(TRIM(Raw_Data!I291),4))))</f>
        <v>46035</v>
      </c>
      <c r="K300" s="25" t="str">
        <f>PROPER(TRIM(Raw_Data!J291))</f>
        <v>Retired</v>
      </c>
      <c r="L300" s="25" t="str">
        <f t="shared" si="12"/>
        <v>20+</v>
      </c>
      <c r="M300" s="25" t="str">
        <f t="shared" si="13"/>
        <v>Adult Learners</v>
      </c>
      <c r="N300" s="25" t="str">
        <f>IF(ISNUMBER(SEARCH("NON",UPPER(Raw_Data!M291))),"Non-Premium Learner","Premium Learner")</f>
        <v>Non-Premium Learner</v>
      </c>
      <c r="O300" s="25" t="str">
        <f>PROPER(TRIM(Raw_Data!N291))</f>
        <v>App Only</v>
      </c>
      <c r="P300" s="26">
        <f>IF(Raw_Data!O291="",$C$7,Raw_Data!O291)</f>
        <v>84451.72</v>
      </c>
      <c r="Q300" s="25" t="str">
        <f>IF(Raw_Data!O291="","Missing-Imputed","Original")</f>
        <v>Original</v>
      </c>
      <c r="R300" s="26">
        <f>Raw_Data!P291</f>
        <v>55.8</v>
      </c>
      <c r="S300" s="26">
        <f>Raw_Data!Q291</f>
        <v>59418.86</v>
      </c>
      <c r="T300" s="25" t="str">
        <f>IF(Raw_Data!R291="","Unknown",IF(ISNUMBER(SEARCH("ACT",UPPER(Raw_Data!R291))),"Active",IF(ISNUMBER(SEARCH("CLOS",UPPER(Raw_Data!R291))),"Closed","None")))</f>
        <v>Closed</v>
      </c>
      <c r="U300" s="26">
        <f>IF(Raw_Data!S291="",$C$8,VALUE(Raw_Data!S291))</f>
        <v>373</v>
      </c>
      <c r="V300" s="25" t="str">
        <f>IF(Raw_Data!S291="","Missing-Imputed","Original")</f>
        <v>Original</v>
      </c>
      <c r="W300" s="26">
        <f>Raw_Data!T291</f>
        <v>72</v>
      </c>
      <c r="X300" s="25" t="str">
        <f>IF(ISNUMBER(SEARCH("Y",UPPER(TRIM(Raw_Data!U291)))),"Yes","No")</f>
        <v>No</v>
      </c>
      <c r="Y300" s="25" t="str">
        <f>IF(ISNUMBER(SEARCH("Y",UPPER(TRIM(Raw_Data!V291)))),"Yes","No")</f>
        <v>No</v>
      </c>
      <c r="Z300" s="26">
        <f>Raw_Data!W291</f>
        <v>2</v>
      </c>
      <c r="AA300" s="26">
        <f>Raw_Data!X291</f>
        <v>3.2</v>
      </c>
      <c r="AB300" s="25" t="str">
        <f>IF(COUNTIFS(Raw_Data!$A$2:$A$616,Raw_Data!A291)&gt;1,"Duplicate","Unique")</f>
        <v>Unique</v>
      </c>
      <c r="AC300" s="25" t="str">
        <f t="shared" si="14"/>
        <v>Clean</v>
      </c>
    </row>
    <row r="301" spans="1:29" ht="15" customHeight="1">
      <c r="A301" s="23" t="str">
        <f>Raw_Data!A292</f>
        <v>BYJ1291</v>
      </c>
      <c r="B301" s="23" t="str">
        <f>Raw_Data!B292</f>
        <v>Shravya Palla</v>
      </c>
      <c r="C301" s="24">
        <f>IF(OR(Raw_Data!C292="",Raw_Data!C292&lt;$C$5,Raw_Data!C292&gt;$C$6),$C$4,Raw_Data!C292)</f>
        <v>9</v>
      </c>
      <c r="D301" s="23" t="str">
        <f>IF(Raw_Data!C292="","Missing-Imputed",IF(OR(Raw_Data!C292&lt;$C$5,Raw_Data!C292&gt;$C$6),"Outlier-Imputed","Original"))</f>
        <v>Original</v>
      </c>
      <c r="E301" s="23" t="str">
        <f>IF(OR(UPPER(TRIM(Raw_Data!D292))="M",UPPER(TRIM(Raw_Data!D292))="MALE"),"Male","Female")</f>
        <v>Female</v>
      </c>
      <c r="F301" s="23" t="str">
        <f>PROPER(TRIM(Raw_Data!E292))</f>
        <v>Vijayanagaram</v>
      </c>
      <c r="G301" s="23" t="str">
        <f>PROPER(TRIM(Raw_Data!F292))</f>
        <v>Kerala</v>
      </c>
      <c r="H301" s="23" t="str">
        <f>PROPER(TRIM(Raw_Data!G292))</f>
        <v>Science</v>
      </c>
      <c r="I301" s="23" t="str">
        <f>PROPER(TRIM(Raw_Data!H292))</f>
        <v>Ahmedabad Center</v>
      </c>
      <c r="J301" s="24">
        <f>IF(LEN(TRIM(Raw_Data!I292))=4,VALUE(TRIM(Raw_Data!I292)),IF(ISNUMBER(IFERROR(VALUE(MID(TRIM(Raw_Data!I292),1,4)),"NA")),VALUE(MID(TRIM(Raw_Data!I292),1,4)),VALUE(RIGHT(TRIM(Raw_Data!I292),4))))</f>
        <v>2023</v>
      </c>
      <c r="K301" s="23" t="str">
        <f>PROPER(TRIM(Raw_Data!J292))</f>
        <v>Business</v>
      </c>
      <c r="L301" s="23" t="str">
        <f t="shared" si="12"/>
        <v>Under 10</v>
      </c>
      <c r="M301" s="23" t="str">
        <f t="shared" si="13"/>
        <v>Kids</v>
      </c>
      <c r="N301" s="23" t="str">
        <f>IF(ISNUMBER(SEARCH("NON",UPPER(Raw_Data!M292))),"Non-Premium Learner","Premium Learner")</f>
        <v>Non-Premium Learner</v>
      </c>
      <c r="O301" s="23" t="str">
        <f>PROPER(TRIM(Raw_Data!N292))</f>
        <v>Both App &amp; Web</v>
      </c>
      <c r="P301" s="24">
        <f>IF(Raw_Data!O292="",$C$7,Raw_Data!O292)</f>
        <v>6324.21</v>
      </c>
      <c r="Q301" s="23" t="str">
        <f>IF(Raw_Data!O292="","Missing-Imputed","Original")</f>
        <v>Original</v>
      </c>
      <c r="R301" s="24">
        <f>Raw_Data!P292</f>
        <v>48.2</v>
      </c>
      <c r="S301" s="24">
        <f>Raw_Data!Q292</f>
        <v>40699.07</v>
      </c>
      <c r="T301" s="23" t="str">
        <f>IF(Raw_Data!R292="","Unknown",IF(ISNUMBER(SEARCH("ACT",UPPER(Raw_Data!R292))),"Active",IF(ISNUMBER(SEARCH("CLOS",UPPER(Raw_Data!R292))),"Closed","None")))</f>
        <v>Active</v>
      </c>
      <c r="U301" s="24">
        <f>IF(Raw_Data!S292="",$C$8,VALUE(Raw_Data!S292))</f>
        <v>737</v>
      </c>
      <c r="V301" s="23" t="str">
        <f>IF(Raw_Data!S292="","Missing-Imputed","Original")</f>
        <v>Original</v>
      </c>
      <c r="W301" s="24">
        <f>Raw_Data!T292</f>
        <v>43</v>
      </c>
      <c r="X301" s="23" t="str">
        <f>IF(ISNUMBER(SEARCH("Y",UPPER(TRIM(Raw_Data!U292)))),"Yes","No")</f>
        <v>Yes</v>
      </c>
      <c r="Y301" s="23" t="str">
        <f>IF(ISNUMBER(SEARCH("Y",UPPER(TRIM(Raw_Data!V292)))),"Yes","No")</f>
        <v>No</v>
      </c>
      <c r="Z301" s="24">
        <f>Raw_Data!W292</f>
        <v>2</v>
      </c>
      <c r="AA301" s="24">
        <f>Raw_Data!X292</f>
        <v>8.5</v>
      </c>
      <c r="AB301" s="23" t="str">
        <f>IF(COUNTIFS(Raw_Data!$A$2:$A$616,Raw_Data!A292)&gt;1,"Duplicate","Unique")</f>
        <v>Unique</v>
      </c>
      <c r="AC301" s="23" t="str">
        <f t="shared" si="14"/>
        <v>Clean</v>
      </c>
    </row>
    <row r="302" spans="1:29" ht="15" customHeight="1">
      <c r="A302" s="25" t="str">
        <f>Raw_Data!A293</f>
        <v>BYJ1292</v>
      </c>
      <c r="B302" s="25" t="str">
        <f>Raw_Data!B293</f>
        <v>Meghana Thakkar</v>
      </c>
      <c r="C302" s="26">
        <f>IF(OR(Raw_Data!C293="",Raw_Data!C293&lt;$C$5,Raw_Data!C293&gt;$C$6),$C$4,Raw_Data!C293)</f>
        <v>27</v>
      </c>
      <c r="D302" s="25" t="str">
        <f>IF(Raw_Data!C293="","Missing-Imputed",IF(OR(Raw_Data!C293&lt;$C$5,Raw_Data!C293&gt;$C$6),"Outlier-Imputed","Original"))</f>
        <v>Original</v>
      </c>
      <c r="E302" s="25" t="str">
        <f>IF(OR(UPPER(TRIM(Raw_Data!D293))="M",UPPER(TRIM(Raw_Data!D293))="MALE"),"Male","Female")</f>
        <v>Female</v>
      </c>
      <c r="F302" s="25" t="str">
        <f>PROPER(TRIM(Raw_Data!E293))</f>
        <v>Noida</v>
      </c>
      <c r="G302" s="25" t="str">
        <f>PROPER(TRIM(Raw_Data!F293))</f>
        <v>West Bengal</v>
      </c>
      <c r="H302" s="25" t="str">
        <f>PROPER(TRIM(Raw_Data!G293))</f>
        <v>English</v>
      </c>
      <c r="I302" s="25" t="str">
        <f>PROPER(TRIM(Raw_Data!H293))</f>
        <v>Chennai Central</v>
      </c>
      <c r="J302" s="26">
        <f>IF(LEN(TRIM(Raw_Data!I293))=4,VALUE(TRIM(Raw_Data!I293)),IF(ISNUMBER(IFERROR(VALUE(MID(TRIM(Raw_Data!I293),1,4)),"NA")),VALUE(MID(TRIM(Raw_Data!I293),1,4)),VALUE(RIGHT(TRIM(Raw_Data!I293),4))))</f>
        <v>2017</v>
      </c>
      <c r="K302" s="25" t="str">
        <f>PROPER(TRIM(Raw_Data!J293))</f>
        <v>Homemaker</v>
      </c>
      <c r="L302" s="25" t="str">
        <f t="shared" si="12"/>
        <v>20+</v>
      </c>
      <c r="M302" s="25" t="str">
        <f t="shared" si="13"/>
        <v>Adult Learners</v>
      </c>
      <c r="N302" s="25" t="str">
        <f>IF(ISNUMBER(SEARCH("NON",UPPER(Raw_Data!M293))),"Non-Premium Learner","Premium Learner")</f>
        <v>Non-Premium Learner</v>
      </c>
      <c r="O302" s="25" t="str">
        <f>PROPER(TRIM(Raw_Data!N293))</f>
        <v>Both App &amp; Web</v>
      </c>
      <c r="P302" s="26">
        <f>IF(Raw_Data!O293="",$C$7,Raw_Data!O293)</f>
        <v>113054.03</v>
      </c>
      <c r="Q302" s="25" t="str">
        <f>IF(Raw_Data!O293="","Missing-Imputed","Original")</f>
        <v>Original</v>
      </c>
      <c r="R302" s="26">
        <f>Raw_Data!P293</f>
        <v>79.3</v>
      </c>
      <c r="S302" s="26">
        <f>Raw_Data!Q293</f>
        <v>40244.15</v>
      </c>
      <c r="T302" s="25" t="str">
        <f>IF(Raw_Data!R293="","Unknown",IF(ISNUMBER(SEARCH("ACT",UPPER(Raw_Data!R293))),"Active",IF(ISNUMBER(SEARCH("CLOS",UPPER(Raw_Data!R293))),"Closed","None")))</f>
        <v>Active</v>
      </c>
      <c r="U302" s="26">
        <f>IF(Raw_Data!S293="",$C$8,VALUE(Raw_Data!S293))</f>
        <v>691</v>
      </c>
      <c r="V302" s="25" t="str">
        <f>IF(Raw_Data!S293="","Missing-Imputed","Original")</f>
        <v>Original</v>
      </c>
      <c r="W302" s="26">
        <f>Raw_Data!T293</f>
        <v>167</v>
      </c>
      <c r="X302" s="25" t="str">
        <f>IF(ISNUMBER(SEARCH("Y",UPPER(TRIM(Raw_Data!U293)))),"Yes","No")</f>
        <v>No</v>
      </c>
      <c r="Y302" s="25" t="str">
        <f>IF(ISNUMBER(SEARCH("Y",UPPER(TRIM(Raw_Data!V293)))),"Yes","No")</f>
        <v>Yes</v>
      </c>
      <c r="Z302" s="26">
        <f>Raw_Data!W293</f>
        <v>1</v>
      </c>
      <c r="AA302" s="26">
        <f>Raw_Data!X293</f>
        <v>1.2</v>
      </c>
      <c r="AB302" s="25" t="str">
        <f>IF(COUNTIFS(Raw_Data!$A$2:$A$616,Raw_Data!A293)&gt;1,"Duplicate","Unique")</f>
        <v>Unique</v>
      </c>
      <c r="AC302" s="25" t="str">
        <f t="shared" si="14"/>
        <v>Clean</v>
      </c>
    </row>
    <row r="303" spans="1:29" ht="15" customHeight="1">
      <c r="A303" s="23" t="str">
        <f>Raw_Data!A294</f>
        <v>BYJ1293</v>
      </c>
      <c r="B303" s="23" t="str">
        <f>Raw_Data!B294</f>
        <v>Finn Prasad</v>
      </c>
      <c r="C303" s="24">
        <f>IF(OR(Raw_Data!C294="",Raw_Data!C294&lt;$C$5,Raw_Data!C294&gt;$C$6),$C$4,Raw_Data!C294)</f>
        <v>38</v>
      </c>
      <c r="D303" s="23" t="str">
        <f>IF(Raw_Data!C294="","Missing-Imputed",IF(OR(Raw_Data!C294&lt;$C$5,Raw_Data!C294&gt;$C$6),"Outlier-Imputed","Original"))</f>
        <v>Original</v>
      </c>
      <c r="E303" s="23" t="str">
        <f>IF(OR(UPPER(TRIM(Raw_Data!D294))="M",UPPER(TRIM(Raw_Data!D294))="MALE"),"Male","Female")</f>
        <v>Male</v>
      </c>
      <c r="F303" s="23" t="str">
        <f>PROPER(TRIM(Raw_Data!E294))</f>
        <v>Bhopal</v>
      </c>
      <c r="G303" s="23" t="str">
        <f>PROPER(TRIM(Raw_Data!F294))</f>
        <v>Kerala</v>
      </c>
      <c r="H303" s="23" t="str">
        <f>PROPER(TRIM(Raw_Data!G294))</f>
        <v>Spoken English</v>
      </c>
      <c r="I303" s="23" t="str">
        <f>PROPER(TRIM(Raw_Data!H294))</f>
        <v>Hyderabad Hub</v>
      </c>
      <c r="J303" s="24">
        <f>IF(LEN(TRIM(Raw_Data!I294))=4,VALUE(TRIM(Raw_Data!I294)),IF(ISNUMBER(IFERROR(VALUE(MID(TRIM(Raw_Data!I294),1,4)),"NA")),VALUE(MID(TRIM(Raw_Data!I294),1,4)),VALUE(RIGHT(TRIM(Raw_Data!I294),4))))</f>
        <v>2017</v>
      </c>
      <c r="K303" s="23" t="str">
        <f>PROPER(TRIM(Raw_Data!J294))</f>
        <v>Self-Employed</v>
      </c>
      <c r="L303" s="23" t="str">
        <f t="shared" si="12"/>
        <v>20+</v>
      </c>
      <c r="M303" s="23" t="str">
        <f t="shared" si="13"/>
        <v>Adult Learners</v>
      </c>
      <c r="N303" s="23" t="str">
        <f>IF(ISNUMBER(SEARCH("NON",UPPER(Raw_Data!M294))),"Non-Premium Learner","Premium Learner")</f>
        <v>Non-Premium Learner</v>
      </c>
      <c r="O303" s="23" t="str">
        <f>PROPER(TRIM(Raw_Data!N294))</f>
        <v>Web Only</v>
      </c>
      <c r="P303" s="24">
        <f>IF(Raw_Data!O294="",$C$7,Raw_Data!O294)</f>
        <v>87856.35</v>
      </c>
      <c r="Q303" s="23" t="str">
        <f>IF(Raw_Data!O294="","Missing-Imputed","Original")</f>
        <v>Original</v>
      </c>
      <c r="R303" s="24">
        <f>Raw_Data!P294</f>
        <v>9.8000000000000007</v>
      </c>
      <c r="S303" s="24">
        <f>Raw_Data!Q294</f>
        <v>54532.83</v>
      </c>
      <c r="T303" s="23" t="str">
        <f>IF(Raw_Data!R294="","Unknown",IF(ISNUMBER(SEARCH("ACT",UPPER(Raw_Data!R294))),"Active",IF(ISNUMBER(SEARCH("CLOS",UPPER(Raw_Data!R294))),"Closed","None")))</f>
        <v>None</v>
      </c>
      <c r="U303" s="24">
        <f>IF(Raw_Data!S294="",$C$8,VALUE(Raw_Data!S294))</f>
        <v>715</v>
      </c>
      <c r="V303" s="23" t="str">
        <f>IF(Raw_Data!S294="","Missing-Imputed","Original")</f>
        <v>Original</v>
      </c>
      <c r="W303" s="24">
        <f>Raw_Data!T294</f>
        <v>5</v>
      </c>
      <c r="X303" s="23" t="str">
        <f>IF(ISNUMBER(SEARCH("Y",UPPER(TRIM(Raw_Data!U294)))),"Yes","No")</f>
        <v>No</v>
      </c>
      <c r="Y303" s="23" t="str">
        <f>IF(ISNUMBER(SEARCH("Y",UPPER(TRIM(Raw_Data!V294)))),"Yes","No")</f>
        <v>Yes</v>
      </c>
      <c r="Z303" s="24">
        <f>Raw_Data!W294</f>
        <v>2</v>
      </c>
      <c r="AA303" s="24">
        <f>Raw_Data!X294</f>
        <v>8.6999999999999993</v>
      </c>
      <c r="AB303" s="23" t="str">
        <f>IF(COUNTIFS(Raw_Data!$A$2:$A$616,Raw_Data!A294)&gt;1,"Duplicate","Unique")</f>
        <v>Unique</v>
      </c>
      <c r="AC303" s="23" t="str">
        <f t="shared" si="14"/>
        <v>Clean</v>
      </c>
    </row>
    <row r="304" spans="1:29" ht="15" customHeight="1">
      <c r="A304" s="25" t="str">
        <f>Raw_Data!A295</f>
        <v>BYJ1294</v>
      </c>
      <c r="B304" s="25" t="str">
        <f>Raw_Data!B295</f>
        <v>Hardik Nayak</v>
      </c>
      <c r="C304" s="26">
        <f>IF(OR(Raw_Data!C295="",Raw_Data!C295&lt;$C$5,Raw_Data!C295&gt;$C$6),$C$4,Raw_Data!C295)</f>
        <v>44</v>
      </c>
      <c r="D304" s="25" t="str">
        <f>IF(Raw_Data!C295="","Missing-Imputed",IF(OR(Raw_Data!C295&lt;$C$5,Raw_Data!C295&gt;$C$6),"Outlier-Imputed","Original"))</f>
        <v>Original</v>
      </c>
      <c r="E304" s="25" t="str">
        <f>IF(OR(UPPER(TRIM(Raw_Data!D295))="M",UPPER(TRIM(Raw_Data!D295))="MALE"),"Male","Female")</f>
        <v>Male</v>
      </c>
      <c r="F304" s="25" t="str">
        <f>PROPER(TRIM(Raw_Data!E295))</f>
        <v>Durgapur</v>
      </c>
      <c r="G304" s="25" t="str">
        <f>PROPER(TRIM(Raw_Data!F295))</f>
        <v>Gujarat</v>
      </c>
      <c r="H304" s="25" t="str">
        <f>PROPER(TRIM(Raw_Data!G295))</f>
        <v>Mathematics</v>
      </c>
      <c r="I304" s="25" t="str">
        <f>PROPER(TRIM(Raw_Data!H295))</f>
        <v>Chennai Central</v>
      </c>
      <c r="J304" s="26">
        <f>IF(LEN(TRIM(Raw_Data!I295))=4,VALUE(TRIM(Raw_Data!I295)),IF(ISNUMBER(IFERROR(VALUE(MID(TRIM(Raw_Data!I295),1,4)),"NA")),VALUE(MID(TRIM(Raw_Data!I295),1,4)),VALUE(RIGHT(TRIM(Raw_Data!I295),4))))</f>
        <v>2018</v>
      </c>
      <c r="K304" s="25" t="str">
        <f>PROPER(TRIM(Raw_Data!J295))</f>
        <v>Salaried</v>
      </c>
      <c r="L304" s="25" t="str">
        <f t="shared" si="12"/>
        <v>20+</v>
      </c>
      <c r="M304" s="25" t="str">
        <f t="shared" si="13"/>
        <v>Adult Learners</v>
      </c>
      <c r="N304" s="25" t="str">
        <f>IF(ISNUMBER(SEARCH("NON",UPPER(Raw_Data!M295))),"Non-Premium Learner","Premium Learner")</f>
        <v>Non-Premium Learner</v>
      </c>
      <c r="O304" s="25" t="str">
        <f>PROPER(TRIM(Raw_Data!N295))</f>
        <v>App Only</v>
      </c>
      <c r="P304" s="26">
        <f>IF(Raw_Data!O295="",$C$7,Raw_Data!O295)</f>
        <v>17268.5</v>
      </c>
      <c r="Q304" s="25" t="str">
        <f>IF(Raw_Data!O295="","Missing-Imputed","Original")</f>
        <v>Original</v>
      </c>
      <c r="R304" s="26">
        <f>Raw_Data!P295</f>
        <v>27.4</v>
      </c>
      <c r="S304" s="26">
        <f>Raw_Data!Q295</f>
        <v>57976.57</v>
      </c>
      <c r="T304" s="25" t="str">
        <f>IF(Raw_Data!R295="","Unknown",IF(ISNUMBER(SEARCH("ACT",UPPER(Raw_Data!R295))),"Active",IF(ISNUMBER(SEARCH("CLOS",UPPER(Raw_Data!R295))),"Closed","None")))</f>
        <v>Active</v>
      </c>
      <c r="U304" s="26">
        <f>IF(Raw_Data!S295="",$C$8,VALUE(Raw_Data!S295))</f>
        <v>300</v>
      </c>
      <c r="V304" s="25" t="str">
        <f>IF(Raw_Data!S295="","Missing-Imputed","Original")</f>
        <v>Original</v>
      </c>
      <c r="W304" s="26">
        <f>Raw_Data!T295</f>
        <v>11</v>
      </c>
      <c r="X304" s="25" t="str">
        <f>IF(ISNUMBER(SEARCH("Y",UPPER(TRIM(Raw_Data!U295)))),"Yes","No")</f>
        <v>No</v>
      </c>
      <c r="Y304" s="25" t="str">
        <f>IF(ISNUMBER(SEARCH("Y",UPPER(TRIM(Raw_Data!V295)))),"Yes","No")</f>
        <v>Yes</v>
      </c>
      <c r="Z304" s="26">
        <f>Raw_Data!W295</f>
        <v>3</v>
      </c>
      <c r="AA304" s="26">
        <f>Raw_Data!X295</f>
        <v>4.9000000000000004</v>
      </c>
      <c r="AB304" s="25" t="str">
        <f>IF(COUNTIFS(Raw_Data!$A$2:$A$616,Raw_Data!A295)&gt;1,"Duplicate","Unique")</f>
        <v>Unique</v>
      </c>
      <c r="AC304" s="25" t="str">
        <f t="shared" si="14"/>
        <v>Clean</v>
      </c>
    </row>
    <row r="305" spans="1:29" ht="15" customHeight="1">
      <c r="A305" s="23" t="str">
        <f>Raw_Data!A296</f>
        <v>BYJ1295</v>
      </c>
      <c r="B305" s="23" t="str">
        <f>Raw_Data!B296</f>
        <v>Bhavini Sodhi</v>
      </c>
      <c r="C305" s="24">
        <f>IF(OR(Raw_Data!C296="",Raw_Data!C296&lt;$C$5,Raw_Data!C296&gt;$C$6),$C$4,Raw_Data!C296)</f>
        <v>40</v>
      </c>
      <c r="D305" s="23" t="str">
        <f>IF(Raw_Data!C296="","Missing-Imputed",IF(OR(Raw_Data!C296&lt;$C$5,Raw_Data!C296&gt;$C$6),"Outlier-Imputed","Original"))</f>
        <v>Original</v>
      </c>
      <c r="E305" s="23" t="str">
        <f>IF(OR(UPPER(TRIM(Raw_Data!D296))="M",UPPER(TRIM(Raw_Data!D296))="MALE"),"Male","Female")</f>
        <v>Male</v>
      </c>
      <c r="F305" s="23" t="str">
        <f>PROPER(TRIM(Raw_Data!E296))</f>
        <v>Nandyal</v>
      </c>
      <c r="G305" s="23" t="str">
        <f>PROPER(TRIM(Raw_Data!F296))</f>
        <v>Tamil Nadu</v>
      </c>
      <c r="H305" s="23" t="str">
        <f>PROPER(TRIM(Raw_Data!G296))</f>
        <v>English</v>
      </c>
      <c r="I305" s="23" t="str">
        <f>PROPER(TRIM(Raw_Data!H296))</f>
        <v>Chennai Central</v>
      </c>
      <c r="J305" s="24">
        <f>IF(LEN(TRIM(Raw_Data!I296))=4,VALUE(TRIM(Raw_Data!I296)),IF(ISNUMBER(IFERROR(VALUE(MID(TRIM(Raw_Data!I296),1,4)),"NA")),VALUE(MID(TRIM(Raw_Data!I296),1,4)),VALUE(RIGHT(TRIM(Raw_Data!I296),4))))</f>
        <v>2019</v>
      </c>
      <c r="K305" s="23" t="str">
        <f>PROPER(TRIM(Raw_Data!J296))</f>
        <v>Business</v>
      </c>
      <c r="L305" s="23" t="str">
        <f t="shared" si="12"/>
        <v>20+</v>
      </c>
      <c r="M305" s="23" t="str">
        <f t="shared" si="13"/>
        <v>Adult Learners</v>
      </c>
      <c r="N305" s="23" t="str">
        <f>IF(ISNUMBER(SEARCH("NON",UPPER(Raw_Data!M296))),"Non-Premium Learner","Premium Learner")</f>
        <v>Non-Premium Learner</v>
      </c>
      <c r="O305" s="23" t="str">
        <f>PROPER(TRIM(Raw_Data!N296))</f>
        <v>Web Only</v>
      </c>
      <c r="P305" s="24">
        <f>IF(Raw_Data!O296="",$C$7,Raw_Data!O296)</f>
        <v>45222.38</v>
      </c>
      <c r="Q305" s="23" t="str">
        <f>IF(Raw_Data!O296="","Missing-Imputed","Original")</f>
        <v>Original</v>
      </c>
      <c r="R305" s="24">
        <f>Raw_Data!P296</f>
        <v>36.700000000000003</v>
      </c>
      <c r="S305" s="24">
        <f>Raw_Data!Q296</f>
        <v>32990.92</v>
      </c>
      <c r="T305" s="23" t="str">
        <f>IF(Raw_Data!R296="","Unknown",IF(ISNUMBER(SEARCH("ACT",UPPER(Raw_Data!R296))),"Active",IF(ISNUMBER(SEARCH("CLOS",UPPER(Raw_Data!R296))),"Closed","None")))</f>
        <v>Closed</v>
      </c>
      <c r="U305" s="24">
        <f>IF(Raw_Data!S296="",$C$8,VALUE(Raw_Data!S296))</f>
        <v>467</v>
      </c>
      <c r="V305" s="23" t="str">
        <f>IF(Raw_Data!S296="","Missing-Imputed","Original")</f>
        <v>Original</v>
      </c>
      <c r="W305" s="24">
        <f>Raw_Data!T296</f>
        <v>21</v>
      </c>
      <c r="X305" s="23" t="str">
        <f>IF(ISNUMBER(SEARCH("Y",UPPER(TRIM(Raw_Data!U296)))),"Yes","No")</f>
        <v>No</v>
      </c>
      <c r="Y305" s="23" t="str">
        <f>IF(ISNUMBER(SEARCH("Y",UPPER(TRIM(Raw_Data!V296)))),"Yes","No")</f>
        <v>Yes</v>
      </c>
      <c r="Z305" s="24">
        <f>Raw_Data!W296</f>
        <v>1</v>
      </c>
      <c r="AA305" s="24">
        <f>Raw_Data!X296</f>
        <v>5.9</v>
      </c>
      <c r="AB305" s="23" t="str">
        <f>IF(COUNTIFS(Raw_Data!$A$2:$A$616,Raw_Data!A296)&gt;1,"Duplicate","Unique")</f>
        <v>Unique</v>
      </c>
      <c r="AC305" s="23" t="str">
        <f t="shared" si="14"/>
        <v>Clean</v>
      </c>
    </row>
    <row r="306" spans="1:29" ht="15" customHeight="1">
      <c r="A306" s="25" t="str">
        <f>Raw_Data!A297</f>
        <v>BYJ1296</v>
      </c>
      <c r="B306" s="25" t="str">
        <f>Raw_Data!B297</f>
        <v>Abdul Buch</v>
      </c>
      <c r="C306" s="26">
        <f>IF(OR(Raw_Data!C297="",Raw_Data!C297&lt;$C$5,Raw_Data!C297&gt;$C$6),$C$4,Raw_Data!C297)</f>
        <v>18</v>
      </c>
      <c r="D306" s="25" t="str">
        <f>IF(Raw_Data!C297="","Missing-Imputed",IF(OR(Raw_Data!C297&lt;$C$5,Raw_Data!C297&gt;$C$6),"Outlier-Imputed","Original"))</f>
        <v>Original</v>
      </c>
      <c r="E306" s="25" t="str">
        <f>IF(OR(UPPER(TRIM(Raw_Data!D297))="M",UPPER(TRIM(Raw_Data!D297))="MALE"),"Male","Female")</f>
        <v>Female</v>
      </c>
      <c r="F306" s="25" t="str">
        <f>PROPER(TRIM(Raw_Data!E297))</f>
        <v>Bardhaman</v>
      </c>
      <c r="G306" s="25" t="str">
        <f>PROPER(TRIM(Raw_Data!F297))</f>
        <v>Uttar Pradesh</v>
      </c>
      <c r="H306" s="25" t="str">
        <f>PROPER(TRIM(Raw_Data!G297))</f>
        <v>Science</v>
      </c>
      <c r="I306" s="25" t="str">
        <f>PROPER(TRIM(Raw_Data!H297))</f>
        <v>Kolkata Main</v>
      </c>
      <c r="J306" s="26">
        <f>IF(LEN(TRIM(Raw_Data!I297))=4,VALUE(TRIM(Raw_Data!I297)),IF(ISNUMBER(IFERROR(VALUE(MID(TRIM(Raw_Data!I297),1,4)),"NA")),VALUE(MID(TRIM(Raw_Data!I297),1,4)),VALUE(RIGHT(TRIM(Raw_Data!I297),4))))</f>
        <v>2018</v>
      </c>
      <c r="K306" s="25" t="str">
        <f>PROPER(TRIM(Raw_Data!J297))</f>
        <v>Self-Employed</v>
      </c>
      <c r="L306" s="25" t="str">
        <f t="shared" si="12"/>
        <v>17-19</v>
      </c>
      <c r="M306" s="25" t="str">
        <f t="shared" si="13"/>
        <v>Teens</v>
      </c>
      <c r="N306" s="25" t="str">
        <f>IF(ISNUMBER(SEARCH("NON",UPPER(Raw_Data!M297))),"Non-Premium Learner","Premium Learner")</f>
        <v>Premium Learner</v>
      </c>
      <c r="O306" s="25" t="str">
        <f>PROPER(TRIM(Raw_Data!N297))</f>
        <v>App Only</v>
      </c>
      <c r="P306" s="26">
        <f>IF(Raw_Data!O297="",$C$7,Raw_Data!O297)</f>
        <v>44168.160000000003</v>
      </c>
      <c r="Q306" s="25" t="str">
        <f>IF(Raw_Data!O297="","Missing-Imputed","Original")</f>
        <v>Original</v>
      </c>
      <c r="R306" s="26">
        <f>Raw_Data!P297</f>
        <v>56.3</v>
      </c>
      <c r="S306" s="26">
        <f>Raw_Data!Q297</f>
        <v>24406.880000000001</v>
      </c>
      <c r="T306" s="25" t="str">
        <f>IF(Raw_Data!R297="","Unknown",IF(ISNUMBER(SEARCH("ACT",UPPER(Raw_Data!R297))),"Active",IF(ISNUMBER(SEARCH("CLOS",UPPER(Raw_Data!R297))),"Closed","None")))</f>
        <v>Closed</v>
      </c>
      <c r="U306" s="26">
        <f>IF(Raw_Data!S297="",$C$8,VALUE(Raw_Data!S297))</f>
        <v>391</v>
      </c>
      <c r="V306" s="25" t="str">
        <f>IF(Raw_Data!S297="","Missing-Imputed","Original")</f>
        <v>Original</v>
      </c>
      <c r="W306" s="26">
        <f>Raw_Data!T297</f>
        <v>85</v>
      </c>
      <c r="X306" s="25" t="str">
        <f>IF(ISNUMBER(SEARCH("Y",UPPER(TRIM(Raw_Data!U297)))),"Yes","No")</f>
        <v>No</v>
      </c>
      <c r="Y306" s="25" t="str">
        <f>IF(ISNUMBER(SEARCH("Y",UPPER(TRIM(Raw_Data!V297)))),"Yes","No")</f>
        <v>Yes</v>
      </c>
      <c r="Z306" s="26">
        <f>Raw_Data!W297</f>
        <v>1</v>
      </c>
      <c r="AA306" s="26">
        <f>Raw_Data!X297</f>
        <v>1.3</v>
      </c>
      <c r="AB306" s="25" t="str">
        <f>IF(COUNTIFS(Raw_Data!$A$2:$A$616,Raw_Data!A297)&gt;1,"Duplicate","Unique")</f>
        <v>Unique</v>
      </c>
      <c r="AC306" s="25" t="str">
        <f t="shared" si="14"/>
        <v>Clean</v>
      </c>
    </row>
    <row r="307" spans="1:29" ht="15" customHeight="1">
      <c r="A307" s="23" t="str">
        <f>Raw_Data!A298</f>
        <v>BYJ1297</v>
      </c>
      <c r="B307" s="23" t="str">
        <f>Raw_Data!B298</f>
        <v>Mason Wable</v>
      </c>
      <c r="C307" s="24">
        <f>IF(OR(Raw_Data!C298="",Raw_Data!C298&lt;$C$5,Raw_Data!C298&gt;$C$6),$C$4,Raw_Data!C298)</f>
        <v>12</v>
      </c>
      <c r="D307" s="23" t="str">
        <f>IF(Raw_Data!C298="","Missing-Imputed",IF(OR(Raw_Data!C298&lt;$C$5,Raw_Data!C298&gt;$C$6),"Outlier-Imputed","Original"))</f>
        <v>Original</v>
      </c>
      <c r="E307" s="23" t="str">
        <f>IF(OR(UPPER(TRIM(Raw_Data!D298))="M",UPPER(TRIM(Raw_Data!D298))="MALE"),"Male","Female")</f>
        <v>Male</v>
      </c>
      <c r="F307" s="23" t="str">
        <f>PROPER(TRIM(Raw_Data!E298))</f>
        <v>Bhubaneswar</v>
      </c>
      <c r="G307" s="23" t="str">
        <f>PROPER(TRIM(Raw_Data!F298))</f>
        <v>Telangana</v>
      </c>
      <c r="H307" s="23" t="str">
        <f>PROPER(TRIM(Raw_Data!G298))</f>
        <v>Spoken English</v>
      </c>
      <c r="I307" s="23" t="str">
        <f>PROPER(TRIM(Raw_Data!H298))</f>
        <v>Bengaluru South</v>
      </c>
      <c r="J307" s="24">
        <f>IF(LEN(TRIM(Raw_Data!I298))=4,VALUE(TRIM(Raw_Data!I298)),IF(ISNUMBER(IFERROR(VALUE(MID(TRIM(Raw_Data!I298),1,4)),"NA")),VALUE(MID(TRIM(Raw_Data!I298),1,4)),VALUE(RIGHT(TRIM(Raw_Data!I298),4))))</f>
        <v>2024</v>
      </c>
      <c r="K307" s="23" t="str">
        <f>PROPER(TRIM(Raw_Data!J298))</f>
        <v>Government Employee</v>
      </c>
      <c r="L307" s="23" t="str">
        <f t="shared" si="12"/>
        <v>10-13</v>
      </c>
      <c r="M307" s="23" t="str">
        <f t="shared" si="13"/>
        <v>Kids</v>
      </c>
      <c r="N307" s="23" t="str">
        <f>IF(ISNUMBER(SEARCH("NON",UPPER(Raw_Data!M298))),"Non-Premium Learner","Premium Learner")</f>
        <v>Premium Learner</v>
      </c>
      <c r="O307" s="23" t="str">
        <f>PROPER(TRIM(Raw_Data!N298))</f>
        <v>App Only</v>
      </c>
      <c r="P307" s="24">
        <f>IF(Raw_Data!O298="",$C$7,Raw_Data!O298)</f>
        <v>29758.38</v>
      </c>
      <c r="Q307" s="23" t="str">
        <f>IF(Raw_Data!O298="","Missing-Imputed","Original")</f>
        <v>Original</v>
      </c>
      <c r="R307" s="24">
        <f>Raw_Data!P298</f>
        <v>34.200000000000003</v>
      </c>
      <c r="S307" s="24">
        <f>Raw_Data!Q298</f>
        <v>20710.37</v>
      </c>
      <c r="T307" s="23" t="str">
        <f>IF(Raw_Data!R298="","Unknown",IF(ISNUMBER(SEARCH("ACT",UPPER(Raw_Data!R298))),"Active",IF(ISNUMBER(SEARCH("CLOS",UPPER(Raw_Data!R298))),"Closed","None")))</f>
        <v>Unknown</v>
      </c>
      <c r="U307" s="24">
        <f>IF(Raw_Data!S298="",$C$8,VALUE(Raw_Data!S298))</f>
        <v>864</v>
      </c>
      <c r="V307" s="23" t="str">
        <f>IF(Raw_Data!S298="","Missing-Imputed","Original")</f>
        <v>Original</v>
      </c>
      <c r="W307" s="24">
        <f>Raw_Data!T298</f>
        <v>103</v>
      </c>
      <c r="X307" s="23" t="str">
        <f>IF(ISNUMBER(SEARCH("Y",UPPER(TRIM(Raw_Data!U298)))),"Yes","No")</f>
        <v>No</v>
      </c>
      <c r="Y307" s="23" t="str">
        <f>IF(ISNUMBER(SEARCH("Y",UPPER(TRIM(Raw_Data!V298)))),"Yes","No")</f>
        <v>No</v>
      </c>
      <c r="Z307" s="24">
        <f>Raw_Data!W298</f>
        <v>5</v>
      </c>
      <c r="AA307" s="24">
        <f>Raw_Data!X298</f>
        <v>6.6</v>
      </c>
      <c r="AB307" s="23" t="str">
        <f>IF(COUNTIFS(Raw_Data!$A$2:$A$616,Raw_Data!A298)&gt;1,"Duplicate","Unique")</f>
        <v>Unique</v>
      </c>
      <c r="AC307" s="23" t="str">
        <f t="shared" si="14"/>
        <v>Clean</v>
      </c>
    </row>
    <row r="308" spans="1:29" ht="15" customHeight="1">
      <c r="A308" s="25" t="str">
        <f>Raw_Data!A299</f>
        <v>BYJ1298</v>
      </c>
      <c r="B308" s="25" t="str">
        <f>Raw_Data!B299</f>
        <v>Wazir Mitra</v>
      </c>
      <c r="C308" s="26">
        <f>IF(OR(Raw_Data!C299="",Raw_Data!C299&lt;$C$5,Raw_Data!C299&gt;$C$6),$C$4,Raw_Data!C299)</f>
        <v>42</v>
      </c>
      <c r="D308" s="25" t="str">
        <f>IF(Raw_Data!C299="","Missing-Imputed",IF(OR(Raw_Data!C299&lt;$C$5,Raw_Data!C299&gt;$C$6),"Outlier-Imputed","Original"))</f>
        <v>Original</v>
      </c>
      <c r="E308" s="25" t="str">
        <f>IF(OR(UPPER(TRIM(Raw_Data!D299))="M",UPPER(TRIM(Raw_Data!D299))="MALE"),"Male","Female")</f>
        <v>Female</v>
      </c>
      <c r="F308" s="25" t="str">
        <f>PROPER(TRIM(Raw_Data!E299))</f>
        <v>Nashik</v>
      </c>
      <c r="G308" s="25" t="str">
        <f>PROPER(TRIM(Raw_Data!F299))</f>
        <v>Gujarat</v>
      </c>
      <c r="H308" s="25" t="str">
        <f>PROPER(TRIM(Raw_Data!G299))</f>
        <v>English</v>
      </c>
      <c r="I308" s="25" t="str">
        <f>PROPER(TRIM(Raw_Data!H299))</f>
        <v>Lucknow Hub</v>
      </c>
      <c r="J308" s="26">
        <f>IF(LEN(TRIM(Raw_Data!I299))=4,VALUE(TRIM(Raw_Data!I299)),IF(ISNUMBER(IFERROR(VALUE(MID(TRIM(Raw_Data!I299),1,4)),"NA")),VALUE(MID(TRIM(Raw_Data!I299),1,4)),VALUE(RIGHT(TRIM(Raw_Data!I299),4))))</f>
        <v>2022</v>
      </c>
      <c r="K308" s="25" t="str">
        <f>PROPER(TRIM(Raw_Data!J299))</f>
        <v>Self-Employed</v>
      </c>
      <c r="L308" s="25" t="str">
        <f t="shared" si="12"/>
        <v>20+</v>
      </c>
      <c r="M308" s="25" t="str">
        <f t="shared" si="13"/>
        <v>Adult Learners</v>
      </c>
      <c r="N308" s="25" t="str">
        <f>IF(ISNUMBER(SEARCH("NON",UPPER(Raw_Data!M299))),"Non-Premium Learner","Premium Learner")</f>
        <v>Non-Premium Learner</v>
      </c>
      <c r="O308" s="25" t="str">
        <f>PROPER(TRIM(Raw_Data!N299))</f>
        <v>Both App &amp; Web</v>
      </c>
      <c r="P308" s="26">
        <f>IF(Raw_Data!O299="",$C$7,Raw_Data!O299)</f>
        <v>46588.85</v>
      </c>
      <c r="Q308" s="25" t="str">
        <f>IF(Raw_Data!O299="","Missing-Imputed","Original")</f>
        <v>Original</v>
      </c>
      <c r="R308" s="26">
        <f>Raw_Data!P299</f>
        <v>44</v>
      </c>
      <c r="S308" s="26">
        <f>Raw_Data!Q299</f>
        <v>43108.01</v>
      </c>
      <c r="T308" s="25" t="str">
        <f>IF(Raw_Data!R299="","Unknown",IF(ISNUMBER(SEARCH("ACT",UPPER(Raw_Data!R299))),"Active",IF(ISNUMBER(SEARCH("CLOS",UPPER(Raw_Data!R299))),"Closed","None")))</f>
        <v>Active</v>
      </c>
      <c r="U308" s="26">
        <f>IF(Raw_Data!S299="",$C$8,VALUE(Raw_Data!S299))</f>
        <v>389</v>
      </c>
      <c r="V308" s="25" t="str">
        <f>IF(Raw_Data!S299="","Missing-Imputed","Original")</f>
        <v>Original</v>
      </c>
      <c r="W308" s="26">
        <f>Raw_Data!T299</f>
        <v>104</v>
      </c>
      <c r="X308" s="25" t="str">
        <f>IF(ISNUMBER(SEARCH("Y",UPPER(TRIM(Raw_Data!U299)))),"Yes","No")</f>
        <v>No</v>
      </c>
      <c r="Y308" s="25" t="str">
        <f>IF(ISNUMBER(SEARCH("Y",UPPER(TRIM(Raw_Data!V299)))),"Yes","No")</f>
        <v>Yes</v>
      </c>
      <c r="Z308" s="26">
        <f>Raw_Data!W299</f>
        <v>2</v>
      </c>
      <c r="AA308" s="26">
        <f>Raw_Data!X299</f>
        <v>8.5</v>
      </c>
      <c r="AB308" s="25" t="str">
        <f>IF(COUNTIFS(Raw_Data!$A$2:$A$616,Raw_Data!A299)&gt;1,"Duplicate","Unique")</f>
        <v>Unique</v>
      </c>
      <c r="AC308" s="25" t="str">
        <f t="shared" si="14"/>
        <v>Clean</v>
      </c>
    </row>
    <row r="309" spans="1:29" ht="15" customHeight="1">
      <c r="A309" s="23" t="str">
        <f>Raw_Data!A300</f>
        <v>BYJ1299</v>
      </c>
      <c r="B309" s="23" t="str">
        <f>Raw_Data!B300</f>
        <v>Oni Shankar</v>
      </c>
      <c r="C309" s="24">
        <f>IF(OR(Raw_Data!C300="",Raw_Data!C300&lt;$C$5,Raw_Data!C300&gt;$C$6),$C$4,Raw_Data!C300)</f>
        <v>24</v>
      </c>
      <c r="D309" s="23" t="str">
        <f>IF(Raw_Data!C300="","Missing-Imputed",IF(OR(Raw_Data!C300&lt;$C$5,Raw_Data!C300&gt;$C$6),"Outlier-Imputed","Original"))</f>
        <v>Original</v>
      </c>
      <c r="E309" s="23" t="str">
        <f>IF(OR(UPPER(TRIM(Raw_Data!D300))="M",UPPER(TRIM(Raw_Data!D300))="MALE"),"Male","Female")</f>
        <v>Female</v>
      </c>
      <c r="F309" s="23" t="str">
        <f>PROPER(TRIM(Raw_Data!E300))</f>
        <v>Bhubaneswar</v>
      </c>
      <c r="G309" s="23" t="str">
        <f>PROPER(TRIM(Raw_Data!F300))</f>
        <v>West Bengal</v>
      </c>
      <c r="H309" s="23" t="str">
        <f>PROPER(TRIM(Raw_Data!G300))</f>
        <v>Science</v>
      </c>
      <c r="I309" s="23" t="str">
        <f>PROPER(TRIM(Raw_Data!H300))</f>
        <v>Ahmedabad Center</v>
      </c>
      <c r="J309" s="24">
        <f>IF(LEN(TRIM(Raw_Data!I300))=4,VALUE(TRIM(Raw_Data!I300)),IF(ISNUMBER(IFERROR(VALUE(MID(TRIM(Raw_Data!I300),1,4)),"NA")),VALUE(MID(TRIM(Raw_Data!I300),1,4)),VALUE(RIGHT(TRIM(Raw_Data!I300),4))))</f>
        <v>2023</v>
      </c>
      <c r="K309" s="23" t="str">
        <f>PROPER(TRIM(Raw_Data!J300))</f>
        <v>Self-Employed</v>
      </c>
      <c r="L309" s="23" t="str">
        <f t="shared" si="12"/>
        <v>20+</v>
      </c>
      <c r="M309" s="23" t="str">
        <f t="shared" si="13"/>
        <v>Adult Learners</v>
      </c>
      <c r="N309" s="23" t="str">
        <f>IF(ISNUMBER(SEARCH("NON",UPPER(Raw_Data!M300))),"Non-Premium Learner","Premium Learner")</f>
        <v>Premium Learner</v>
      </c>
      <c r="O309" s="23" t="str">
        <f>PROPER(TRIM(Raw_Data!N300))</f>
        <v>Both App &amp; Web</v>
      </c>
      <c r="P309" s="24">
        <f>IF(Raw_Data!O300="",$C$7,Raw_Data!O300)</f>
        <v>6057.09</v>
      </c>
      <c r="Q309" s="23" t="str">
        <f>IF(Raw_Data!O300="","Missing-Imputed","Original")</f>
        <v>Original</v>
      </c>
      <c r="R309" s="24">
        <f>Raw_Data!P300</f>
        <v>45.1</v>
      </c>
      <c r="S309" s="24">
        <f>Raw_Data!Q300</f>
        <v>20703.64</v>
      </c>
      <c r="T309" s="23" t="str">
        <f>IF(Raw_Data!R300="","Unknown",IF(ISNUMBER(SEARCH("ACT",UPPER(Raw_Data!R300))),"Active",IF(ISNUMBER(SEARCH("CLOS",UPPER(Raw_Data!R300))),"Closed","None")))</f>
        <v>Unknown</v>
      </c>
      <c r="U309" s="24">
        <f>IF(Raw_Data!S300="",$C$8,VALUE(Raw_Data!S300))</f>
        <v>343</v>
      </c>
      <c r="V309" s="23" t="str">
        <f>IF(Raw_Data!S300="","Missing-Imputed","Original")</f>
        <v>Original</v>
      </c>
      <c r="W309" s="24">
        <f>Raw_Data!T300</f>
        <v>43</v>
      </c>
      <c r="X309" s="23" t="str">
        <f>IF(ISNUMBER(SEARCH("Y",UPPER(TRIM(Raw_Data!U300)))),"Yes","No")</f>
        <v>Yes</v>
      </c>
      <c r="Y309" s="23" t="str">
        <f>IF(ISNUMBER(SEARCH("Y",UPPER(TRIM(Raw_Data!V300)))),"Yes","No")</f>
        <v>Yes</v>
      </c>
      <c r="Z309" s="24">
        <f>Raw_Data!W300</f>
        <v>2</v>
      </c>
      <c r="AA309" s="24">
        <f>Raw_Data!X300</f>
        <v>4.9000000000000004</v>
      </c>
      <c r="AB309" s="23" t="str">
        <f>IF(COUNTIFS(Raw_Data!$A$2:$A$616,Raw_Data!A300)&gt;1,"Duplicate","Unique")</f>
        <v>Unique</v>
      </c>
      <c r="AC309" s="23" t="str">
        <f t="shared" si="14"/>
        <v>Clean</v>
      </c>
    </row>
    <row r="310" spans="1:29" ht="15" customHeight="1">
      <c r="A310" s="25" t="str">
        <f>Raw_Data!A301</f>
        <v>BYJ1300</v>
      </c>
      <c r="B310" s="25" t="str">
        <f>Raw_Data!B301</f>
        <v>Amol Varma</v>
      </c>
      <c r="C310" s="26">
        <f>IF(OR(Raw_Data!C301="",Raw_Data!C301&lt;$C$5,Raw_Data!C301&gt;$C$6),$C$4,Raw_Data!C301)</f>
        <v>30</v>
      </c>
      <c r="D310" s="25" t="str">
        <f>IF(Raw_Data!C301="","Missing-Imputed",IF(OR(Raw_Data!C301&lt;$C$5,Raw_Data!C301&gt;$C$6),"Outlier-Imputed","Original"))</f>
        <v>Original</v>
      </c>
      <c r="E310" s="25" t="str">
        <f>IF(OR(UPPER(TRIM(Raw_Data!D301))="M",UPPER(TRIM(Raw_Data!D301))="MALE"),"Male","Female")</f>
        <v>Male</v>
      </c>
      <c r="F310" s="25" t="str">
        <f>PROPER(TRIM(Raw_Data!E301))</f>
        <v>Asansol</v>
      </c>
      <c r="G310" s="25" t="str">
        <f>PROPER(TRIM(Raw_Data!F301))</f>
        <v>Gujarat</v>
      </c>
      <c r="H310" s="25" t="str">
        <f>PROPER(TRIM(Raw_Data!G301))</f>
        <v>English</v>
      </c>
      <c r="I310" s="25" t="str">
        <f>PROPER(TRIM(Raw_Data!H301))</f>
        <v>Jaipur Center</v>
      </c>
      <c r="J310" s="26">
        <f>IF(LEN(TRIM(Raw_Data!I301))=4,VALUE(TRIM(Raw_Data!I301)),IF(ISNUMBER(IFERROR(VALUE(MID(TRIM(Raw_Data!I301),1,4)),"NA")),VALUE(MID(TRIM(Raw_Data!I301),1,4)),VALUE(RIGHT(TRIM(Raw_Data!I301),4))))</f>
        <v>2017</v>
      </c>
      <c r="K310" s="25" t="str">
        <f>PROPER(TRIM(Raw_Data!J301))</f>
        <v>Homemaker</v>
      </c>
      <c r="L310" s="25" t="str">
        <f t="shared" si="12"/>
        <v>20+</v>
      </c>
      <c r="M310" s="25" t="str">
        <f t="shared" si="13"/>
        <v>Adult Learners</v>
      </c>
      <c r="N310" s="25" t="str">
        <f>IF(ISNUMBER(SEARCH("NON",UPPER(Raw_Data!M301))),"Non-Premium Learner","Premium Learner")</f>
        <v>Premium Learner</v>
      </c>
      <c r="O310" s="25" t="str">
        <f>PROPER(TRIM(Raw_Data!N301))</f>
        <v>Both App &amp; Web</v>
      </c>
      <c r="P310" s="26">
        <f>IF(Raw_Data!O301="",$C$7,Raw_Data!O301)</f>
        <v>87482.08</v>
      </c>
      <c r="Q310" s="25" t="str">
        <f>IF(Raw_Data!O301="","Missing-Imputed","Original")</f>
        <v>Original</v>
      </c>
      <c r="R310" s="26">
        <f>Raw_Data!P301</f>
        <v>27.9</v>
      </c>
      <c r="S310" s="26">
        <f>Raw_Data!Q301</f>
        <v>55986.69</v>
      </c>
      <c r="T310" s="25" t="str">
        <f>IF(Raw_Data!R301="","Unknown",IF(ISNUMBER(SEARCH("ACT",UPPER(Raw_Data!R301))),"Active",IF(ISNUMBER(SEARCH("CLOS",UPPER(Raw_Data!R301))),"Closed","None")))</f>
        <v>Unknown</v>
      </c>
      <c r="U310" s="26">
        <f>IF(Raw_Data!S301="",$C$8,VALUE(Raw_Data!S301))</f>
        <v>336</v>
      </c>
      <c r="V310" s="25" t="str">
        <f>IF(Raw_Data!S301="","Missing-Imputed","Original")</f>
        <v>Original</v>
      </c>
      <c r="W310" s="26">
        <f>Raw_Data!T301</f>
        <v>158</v>
      </c>
      <c r="X310" s="25" t="str">
        <f>IF(ISNUMBER(SEARCH("Y",UPPER(TRIM(Raw_Data!U301)))),"Yes","No")</f>
        <v>No</v>
      </c>
      <c r="Y310" s="25" t="str">
        <f>IF(ISNUMBER(SEARCH("Y",UPPER(TRIM(Raw_Data!V301)))),"Yes","No")</f>
        <v>No</v>
      </c>
      <c r="Z310" s="26">
        <f>Raw_Data!W301</f>
        <v>5</v>
      </c>
      <c r="AA310" s="26">
        <f>Raw_Data!X301</f>
        <v>4.4000000000000004</v>
      </c>
      <c r="AB310" s="25" t="str">
        <f>IF(COUNTIFS(Raw_Data!$A$2:$A$616,Raw_Data!A301)&gt;1,"Duplicate","Unique")</f>
        <v>Unique</v>
      </c>
      <c r="AC310" s="25" t="str">
        <f t="shared" si="14"/>
        <v>Clean</v>
      </c>
    </row>
    <row r="311" spans="1:29" ht="15" customHeight="1">
      <c r="A311" s="23" t="str">
        <f>Raw_Data!A302</f>
        <v>BYJ1301</v>
      </c>
      <c r="B311" s="23" t="str">
        <f>Raw_Data!B302</f>
        <v>Pushti Agarwal</v>
      </c>
      <c r="C311" s="24">
        <f>IF(OR(Raw_Data!C302="",Raw_Data!C302&lt;$C$5,Raw_Data!C302&gt;$C$6),$C$4,Raw_Data!C302)</f>
        <v>28</v>
      </c>
      <c r="D311" s="23" t="str">
        <f>IF(Raw_Data!C302="","Missing-Imputed",IF(OR(Raw_Data!C302&lt;$C$5,Raw_Data!C302&gt;$C$6),"Outlier-Imputed","Original"))</f>
        <v>Original</v>
      </c>
      <c r="E311" s="23" t="str">
        <f>IF(OR(UPPER(TRIM(Raw_Data!D302))="M",UPPER(TRIM(Raw_Data!D302))="MALE"),"Male","Female")</f>
        <v>Male</v>
      </c>
      <c r="F311" s="23" t="str">
        <f>PROPER(TRIM(Raw_Data!E302))</f>
        <v>New Delhi</v>
      </c>
      <c r="G311" s="23" t="str">
        <f>PROPER(TRIM(Raw_Data!F302))</f>
        <v>Karnataka</v>
      </c>
      <c r="H311" s="23" t="str">
        <f>PROPER(TRIM(Raw_Data!G302))</f>
        <v>Robotics</v>
      </c>
      <c r="I311" s="23" t="str">
        <f>PROPER(TRIM(Raw_Data!H302))</f>
        <v>Ahmedabad Center</v>
      </c>
      <c r="J311" s="24">
        <f>IF(LEN(TRIM(Raw_Data!I302))=4,VALUE(TRIM(Raw_Data!I302)),IF(ISNUMBER(IFERROR(VALUE(MID(TRIM(Raw_Data!I302),1,4)),"NA")),VALUE(MID(TRIM(Raw_Data!I302),1,4)),VALUE(RIGHT(TRIM(Raw_Data!I302),4))))</f>
        <v>2019</v>
      </c>
      <c r="K311" s="23" t="str">
        <f>PROPER(TRIM(Raw_Data!J302))</f>
        <v>Self-Employed</v>
      </c>
      <c r="L311" s="23" t="str">
        <f t="shared" si="12"/>
        <v>20+</v>
      </c>
      <c r="M311" s="23" t="str">
        <f t="shared" si="13"/>
        <v>Adult Learners</v>
      </c>
      <c r="N311" s="23" t="str">
        <f>IF(ISNUMBER(SEARCH("NON",UPPER(Raw_Data!M302))),"Non-Premium Learner","Premium Learner")</f>
        <v>Premium Learner</v>
      </c>
      <c r="O311" s="23" t="str">
        <f>PROPER(TRIM(Raw_Data!N302))</f>
        <v>App Only</v>
      </c>
      <c r="P311" s="24">
        <f>IF(Raw_Data!O302="",$C$7,Raw_Data!O302)</f>
        <v>116569.9</v>
      </c>
      <c r="Q311" s="23" t="str">
        <f>IF(Raw_Data!O302="","Missing-Imputed","Original")</f>
        <v>Original</v>
      </c>
      <c r="R311" s="24">
        <f>Raw_Data!P302</f>
        <v>40.299999999999997</v>
      </c>
      <c r="S311" s="24">
        <f>Raw_Data!Q302</f>
        <v>22458.57</v>
      </c>
      <c r="T311" s="23" t="str">
        <f>IF(Raw_Data!R302="","Unknown",IF(ISNUMBER(SEARCH("ACT",UPPER(Raw_Data!R302))),"Active",IF(ISNUMBER(SEARCH("CLOS",UPPER(Raw_Data!R302))),"Closed","None")))</f>
        <v>Closed</v>
      </c>
      <c r="U311" s="24">
        <f>IF(Raw_Data!S302="",$C$8,VALUE(Raw_Data!S302))</f>
        <v>486</v>
      </c>
      <c r="V311" s="23" t="str">
        <f>IF(Raw_Data!S302="","Missing-Imputed","Original")</f>
        <v>Original</v>
      </c>
      <c r="W311" s="24">
        <f>Raw_Data!T302</f>
        <v>68</v>
      </c>
      <c r="X311" s="23" t="str">
        <f>IF(ISNUMBER(SEARCH("Y",UPPER(TRIM(Raw_Data!U302)))),"Yes","No")</f>
        <v>Yes</v>
      </c>
      <c r="Y311" s="23" t="str">
        <f>IF(ISNUMBER(SEARCH("Y",UPPER(TRIM(Raw_Data!V302)))),"Yes","No")</f>
        <v>No</v>
      </c>
      <c r="Z311" s="24">
        <f>Raw_Data!W302</f>
        <v>2</v>
      </c>
      <c r="AA311" s="24">
        <f>Raw_Data!X302</f>
        <v>3.5</v>
      </c>
      <c r="AB311" s="23" t="str">
        <f>IF(COUNTIFS(Raw_Data!$A$2:$A$616,Raw_Data!A302)&gt;1,"Duplicate","Unique")</f>
        <v>Unique</v>
      </c>
      <c r="AC311" s="23" t="str">
        <f t="shared" si="14"/>
        <v>Clean</v>
      </c>
    </row>
    <row r="312" spans="1:29" ht="15" customHeight="1">
      <c r="A312" s="25" t="str">
        <f>Raw_Data!A303</f>
        <v>BYJ1302</v>
      </c>
      <c r="B312" s="25" t="str">
        <f>Raw_Data!B303</f>
        <v>Rachit Chada</v>
      </c>
      <c r="C312" s="26">
        <f>IF(OR(Raw_Data!C303="",Raw_Data!C303&lt;$C$5,Raw_Data!C303&gt;$C$6),$C$4,Raw_Data!C303)</f>
        <v>18</v>
      </c>
      <c r="D312" s="25" t="str">
        <f>IF(Raw_Data!C303="","Missing-Imputed",IF(OR(Raw_Data!C303&lt;$C$5,Raw_Data!C303&gt;$C$6),"Outlier-Imputed","Original"))</f>
        <v>Original</v>
      </c>
      <c r="E312" s="25" t="str">
        <f>IF(OR(UPPER(TRIM(Raw_Data!D303))="M",UPPER(TRIM(Raw_Data!D303))="MALE"),"Male","Female")</f>
        <v>Male</v>
      </c>
      <c r="F312" s="25" t="str">
        <f>PROPER(TRIM(Raw_Data!E303))</f>
        <v>Jabalpur</v>
      </c>
      <c r="G312" s="25" t="str">
        <f>PROPER(TRIM(Raw_Data!F303))</f>
        <v>Maharashtra</v>
      </c>
      <c r="H312" s="25" t="str">
        <f>PROPER(TRIM(Raw_Data!G303))</f>
        <v>Robotics</v>
      </c>
      <c r="I312" s="25" t="str">
        <f>PROPER(TRIM(Raw_Data!H303))</f>
        <v>Kolkata Main</v>
      </c>
      <c r="J312" s="26">
        <f>IF(LEN(TRIM(Raw_Data!I303))=4,VALUE(TRIM(Raw_Data!I303)),IF(ISNUMBER(IFERROR(VALUE(MID(TRIM(Raw_Data!I303),1,4)),"NA")),VALUE(MID(TRIM(Raw_Data!I303),1,4)),VALUE(RIGHT(TRIM(Raw_Data!I303),4))))</f>
        <v>2021</v>
      </c>
      <c r="K312" s="25" t="str">
        <f>PROPER(TRIM(Raw_Data!J303))</f>
        <v>Self-Employed</v>
      </c>
      <c r="L312" s="25" t="str">
        <f t="shared" si="12"/>
        <v>17-19</v>
      </c>
      <c r="M312" s="25" t="str">
        <f t="shared" si="13"/>
        <v>Teens</v>
      </c>
      <c r="N312" s="25" t="str">
        <f>IF(ISNUMBER(SEARCH("NON",UPPER(Raw_Data!M303))),"Non-Premium Learner","Premium Learner")</f>
        <v>Non-Premium Learner</v>
      </c>
      <c r="O312" s="25" t="str">
        <f>PROPER(TRIM(Raw_Data!N303))</f>
        <v>App Only</v>
      </c>
      <c r="P312" s="26">
        <f>IF(Raw_Data!O303="",$C$7,Raw_Data!O303)</f>
        <v>66058.820000000007</v>
      </c>
      <c r="Q312" s="25" t="str">
        <f>IF(Raw_Data!O303="","Missing-Imputed","Original")</f>
        <v>Original</v>
      </c>
      <c r="R312" s="26">
        <f>Raw_Data!P303</f>
        <v>65</v>
      </c>
      <c r="S312" s="26">
        <f>Raw_Data!Q303</f>
        <v>42859.26</v>
      </c>
      <c r="T312" s="25" t="str">
        <f>IF(Raw_Data!R303="","Unknown",IF(ISNUMBER(SEARCH("ACT",UPPER(Raw_Data!R303))),"Active",IF(ISNUMBER(SEARCH("CLOS",UPPER(Raw_Data!R303))),"Closed","None")))</f>
        <v>Closed</v>
      </c>
      <c r="U312" s="26">
        <f>IF(Raw_Data!S303="",$C$8,VALUE(Raw_Data!S303))</f>
        <v>813</v>
      </c>
      <c r="V312" s="25" t="str">
        <f>IF(Raw_Data!S303="","Missing-Imputed","Original")</f>
        <v>Original</v>
      </c>
      <c r="W312" s="26">
        <f>Raw_Data!T303</f>
        <v>189</v>
      </c>
      <c r="X312" s="25" t="str">
        <f>IF(ISNUMBER(SEARCH("Y",UPPER(TRIM(Raw_Data!U303)))),"Yes","No")</f>
        <v>No</v>
      </c>
      <c r="Y312" s="25" t="str">
        <f>IF(ISNUMBER(SEARCH("Y",UPPER(TRIM(Raw_Data!V303)))),"Yes","No")</f>
        <v>Yes</v>
      </c>
      <c r="Z312" s="26">
        <f>Raw_Data!W303</f>
        <v>1</v>
      </c>
      <c r="AA312" s="26">
        <f>Raw_Data!X303</f>
        <v>1.6</v>
      </c>
      <c r="AB312" s="25" t="str">
        <f>IF(COUNTIFS(Raw_Data!$A$2:$A$616,Raw_Data!A303)&gt;1,"Duplicate","Unique")</f>
        <v>Unique</v>
      </c>
      <c r="AC312" s="25" t="str">
        <f t="shared" si="14"/>
        <v>Clean</v>
      </c>
    </row>
    <row r="313" spans="1:29" ht="15" customHeight="1">
      <c r="A313" s="23" t="str">
        <f>Raw_Data!A304</f>
        <v>BYJ1303</v>
      </c>
      <c r="B313" s="23" t="str">
        <f>Raw_Data!B304</f>
        <v>Madhavi Singhal</v>
      </c>
      <c r="C313" s="24">
        <f>IF(OR(Raw_Data!C304="",Raw_Data!C304&lt;$C$5,Raw_Data!C304&gt;$C$6),$C$4,Raw_Data!C304)</f>
        <v>24</v>
      </c>
      <c r="D313" s="23" t="str">
        <f>IF(Raw_Data!C304="","Missing-Imputed",IF(OR(Raw_Data!C304&lt;$C$5,Raw_Data!C304&gt;$C$6),"Outlier-Imputed","Original"))</f>
        <v>Missing-Imputed</v>
      </c>
      <c r="E313" s="23" t="str">
        <f>IF(OR(UPPER(TRIM(Raw_Data!D304))="M",UPPER(TRIM(Raw_Data!D304))="MALE"),"Male","Female")</f>
        <v>Male</v>
      </c>
      <c r="F313" s="23" t="str">
        <f>PROPER(TRIM(Raw_Data!E304))</f>
        <v>Munger</v>
      </c>
      <c r="G313" s="23" t="str">
        <f>PROPER(TRIM(Raw_Data!F304))</f>
        <v>Gujarat</v>
      </c>
      <c r="H313" s="23" t="str">
        <f>PROPER(TRIM(Raw_Data!G304))</f>
        <v>Robotics</v>
      </c>
      <c r="I313" s="23" t="str">
        <f>PROPER(TRIM(Raw_Data!H304))</f>
        <v>Lucknow Hub</v>
      </c>
      <c r="J313" s="24">
        <f>IF(LEN(TRIM(Raw_Data!I304))=4,VALUE(TRIM(Raw_Data!I304)),IF(ISNUMBER(IFERROR(VALUE(MID(TRIM(Raw_Data!I304),1,4)),"NA")),VALUE(MID(TRIM(Raw_Data!I304),1,4)),VALUE(RIGHT(TRIM(Raw_Data!I304),4))))</f>
        <v>2016</v>
      </c>
      <c r="K313" s="23" t="str">
        <f>PROPER(TRIM(Raw_Data!J304))</f>
        <v>Homemaker</v>
      </c>
      <c r="L313" s="23" t="str">
        <f t="shared" si="12"/>
        <v>20+</v>
      </c>
      <c r="M313" s="23" t="str">
        <f t="shared" si="13"/>
        <v>Adult Learners</v>
      </c>
      <c r="N313" s="23" t="str">
        <f>IF(ISNUMBER(SEARCH("NON",UPPER(Raw_Data!M304))),"Non-Premium Learner","Premium Learner")</f>
        <v>Non-Premium Learner</v>
      </c>
      <c r="O313" s="23" t="str">
        <f>PROPER(TRIM(Raw_Data!N304))</f>
        <v>App Only</v>
      </c>
      <c r="P313" s="24">
        <f>IF(Raw_Data!O304="",$C$7,Raw_Data!O304)</f>
        <v>94553.91</v>
      </c>
      <c r="Q313" s="23" t="str">
        <f>IF(Raw_Data!O304="","Missing-Imputed","Original")</f>
        <v>Original</v>
      </c>
      <c r="R313" s="24">
        <f>Raw_Data!P304</f>
        <v>19</v>
      </c>
      <c r="S313" s="24">
        <f>Raw_Data!Q304</f>
        <v>16868.330000000002</v>
      </c>
      <c r="T313" s="23" t="str">
        <f>IF(Raw_Data!R304="","Unknown",IF(ISNUMBER(SEARCH("ACT",UPPER(Raw_Data!R304))),"Active",IF(ISNUMBER(SEARCH("CLOS",UPPER(Raw_Data!R304))),"Closed","None")))</f>
        <v>Active</v>
      </c>
      <c r="U313" s="24">
        <f>IF(Raw_Data!S304="",$C$8,VALUE(Raw_Data!S304))</f>
        <v>553</v>
      </c>
      <c r="V313" s="23" t="str">
        <f>IF(Raw_Data!S304="","Missing-Imputed","Original")</f>
        <v>Original</v>
      </c>
      <c r="W313" s="24">
        <f>Raw_Data!T304</f>
        <v>109</v>
      </c>
      <c r="X313" s="23" t="str">
        <f>IF(ISNUMBER(SEARCH("Y",UPPER(TRIM(Raw_Data!U304)))),"Yes","No")</f>
        <v>Yes</v>
      </c>
      <c r="Y313" s="23" t="str">
        <f>IF(ISNUMBER(SEARCH("Y",UPPER(TRIM(Raw_Data!V304)))),"Yes","No")</f>
        <v>Yes</v>
      </c>
      <c r="Z313" s="24">
        <f>Raw_Data!W304</f>
        <v>2</v>
      </c>
      <c r="AA313" s="24">
        <f>Raw_Data!X304</f>
        <v>8.9</v>
      </c>
      <c r="AB313" s="23" t="str">
        <f>IF(COUNTIFS(Raw_Data!$A$2:$A$616,Raw_Data!A304)&gt;1,"Duplicate","Unique")</f>
        <v>Unique</v>
      </c>
      <c r="AC313" s="23" t="str">
        <f t="shared" si="14"/>
        <v>Imputed</v>
      </c>
    </row>
    <row r="314" spans="1:29" ht="15" customHeight="1">
      <c r="A314" s="25" t="str">
        <f>Raw_Data!A305</f>
        <v>BYJ1304</v>
      </c>
      <c r="B314" s="25" t="str">
        <f>Raw_Data!B305</f>
        <v>Zehaan Babu</v>
      </c>
      <c r="C314" s="26">
        <f>IF(OR(Raw_Data!C305="",Raw_Data!C305&lt;$C$5,Raw_Data!C305&gt;$C$6),$C$4,Raw_Data!C305)</f>
        <v>20</v>
      </c>
      <c r="D314" s="25" t="str">
        <f>IF(Raw_Data!C305="","Missing-Imputed",IF(OR(Raw_Data!C305&lt;$C$5,Raw_Data!C305&gt;$C$6),"Outlier-Imputed","Original"))</f>
        <v>Original</v>
      </c>
      <c r="E314" s="25" t="str">
        <f>IF(OR(UPPER(TRIM(Raw_Data!D305))="M",UPPER(TRIM(Raw_Data!D305))="MALE"),"Male","Female")</f>
        <v>Male</v>
      </c>
      <c r="F314" s="25" t="str">
        <f>PROPER(TRIM(Raw_Data!E305))</f>
        <v>Jabalpur</v>
      </c>
      <c r="G314" s="25" t="str">
        <f>PROPER(TRIM(Raw_Data!F305))</f>
        <v>Telangana</v>
      </c>
      <c r="H314" s="25" t="str">
        <f>PROPER(TRIM(Raw_Data!G305))</f>
        <v>English</v>
      </c>
      <c r="I314" s="25" t="str">
        <f>PROPER(TRIM(Raw_Data!H305))</f>
        <v>Mumbai West</v>
      </c>
      <c r="J314" s="26">
        <f>IF(LEN(TRIM(Raw_Data!I305))=4,VALUE(TRIM(Raw_Data!I305)),IF(ISNUMBER(IFERROR(VALUE(MID(TRIM(Raw_Data!I305),1,4)),"NA")),VALUE(MID(TRIM(Raw_Data!I305),1,4)),VALUE(RIGHT(TRIM(Raw_Data!I305),4))))</f>
        <v>2022</v>
      </c>
      <c r="K314" s="25" t="str">
        <f>PROPER(TRIM(Raw_Data!J305))</f>
        <v>Salaried</v>
      </c>
      <c r="L314" s="25" t="str">
        <f t="shared" si="12"/>
        <v>20+</v>
      </c>
      <c r="M314" s="25" t="str">
        <f t="shared" si="13"/>
        <v>Adult Learners</v>
      </c>
      <c r="N314" s="25" t="str">
        <f>IF(ISNUMBER(SEARCH("NON",UPPER(Raw_Data!M305))),"Non-Premium Learner","Premium Learner")</f>
        <v>Non-Premium Learner</v>
      </c>
      <c r="O314" s="25" t="str">
        <f>PROPER(TRIM(Raw_Data!N305))</f>
        <v>Both App &amp; Web</v>
      </c>
      <c r="P314" s="26">
        <f>IF(Raw_Data!O305="",$C$7,Raw_Data!O305)</f>
        <v>49434.66</v>
      </c>
      <c r="Q314" s="25" t="str">
        <f>IF(Raw_Data!O305="","Missing-Imputed","Original")</f>
        <v>Original</v>
      </c>
      <c r="R314" s="26">
        <f>Raw_Data!P305</f>
        <v>22.4</v>
      </c>
      <c r="S314" s="26">
        <f>Raw_Data!Q305</f>
        <v>20170.669999999998</v>
      </c>
      <c r="T314" s="25" t="str">
        <f>IF(Raw_Data!R305="","Unknown",IF(ISNUMBER(SEARCH("ACT",UPPER(Raw_Data!R305))),"Active",IF(ISNUMBER(SEARCH("CLOS",UPPER(Raw_Data!R305))),"Closed","None")))</f>
        <v>Closed</v>
      </c>
      <c r="U314" s="26">
        <f>IF(Raw_Data!S305="",$C$8,VALUE(Raw_Data!S305))</f>
        <v>822</v>
      </c>
      <c r="V314" s="25" t="str">
        <f>IF(Raw_Data!S305="","Missing-Imputed","Original")</f>
        <v>Original</v>
      </c>
      <c r="W314" s="26">
        <f>Raw_Data!T305</f>
        <v>13</v>
      </c>
      <c r="X314" s="25" t="str">
        <f>IF(ISNUMBER(SEARCH("Y",UPPER(TRIM(Raw_Data!U305)))),"Yes","No")</f>
        <v>No</v>
      </c>
      <c r="Y314" s="25" t="str">
        <f>IF(ISNUMBER(SEARCH("Y",UPPER(TRIM(Raw_Data!V305)))),"Yes","No")</f>
        <v>No</v>
      </c>
      <c r="Z314" s="26">
        <f>Raw_Data!W305</f>
        <v>3</v>
      </c>
      <c r="AA314" s="26">
        <f>Raw_Data!X305</f>
        <v>8.5</v>
      </c>
      <c r="AB314" s="25" t="str">
        <f>IF(COUNTIFS(Raw_Data!$A$2:$A$616,Raw_Data!A305)&gt;1,"Duplicate","Unique")</f>
        <v>Unique</v>
      </c>
      <c r="AC314" s="25" t="str">
        <f t="shared" si="14"/>
        <v>Clean</v>
      </c>
    </row>
    <row r="315" spans="1:29" ht="15" customHeight="1">
      <c r="A315" s="23" t="str">
        <f>Raw_Data!A306</f>
        <v>BYJ1305</v>
      </c>
      <c r="B315" s="23" t="str">
        <f>Raw_Data!B306</f>
        <v>Wridesh Chawla</v>
      </c>
      <c r="C315" s="24">
        <f>IF(OR(Raw_Data!C306="",Raw_Data!C306&lt;$C$5,Raw_Data!C306&gt;$C$6),$C$4,Raw_Data!C306)</f>
        <v>9</v>
      </c>
      <c r="D315" s="23" t="str">
        <f>IF(Raw_Data!C306="","Missing-Imputed",IF(OR(Raw_Data!C306&lt;$C$5,Raw_Data!C306&gt;$C$6),"Outlier-Imputed","Original"))</f>
        <v>Original</v>
      </c>
      <c r="E315" s="23" t="str">
        <f>IF(OR(UPPER(TRIM(Raw_Data!D306))="M",UPPER(TRIM(Raw_Data!D306))="MALE"),"Male","Female")</f>
        <v>Male</v>
      </c>
      <c r="F315" s="23" t="str">
        <f>PROPER(TRIM(Raw_Data!E306))</f>
        <v>Guntur</v>
      </c>
      <c r="G315" s="23" t="str">
        <f>PROPER(TRIM(Raw_Data!F306))</f>
        <v>Gujarat</v>
      </c>
      <c r="H315" s="23" t="str">
        <f>PROPER(TRIM(Raw_Data!G306))</f>
        <v>English</v>
      </c>
      <c r="I315" s="23" t="str">
        <f>PROPER(TRIM(Raw_Data!H306))</f>
        <v>Hyderabad Hub</v>
      </c>
      <c r="J315" s="24">
        <f>IF(LEN(TRIM(Raw_Data!I306))=4,VALUE(TRIM(Raw_Data!I306)),IF(ISNUMBER(IFERROR(VALUE(MID(TRIM(Raw_Data!I306),1,4)),"NA")),VALUE(MID(TRIM(Raw_Data!I306),1,4)),VALUE(RIGHT(TRIM(Raw_Data!I306),4))))</f>
        <v>2023</v>
      </c>
      <c r="K315" s="23" t="str">
        <f>PROPER(TRIM(Raw_Data!J306))</f>
        <v>Self-Employed</v>
      </c>
      <c r="L315" s="23" t="str">
        <f t="shared" si="12"/>
        <v>Under 10</v>
      </c>
      <c r="M315" s="23" t="str">
        <f t="shared" si="13"/>
        <v>Kids</v>
      </c>
      <c r="N315" s="23" t="str">
        <f>IF(ISNUMBER(SEARCH("NON",UPPER(Raw_Data!M306))),"Non-Premium Learner","Premium Learner")</f>
        <v>Premium Learner</v>
      </c>
      <c r="O315" s="23" t="str">
        <f>PROPER(TRIM(Raw_Data!N306))</f>
        <v>Web Only</v>
      </c>
      <c r="P315" s="24">
        <f>IF(Raw_Data!O306="",$C$7,Raw_Data!O306)</f>
        <v>53470.91</v>
      </c>
      <c r="Q315" s="23" t="str">
        <f>IF(Raw_Data!O306="","Missing-Imputed","Original")</f>
        <v>Original</v>
      </c>
      <c r="R315" s="24">
        <f>Raw_Data!P306</f>
        <v>55.2</v>
      </c>
      <c r="S315" s="24">
        <f>Raw_Data!Q306</f>
        <v>40977.69</v>
      </c>
      <c r="T315" s="23" t="str">
        <f>IF(Raw_Data!R306="","Unknown",IF(ISNUMBER(SEARCH("ACT",UPPER(Raw_Data!R306))),"Active",IF(ISNUMBER(SEARCH("CLOS",UPPER(Raw_Data!R306))),"Closed","None")))</f>
        <v>Active</v>
      </c>
      <c r="U315" s="24">
        <f>IF(Raw_Data!S306="",$C$8,VALUE(Raw_Data!S306))</f>
        <v>669</v>
      </c>
      <c r="V315" s="23" t="str">
        <f>IF(Raw_Data!S306="","Missing-Imputed","Original")</f>
        <v>Original</v>
      </c>
      <c r="W315" s="24">
        <f>Raw_Data!T306</f>
        <v>92</v>
      </c>
      <c r="X315" s="23" t="str">
        <f>IF(ISNUMBER(SEARCH("Y",UPPER(TRIM(Raw_Data!U306)))),"Yes","No")</f>
        <v>No</v>
      </c>
      <c r="Y315" s="23" t="str">
        <f>IF(ISNUMBER(SEARCH("Y",UPPER(TRIM(Raw_Data!V306)))),"Yes","No")</f>
        <v>No</v>
      </c>
      <c r="Z315" s="24">
        <f>Raw_Data!W306</f>
        <v>5</v>
      </c>
      <c r="AA315" s="24">
        <f>Raw_Data!X306</f>
        <v>3.8</v>
      </c>
      <c r="AB315" s="23" t="str">
        <f>IF(COUNTIFS(Raw_Data!$A$2:$A$616,Raw_Data!A306)&gt;1,"Duplicate","Unique")</f>
        <v>Unique</v>
      </c>
      <c r="AC315" s="23" t="str">
        <f t="shared" si="14"/>
        <v>Clean</v>
      </c>
    </row>
    <row r="316" spans="1:29" ht="15" customHeight="1">
      <c r="A316" s="25" t="str">
        <f>Raw_Data!A307</f>
        <v>BYJ1306</v>
      </c>
      <c r="B316" s="25" t="str">
        <f>Raw_Data!B307</f>
        <v>Indira Nigam</v>
      </c>
      <c r="C316" s="26">
        <f>IF(OR(Raw_Data!C307="",Raw_Data!C307&lt;$C$5,Raw_Data!C307&gt;$C$6),$C$4,Raw_Data!C307)</f>
        <v>44</v>
      </c>
      <c r="D316" s="25" t="str">
        <f>IF(Raw_Data!C307="","Missing-Imputed",IF(OR(Raw_Data!C307&lt;$C$5,Raw_Data!C307&gt;$C$6),"Outlier-Imputed","Original"))</f>
        <v>Original</v>
      </c>
      <c r="E316" s="25" t="str">
        <f>IF(OR(UPPER(TRIM(Raw_Data!D307))="M",UPPER(TRIM(Raw_Data!D307))="MALE"),"Male","Female")</f>
        <v>Male</v>
      </c>
      <c r="F316" s="25" t="str">
        <f>PROPER(TRIM(Raw_Data!E307))</f>
        <v>Madhyamgram</v>
      </c>
      <c r="G316" s="25" t="str">
        <f>PROPER(TRIM(Raw_Data!F307))</f>
        <v>Delhi</v>
      </c>
      <c r="H316" s="25" t="str">
        <f>PROPER(TRIM(Raw_Data!G307))</f>
        <v>English</v>
      </c>
      <c r="I316" s="25" t="str">
        <f>PROPER(TRIM(Raw_Data!H307))</f>
        <v>Ahmedabad Center</v>
      </c>
      <c r="J316" s="26">
        <f>IF(LEN(TRIM(Raw_Data!I307))=4,VALUE(TRIM(Raw_Data!I307)),IF(ISNUMBER(IFERROR(VALUE(MID(TRIM(Raw_Data!I307),1,4)),"NA")),VALUE(MID(TRIM(Raw_Data!I307),1,4)),VALUE(RIGHT(TRIM(Raw_Data!I307),4))))</f>
        <v>2017</v>
      </c>
      <c r="K316" s="25" t="str">
        <f>PROPER(TRIM(Raw_Data!J307))</f>
        <v>Homemaker</v>
      </c>
      <c r="L316" s="25" t="str">
        <f t="shared" si="12"/>
        <v>20+</v>
      </c>
      <c r="M316" s="25" t="str">
        <f t="shared" si="13"/>
        <v>Adult Learners</v>
      </c>
      <c r="N316" s="25" t="str">
        <f>IF(ISNUMBER(SEARCH("NON",UPPER(Raw_Data!M307))),"Non-Premium Learner","Premium Learner")</f>
        <v>Non-Premium Learner</v>
      </c>
      <c r="O316" s="25" t="str">
        <f>PROPER(TRIM(Raw_Data!N307))</f>
        <v>App Only</v>
      </c>
      <c r="P316" s="26">
        <f>IF(Raw_Data!O307="",$C$7,Raw_Data!O307)</f>
        <v>82365.850000000006</v>
      </c>
      <c r="Q316" s="25" t="str">
        <f>IF(Raw_Data!O307="","Missing-Imputed","Original")</f>
        <v>Original</v>
      </c>
      <c r="R316" s="26">
        <f>Raw_Data!P307</f>
        <v>14.6</v>
      </c>
      <c r="S316" s="26">
        <f>Raw_Data!Q307</f>
        <v>25092.75</v>
      </c>
      <c r="T316" s="25" t="str">
        <f>IF(Raw_Data!R307="","Unknown",IF(ISNUMBER(SEARCH("ACT",UPPER(Raw_Data!R307))),"Active",IF(ISNUMBER(SEARCH("CLOS",UPPER(Raw_Data!R307))),"Closed","None")))</f>
        <v>None</v>
      </c>
      <c r="U316" s="26">
        <f>IF(Raw_Data!S307="",$C$8,VALUE(Raw_Data!S307))</f>
        <v>873</v>
      </c>
      <c r="V316" s="25" t="str">
        <f>IF(Raw_Data!S307="","Missing-Imputed","Original")</f>
        <v>Original</v>
      </c>
      <c r="W316" s="26">
        <f>Raw_Data!T307</f>
        <v>93</v>
      </c>
      <c r="X316" s="25" t="str">
        <f>IF(ISNUMBER(SEARCH("Y",UPPER(TRIM(Raw_Data!U307)))),"Yes","No")</f>
        <v>No</v>
      </c>
      <c r="Y316" s="25" t="str">
        <f>IF(ISNUMBER(SEARCH("Y",UPPER(TRIM(Raw_Data!V307)))),"Yes","No")</f>
        <v>No</v>
      </c>
      <c r="Z316" s="26">
        <f>Raw_Data!W307</f>
        <v>4</v>
      </c>
      <c r="AA316" s="26">
        <f>Raw_Data!X307</f>
        <v>4.0999999999999996</v>
      </c>
      <c r="AB316" s="25" t="str">
        <f>IF(COUNTIFS(Raw_Data!$A$2:$A$616,Raw_Data!A307)&gt;1,"Duplicate","Unique")</f>
        <v>Unique</v>
      </c>
      <c r="AC316" s="25" t="str">
        <f t="shared" si="14"/>
        <v>Clean</v>
      </c>
    </row>
    <row r="317" spans="1:29" ht="15" customHeight="1">
      <c r="A317" s="23" t="str">
        <f>Raw_Data!A308</f>
        <v>BYJ1307</v>
      </c>
      <c r="B317" s="23" t="str">
        <f>Raw_Data!B308</f>
        <v>Qabil Deshmukh</v>
      </c>
      <c r="C317" s="24">
        <f>IF(OR(Raw_Data!C308="",Raw_Data!C308&lt;$C$5,Raw_Data!C308&gt;$C$6),$C$4,Raw_Data!C308)</f>
        <v>7</v>
      </c>
      <c r="D317" s="23" t="str">
        <f>IF(Raw_Data!C308="","Missing-Imputed",IF(OR(Raw_Data!C308&lt;$C$5,Raw_Data!C308&gt;$C$6),"Outlier-Imputed","Original"))</f>
        <v>Original</v>
      </c>
      <c r="E317" s="23" t="str">
        <f>IF(OR(UPPER(TRIM(Raw_Data!D308))="M",UPPER(TRIM(Raw_Data!D308))="MALE"),"Male","Female")</f>
        <v>Male</v>
      </c>
      <c r="F317" s="23" t="str">
        <f>PROPER(TRIM(Raw_Data!E308))</f>
        <v>Berhampore</v>
      </c>
      <c r="G317" s="23" t="str">
        <f>PROPER(TRIM(Raw_Data!F308))</f>
        <v>Maharashtra</v>
      </c>
      <c r="H317" s="23" t="str">
        <f>PROPER(TRIM(Raw_Data!G308))</f>
        <v>Jee Prep</v>
      </c>
      <c r="I317" s="23" t="str">
        <f>PROPER(TRIM(Raw_Data!H308))</f>
        <v>Chennai Central</v>
      </c>
      <c r="J317" s="24">
        <f>IF(LEN(TRIM(Raw_Data!I308))=4,VALUE(TRIM(Raw_Data!I308)),IF(ISNUMBER(IFERROR(VALUE(MID(TRIM(Raw_Data!I308),1,4)),"NA")),VALUE(MID(TRIM(Raw_Data!I308),1,4)),VALUE(RIGHT(TRIM(Raw_Data!I308),4))))</f>
        <v>2025</v>
      </c>
      <c r="K317" s="23" t="str">
        <f>PROPER(TRIM(Raw_Data!J308))</f>
        <v>Retired</v>
      </c>
      <c r="L317" s="23" t="str">
        <f t="shared" si="12"/>
        <v>Under 10</v>
      </c>
      <c r="M317" s="23" t="str">
        <f t="shared" si="13"/>
        <v>Kids</v>
      </c>
      <c r="N317" s="23" t="str">
        <f>IF(ISNUMBER(SEARCH("NON",UPPER(Raw_Data!M308))),"Non-Premium Learner","Premium Learner")</f>
        <v>Non-Premium Learner</v>
      </c>
      <c r="O317" s="23" t="str">
        <f>PROPER(TRIM(Raw_Data!N308))</f>
        <v>Both App &amp; Web</v>
      </c>
      <c r="P317" s="24">
        <f>IF(Raw_Data!O308="",$C$7,Raw_Data!O308)</f>
        <v>131187.07999999999</v>
      </c>
      <c r="Q317" s="23" t="str">
        <f>IF(Raw_Data!O308="","Missing-Imputed","Original")</f>
        <v>Original</v>
      </c>
      <c r="R317" s="24">
        <f>Raw_Data!P308</f>
        <v>17.399999999999999</v>
      </c>
      <c r="S317" s="24">
        <f>Raw_Data!Q308</f>
        <v>45043.67</v>
      </c>
      <c r="T317" s="23" t="str">
        <f>IF(Raw_Data!R308="","Unknown",IF(ISNUMBER(SEARCH("ACT",UPPER(Raw_Data!R308))),"Active",IF(ISNUMBER(SEARCH("CLOS",UPPER(Raw_Data!R308))),"Closed","None")))</f>
        <v>Closed</v>
      </c>
      <c r="U317" s="24">
        <f>IF(Raw_Data!S308="",$C$8,VALUE(Raw_Data!S308))</f>
        <v>699</v>
      </c>
      <c r="V317" s="23" t="str">
        <f>IF(Raw_Data!S308="","Missing-Imputed","Original")</f>
        <v>Original</v>
      </c>
      <c r="W317" s="24">
        <f>Raw_Data!T308</f>
        <v>69</v>
      </c>
      <c r="X317" s="23" t="str">
        <f>IF(ISNUMBER(SEARCH("Y",UPPER(TRIM(Raw_Data!U308)))),"Yes","No")</f>
        <v>Yes</v>
      </c>
      <c r="Y317" s="23" t="str">
        <f>IF(ISNUMBER(SEARCH("Y",UPPER(TRIM(Raw_Data!V308)))),"Yes","No")</f>
        <v>Yes</v>
      </c>
      <c r="Z317" s="24">
        <f>Raw_Data!W308</f>
        <v>5</v>
      </c>
      <c r="AA317" s="24">
        <f>Raw_Data!X308</f>
        <v>2.4</v>
      </c>
      <c r="AB317" s="23" t="str">
        <f>IF(COUNTIFS(Raw_Data!$A$2:$A$616,Raw_Data!A308)&gt;1,"Duplicate","Unique")</f>
        <v>Unique</v>
      </c>
      <c r="AC317" s="23" t="str">
        <f t="shared" si="14"/>
        <v>Clean</v>
      </c>
    </row>
    <row r="318" spans="1:29" ht="15" customHeight="1">
      <c r="A318" s="25" t="str">
        <f>Raw_Data!A309</f>
        <v>BYJ1308</v>
      </c>
      <c r="B318" s="25" t="str">
        <f>Raw_Data!B309</f>
        <v>Chaaya Jaggi</v>
      </c>
      <c r="C318" s="26">
        <f>IF(OR(Raw_Data!C309="",Raw_Data!C309&lt;$C$5,Raw_Data!C309&gt;$C$6),$C$4,Raw_Data!C309)</f>
        <v>38</v>
      </c>
      <c r="D318" s="25" t="str">
        <f>IF(Raw_Data!C309="","Missing-Imputed",IF(OR(Raw_Data!C309&lt;$C$5,Raw_Data!C309&gt;$C$6),"Outlier-Imputed","Original"))</f>
        <v>Original</v>
      </c>
      <c r="E318" s="25" t="str">
        <f>IF(OR(UPPER(TRIM(Raw_Data!D309))="M",UPPER(TRIM(Raw_Data!D309))="MALE"),"Male","Female")</f>
        <v>Female</v>
      </c>
      <c r="F318" s="25" t="str">
        <f>PROPER(TRIM(Raw_Data!E309))</f>
        <v>Kollam</v>
      </c>
      <c r="G318" s="25" t="str">
        <f>PROPER(TRIM(Raw_Data!F309))</f>
        <v>Uttar Pradesh</v>
      </c>
      <c r="H318" s="25" t="str">
        <f>PROPER(TRIM(Raw_Data!G309))</f>
        <v>Jee Prep</v>
      </c>
      <c r="I318" s="25" t="str">
        <f>PROPER(TRIM(Raw_Data!H309))</f>
        <v>Hyderabad Hub</v>
      </c>
      <c r="J318" s="26">
        <f>IF(LEN(TRIM(Raw_Data!I309))=4,VALUE(TRIM(Raw_Data!I309)),IF(ISNUMBER(IFERROR(VALUE(MID(TRIM(Raw_Data!I309),1,4)),"NA")),VALUE(MID(TRIM(Raw_Data!I309),1,4)),VALUE(RIGHT(TRIM(Raw_Data!I309),4))))</f>
        <v>2019</v>
      </c>
      <c r="K318" s="25" t="str">
        <f>PROPER(TRIM(Raw_Data!J309))</f>
        <v>Government Employee</v>
      </c>
      <c r="L318" s="25" t="str">
        <f t="shared" si="12"/>
        <v>20+</v>
      </c>
      <c r="M318" s="25" t="str">
        <f t="shared" si="13"/>
        <v>Adult Learners</v>
      </c>
      <c r="N318" s="25" t="str">
        <f>IF(ISNUMBER(SEARCH("NON",UPPER(Raw_Data!M309))),"Non-Premium Learner","Premium Learner")</f>
        <v>Premium Learner</v>
      </c>
      <c r="O318" s="25" t="str">
        <f>PROPER(TRIM(Raw_Data!N309))</f>
        <v>Both App &amp; Web</v>
      </c>
      <c r="P318" s="26">
        <f>IF(Raw_Data!O309="",$C$7,Raw_Data!O309)</f>
        <v>39541.43</v>
      </c>
      <c r="Q318" s="25" t="str">
        <f>IF(Raw_Data!O309="","Missing-Imputed","Original")</f>
        <v>Original</v>
      </c>
      <c r="R318" s="26">
        <f>Raw_Data!P309</f>
        <v>16.100000000000001</v>
      </c>
      <c r="S318" s="26">
        <f>Raw_Data!Q309</f>
        <v>53016.15</v>
      </c>
      <c r="T318" s="25" t="str">
        <f>IF(Raw_Data!R309="","Unknown",IF(ISNUMBER(SEARCH("ACT",UPPER(Raw_Data!R309))),"Active",IF(ISNUMBER(SEARCH("CLOS",UPPER(Raw_Data!R309))),"Closed","None")))</f>
        <v>Active</v>
      </c>
      <c r="U318" s="26">
        <f>IF(Raw_Data!S309="",$C$8,VALUE(Raw_Data!S309))</f>
        <v>352</v>
      </c>
      <c r="V318" s="25" t="str">
        <f>IF(Raw_Data!S309="","Missing-Imputed","Original")</f>
        <v>Original</v>
      </c>
      <c r="W318" s="26">
        <f>Raw_Data!T309</f>
        <v>63</v>
      </c>
      <c r="X318" s="25" t="str">
        <f>IF(ISNUMBER(SEARCH("Y",UPPER(TRIM(Raw_Data!U309)))),"Yes","No")</f>
        <v>Yes</v>
      </c>
      <c r="Y318" s="25" t="str">
        <f>IF(ISNUMBER(SEARCH("Y",UPPER(TRIM(Raw_Data!V309)))),"Yes","No")</f>
        <v>Yes</v>
      </c>
      <c r="Z318" s="26">
        <f>Raw_Data!W309</f>
        <v>5</v>
      </c>
      <c r="AA318" s="26">
        <f>Raw_Data!X309</f>
        <v>8.8000000000000007</v>
      </c>
      <c r="AB318" s="25" t="str">
        <f>IF(COUNTIFS(Raw_Data!$A$2:$A$616,Raw_Data!A309)&gt;1,"Duplicate","Unique")</f>
        <v>Unique</v>
      </c>
      <c r="AC318" s="25" t="str">
        <f t="shared" si="14"/>
        <v>Clean</v>
      </c>
    </row>
    <row r="319" spans="1:29" ht="15" customHeight="1">
      <c r="A319" s="23" t="str">
        <f>Raw_Data!A310</f>
        <v>BYJ1309</v>
      </c>
      <c r="B319" s="23" t="str">
        <f>Raw_Data!B310</f>
        <v>Diya Mukherjee</v>
      </c>
      <c r="C319" s="24">
        <f>IF(OR(Raw_Data!C310="",Raw_Data!C310&lt;$C$5,Raw_Data!C310&gt;$C$6),$C$4,Raw_Data!C310)</f>
        <v>41</v>
      </c>
      <c r="D319" s="23" t="str">
        <f>IF(Raw_Data!C310="","Missing-Imputed",IF(OR(Raw_Data!C310&lt;$C$5,Raw_Data!C310&gt;$C$6),"Outlier-Imputed","Original"))</f>
        <v>Original</v>
      </c>
      <c r="E319" s="23" t="str">
        <f>IF(OR(UPPER(TRIM(Raw_Data!D310))="M",UPPER(TRIM(Raw_Data!D310))="MALE"),"Male","Female")</f>
        <v>Female</v>
      </c>
      <c r="F319" s="23" t="str">
        <f>PROPER(TRIM(Raw_Data!E310))</f>
        <v>Tinsukia</v>
      </c>
      <c r="G319" s="23" t="str">
        <f>PROPER(TRIM(Raw_Data!F310))</f>
        <v>Kerala</v>
      </c>
      <c r="H319" s="23" t="str">
        <f>PROPER(TRIM(Raw_Data!G310))</f>
        <v>Jee Prep</v>
      </c>
      <c r="I319" s="23" t="str">
        <f>PROPER(TRIM(Raw_Data!H310))</f>
        <v>Pune East</v>
      </c>
      <c r="J319" s="24">
        <f>IF(LEN(TRIM(Raw_Data!I310))=4,VALUE(TRIM(Raw_Data!I310)),IF(ISNUMBER(IFERROR(VALUE(MID(TRIM(Raw_Data!I310),1,4)),"NA")),VALUE(MID(TRIM(Raw_Data!I310),1,4)),VALUE(RIGHT(TRIM(Raw_Data!I310),4))))</f>
        <v>2016</v>
      </c>
      <c r="K319" s="23" t="str">
        <f>PROPER(TRIM(Raw_Data!J310))</f>
        <v>Homemaker</v>
      </c>
      <c r="L319" s="23" t="str">
        <f t="shared" si="12"/>
        <v>20+</v>
      </c>
      <c r="M319" s="23" t="str">
        <f t="shared" si="13"/>
        <v>Adult Learners</v>
      </c>
      <c r="N319" s="23" t="str">
        <f>IF(ISNUMBER(SEARCH("NON",UPPER(Raw_Data!M310))),"Non-Premium Learner","Premium Learner")</f>
        <v>Premium Learner</v>
      </c>
      <c r="O319" s="23" t="str">
        <f>PROPER(TRIM(Raw_Data!N310))</f>
        <v>App Only</v>
      </c>
      <c r="P319" s="24">
        <f>IF(Raw_Data!O310="",$C$7,Raw_Data!O310)</f>
        <v>71742.19</v>
      </c>
      <c r="Q319" s="23" t="str">
        <f>IF(Raw_Data!O310="","Missing-Imputed","Original")</f>
        <v>Missing-Imputed</v>
      </c>
      <c r="R319" s="24">
        <f>Raw_Data!P310</f>
        <v>54.3</v>
      </c>
      <c r="S319" s="24">
        <f>Raw_Data!Q310</f>
        <v>52078.92</v>
      </c>
      <c r="T319" s="23" t="str">
        <f>IF(Raw_Data!R310="","Unknown",IF(ISNUMBER(SEARCH("ACT",UPPER(Raw_Data!R310))),"Active",IF(ISNUMBER(SEARCH("CLOS",UPPER(Raw_Data!R310))),"Closed","None")))</f>
        <v>None</v>
      </c>
      <c r="U319" s="24">
        <f>IF(Raw_Data!S310="",$C$8,VALUE(Raw_Data!S310))</f>
        <v>691</v>
      </c>
      <c r="V319" s="23" t="str">
        <f>IF(Raw_Data!S310="","Missing-Imputed","Original")</f>
        <v>Original</v>
      </c>
      <c r="W319" s="24">
        <f>Raw_Data!T310</f>
        <v>65</v>
      </c>
      <c r="X319" s="23" t="str">
        <f>IF(ISNUMBER(SEARCH("Y",UPPER(TRIM(Raw_Data!U310)))),"Yes","No")</f>
        <v>Yes</v>
      </c>
      <c r="Y319" s="23" t="str">
        <f>IF(ISNUMBER(SEARCH("Y",UPPER(TRIM(Raw_Data!V310)))),"Yes","No")</f>
        <v>Yes</v>
      </c>
      <c r="Z319" s="24">
        <f>Raw_Data!W310</f>
        <v>3</v>
      </c>
      <c r="AA319" s="24">
        <f>Raw_Data!X310</f>
        <v>2.2000000000000002</v>
      </c>
      <c r="AB319" s="23" t="str">
        <f>IF(COUNTIFS(Raw_Data!$A$2:$A$616,Raw_Data!A310)&gt;1,"Duplicate","Unique")</f>
        <v>Unique</v>
      </c>
      <c r="AC319" s="23" t="str">
        <f t="shared" si="14"/>
        <v>Imputed</v>
      </c>
    </row>
    <row r="320" spans="1:29" ht="15" customHeight="1">
      <c r="A320" s="25" t="str">
        <f>Raw_Data!A311</f>
        <v>BYJ1310</v>
      </c>
      <c r="B320" s="25" t="str">
        <f>Raw_Data!B311</f>
        <v>Zehaan Bansal</v>
      </c>
      <c r="C320" s="26">
        <f>IF(OR(Raw_Data!C311="",Raw_Data!C311&lt;$C$5,Raw_Data!C311&gt;$C$6),$C$4,Raw_Data!C311)</f>
        <v>31</v>
      </c>
      <c r="D320" s="25" t="str">
        <f>IF(Raw_Data!C311="","Missing-Imputed",IF(OR(Raw_Data!C311&lt;$C$5,Raw_Data!C311&gt;$C$6),"Outlier-Imputed","Original"))</f>
        <v>Original</v>
      </c>
      <c r="E320" s="25" t="str">
        <f>IF(OR(UPPER(TRIM(Raw_Data!D311))="M",UPPER(TRIM(Raw_Data!D311))="MALE"),"Male","Female")</f>
        <v>Male</v>
      </c>
      <c r="F320" s="25" t="str">
        <f>PROPER(TRIM(Raw_Data!E311))</f>
        <v>Baranagar</v>
      </c>
      <c r="G320" s="25" t="str">
        <f>PROPER(TRIM(Raw_Data!F311))</f>
        <v>West Bengal</v>
      </c>
      <c r="H320" s="25" t="str">
        <f>PROPER(TRIM(Raw_Data!G311))</f>
        <v>Neet Prep</v>
      </c>
      <c r="I320" s="25" t="str">
        <f>PROPER(TRIM(Raw_Data!H311))</f>
        <v>Mumbai West</v>
      </c>
      <c r="J320" s="26">
        <f>IF(LEN(TRIM(Raw_Data!I311))=4,VALUE(TRIM(Raw_Data!I311)),IF(ISNUMBER(IFERROR(VALUE(MID(TRIM(Raw_Data!I311),1,4)),"NA")),VALUE(MID(TRIM(Raw_Data!I311),1,4)),VALUE(RIGHT(TRIM(Raw_Data!I311),4))))</f>
        <v>2023</v>
      </c>
      <c r="K320" s="25" t="str">
        <f>PROPER(TRIM(Raw_Data!J311))</f>
        <v>Self-Employed</v>
      </c>
      <c r="L320" s="25" t="str">
        <f t="shared" si="12"/>
        <v>20+</v>
      </c>
      <c r="M320" s="25" t="str">
        <f t="shared" si="13"/>
        <v>Adult Learners</v>
      </c>
      <c r="N320" s="25" t="str">
        <f>IF(ISNUMBER(SEARCH("NON",UPPER(Raw_Data!M311))),"Non-Premium Learner","Premium Learner")</f>
        <v>Premium Learner</v>
      </c>
      <c r="O320" s="25" t="str">
        <f>PROPER(TRIM(Raw_Data!N311))</f>
        <v>App Only</v>
      </c>
      <c r="P320" s="26">
        <f>IF(Raw_Data!O311="",$C$7,Raw_Data!O311)</f>
        <v>87600.41</v>
      </c>
      <c r="Q320" s="25" t="str">
        <f>IF(Raw_Data!O311="","Missing-Imputed","Original")</f>
        <v>Original</v>
      </c>
      <c r="R320" s="26">
        <f>Raw_Data!P311</f>
        <v>18.5</v>
      </c>
      <c r="S320" s="26">
        <f>Raw_Data!Q311</f>
        <v>16922.650000000001</v>
      </c>
      <c r="T320" s="25" t="str">
        <f>IF(Raw_Data!R311="","Unknown",IF(ISNUMBER(SEARCH("ACT",UPPER(Raw_Data!R311))),"Active",IF(ISNUMBER(SEARCH("CLOS",UPPER(Raw_Data!R311))),"Closed","None")))</f>
        <v>Closed</v>
      </c>
      <c r="U320" s="26">
        <f>IF(Raw_Data!S311="",$C$8,VALUE(Raw_Data!S311))</f>
        <v>481</v>
      </c>
      <c r="V320" s="25" t="str">
        <f>IF(Raw_Data!S311="","Missing-Imputed","Original")</f>
        <v>Original</v>
      </c>
      <c r="W320" s="26">
        <f>Raw_Data!T311</f>
        <v>175</v>
      </c>
      <c r="X320" s="25" t="str">
        <f>IF(ISNUMBER(SEARCH("Y",UPPER(TRIM(Raw_Data!U311)))),"Yes","No")</f>
        <v>Yes</v>
      </c>
      <c r="Y320" s="25" t="str">
        <f>IF(ISNUMBER(SEARCH("Y",UPPER(TRIM(Raw_Data!V311)))),"Yes","No")</f>
        <v>Yes</v>
      </c>
      <c r="Z320" s="26">
        <f>Raw_Data!W311</f>
        <v>4</v>
      </c>
      <c r="AA320" s="26">
        <f>Raw_Data!X311</f>
        <v>2.6</v>
      </c>
      <c r="AB320" s="25" t="str">
        <f>IF(COUNTIFS(Raw_Data!$A$2:$A$616,Raw_Data!A311)&gt;1,"Duplicate","Unique")</f>
        <v>Unique</v>
      </c>
      <c r="AC320" s="25" t="str">
        <f t="shared" si="14"/>
        <v>Clean</v>
      </c>
    </row>
    <row r="321" spans="1:29" ht="15" customHeight="1">
      <c r="A321" s="23" t="str">
        <f>Raw_Data!A312</f>
        <v>BYJ1311</v>
      </c>
      <c r="B321" s="23" t="str">
        <f>Raw_Data!B312</f>
        <v>Champak Narula</v>
      </c>
      <c r="C321" s="24">
        <f>IF(OR(Raw_Data!C312="",Raw_Data!C312&lt;$C$5,Raw_Data!C312&gt;$C$6),$C$4,Raw_Data!C312)</f>
        <v>12</v>
      </c>
      <c r="D321" s="23" t="str">
        <f>IF(Raw_Data!C312="","Missing-Imputed",IF(OR(Raw_Data!C312&lt;$C$5,Raw_Data!C312&gt;$C$6),"Outlier-Imputed","Original"))</f>
        <v>Original</v>
      </c>
      <c r="E321" s="23" t="str">
        <f>IF(OR(UPPER(TRIM(Raw_Data!D312))="M",UPPER(TRIM(Raw_Data!D312))="MALE"),"Male","Female")</f>
        <v>Male</v>
      </c>
      <c r="F321" s="23" t="str">
        <f>PROPER(TRIM(Raw_Data!E312))</f>
        <v>Amravati</v>
      </c>
      <c r="G321" s="23" t="str">
        <f>PROPER(TRIM(Raw_Data!F312))</f>
        <v>West Bengal</v>
      </c>
      <c r="H321" s="23" t="str">
        <f>PROPER(TRIM(Raw_Data!G312))</f>
        <v>Robotics</v>
      </c>
      <c r="I321" s="23" t="str">
        <f>PROPER(TRIM(Raw_Data!H312))</f>
        <v>Chennai Central</v>
      </c>
      <c r="J321" s="24">
        <f>IF(LEN(TRIM(Raw_Data!I312))=4,VALUE(TRIM(Raw_Data!I312)),IF(ISNUMBER(IFERROR(VALUE(MID(TRIM(Raw_Data!I312),1,4)),"NA")),VALUE(MID(TRIM(Raw_Data!I312),1,4)),VALUE(RIGHT(TRIM(Raw_Data!I312),4))))</f>
        <v>2017</v>
      </c>
      <c r="K321" s="23" t="str">
        <f>PROPER(TRIM(Raw_Data!J312))</f>
        <v>Business</v>
      </c>
      <c r="L321" s="23" t="str">
        <f t="shared" si="12"/>
        <v>10-13</v>
      </c>
      <c r="M321" s="23" t="str">
        <f t="shared" si="13"/>
        <v>Kids</v>
      </c>
      <c r="N321" s="23" t="str">
        <f>IF(ISNUMBER(SEARCH("NON",UPPER(Raw_Data!M312))),"Non-Premium Learner","Premium Learner")</f>
        <v>Premium Learner</v>
      </c>
      <c r="O321" s="23" t="str">
        <f>PROPER(TRIM(Raw_Data!N312))</f>
        <v>App Only</v>
      </c>
      <c r="P321" s="24">
        <f>IF(Raw_Data!O312="",$C$7,Raw_Data!O312)</f>
        <v>141096.76999999999</v>
      </c>
      <c r="Q321" s="23" t="str">
        <f>IF(Raw_Data!O312="","Missing-Imputed","Original")</f>
        <v>Original</v>
      </c>
      <c r="R321" s="24">
        <f>Raw_Data!P312</f>
        <v>64.400000000000006</v>
      </c>
      <c r="S321" s="24">
        <f>Raw_Data!Q312</f>
        <v>563.77</v>
      </c>
      <c r="T321" s="23" t="str">
        <f>IF(Raw_Data!R312="","Unknown",IF(ISNUMBER(SEARCH("ACT",UPPER(Raw_Data!R312))),"Active",IF(ISNUMBER(SEARCH("CLOS",UPPER(Raw_Data!R312))),"Closed","None")))</f>
        <v>Active</v>
      </c>
      <c r="U321" s="24">
        <f>IF(Raw_Data!S312="",$C$8,VALUE(Raw_Data!S312))</f>
        <v>387</v>
      </c>
      <c r="V321" s="23" t="str">
        <f>IF(Raw_Data!S312="","Missing-Imputed","Original")</f>
        <v>Original</v>
      </c>
      <c r="W321" s="24">
        <f>Raw_Data!T312</f>
        <v>122</v>
      </c>
      <c r="X321" s="23" t="str">
        <f>IF(ISNUMBER(SEARCH("Y",UPPER(TRIM(Raw_Data!U312)))),"Yes","No")</f>
        <v>No</v>
      </c>
      <c r="Y321" s="23" t="str">
        <f>IF(ISNUMBER(SEARCH("Y",UPPER(TRIM(Raw_Data!V312)))),"Yes","No")</f>
        <v>No</v>
      </c>
      <c r="Z321" s="24">
        <f>Raw_Data!W312</f>
        <v>4</v>
      </c>
      <c r="AA321" s="24">
        <f>Raw_Data!X312</f>
        <v>1.8</v>
      </c>
      <c r="AB321" s="23" t="str">
        <f>IF(COUNTIFS(Raw_Data!$A$2:$A$616,Raw_Data!A312)&gt;1,"Duplicate","Unique")</f>
        <v>Unique</v>
      </c>
      <c r="AC321" s="23" t="str">
        <f t="shared" si="14"/>
        <v>Clean</v>
      </c>
    </row>
    <row r="322" spans="1:29" ht="15" customHeight="1">
      <c r="A322" s="25" t="str">
        <f>Raw_Data!A313</f>
        <v>BYJ1312</v>
      </c>
      <c r="B322" s="25" t="str">
        <f>Raw_Data!B313</f>
        <v xml:space="preserve">  Rajeshri Ratta  </v>
      </c>
      <c r="C322" s="26">
        <f>IF(OR(Raw_Data!C313="",Raw_Data!C313&lt;$C$5,Raw_Data!C313&gt;$C$6),$C$4,Raw_Data!C313)</f>
        <v>40</v>
      </c>
      <c r="D322" s="25" t="str">
        <f>IF(Raw_Data!C313="","Missing-Imputed",IF(OR(Raw_Data!C313&lt;$C$5,Raw_Data!C313&gt;$C$6),"Outlier-Imputed","Original"))</f>
        <v>Original</v>
      </c>
      <c r="E322" s="25" t="str">
        <f>IF(OR(UPPER(TRIM(Raw_Data!D313))="M",UPPER(TRIM(Raw_Data!D313))="MALE"),"Male","Female")</f>
        <v>Male</v>
      </c>
      <c r="F322" s="25" t="str">
        <f>PROPER(TRIM(Raw_Data!E313))</f>
        <v>Kharagpur</v>
      </c>
      <c r="G322" s="25" t="str">
        <f>PROPER(TRIM(Raw_Data!F313))</f>
        <v>Karnataka</v>
      </c>
      <c r="H322" s="25" t="str">
        <f>PROPER(TRIM(Raw_Data!G313))</f>
        <v>Jee Prep</v>
      </c>
      <c r="I322" s="25" t="str">
        <f>PROPER(TRIM(Raw_Data!H313))</f>
        <v>Bengaluru South</v>
      </c>
      <c r="J322" s="26">
        <f>IF(LEN(TRIM(Raw_Data!I313))=4,VALUE(TRIM(Raw_Data!I313)),IF(ISNUMBER(IFERROR(VALUE(MID(TRIM(Raw_Data!I313),1,4)),"NA")),VALUE(MID(TRIM(Raw_Data!I313),1,4)),VALUE(RIGHT(TRIM(Raw_Data!I313),4))))</f>
        <v>2024</v>
      </c>
      <c r="K322" s="25" t="str">
        <f>PROPER(TRIM(Raw_Data!J313))</f>
        <v>Business</v>
      </c>
      <c r="L322" s="25" t="str">
        <f t="shared" si="12"/>
        <v>20+</v>
      </c>
      <c r="M322" s="25" t="str">
        <f t="shared" si="13"/>
        <v>Adult Learners</v>
      </c>
      <c r="N322" s="25" t="str">
        <f>IF(ISNUMBER(SEARCH("NON",UPPER(Raw_Data!M313))),"Non-Premium Learner","Premium Learner")</f>
        <v>Premium Learner</v>
      </c>
      <c r="O322" s="25" t="str">
        <f>PROPER(TRIM(Raw_Data!N313))</f>
        <v>App Only</v>
      </c>
      <c r="P322" s="26">
        <f>IF(Raw_Data!O313="",$C$7,Raw_Data!O313)</f>
        <v>56229.94</v>
      </c>
      <c r="Q322" s="25" t="str">
        <f>IF(Raw_Data!O313="","Missing-Imputed","Original")</f>
        <v>Original</v>
      </c>
      <c r="R322" s="26">
        <f>Raw_Data!P313</f>
        <v>74.099999999999994</v>
      </c>
      <c r="S322" s="26">
        <f>Raw_Data!Q313</f>
        <v>41065.050000000003</v>
      </c>
      <c r="T322" s="25" t="str">
        <f>IF(Raw_Data!R313="","Unknown",IF(ISNUMBER(SEARCH("ACT",UPPER(Raw_Data!R313))),"Active",IF(ISNUMBER(SEARCH("CLOS",UPPER(Raw_Data!R313))),"Closed","None")))</f>
        <v>None</v>
      </c>
      <c r="U322" s="26">
        <f>IF(Raw_Data!S313="",$C$8,VALUE(Raw_Data!S313))</f>
        <v>803</v>
      </c>
      <c r="V322" s="25" t="str">
        <f>IF(Raw_Data!S313="","Missing-Imputed","Original")</f>
        <v>Original</v>
      </c>
      <c r="W322" s="26">
        <f>Raw_Data!T313</f>
        <v>28</v>
      </c>
      <c r="X322" s="25" t="str">
        <f>IF(ISNUMBER(SEARCH("Y",UPPER(TRIM(Raw_Data!U313)))),"Yes","No")</f>
        <v>Yes</v>
      </c>
      <c r="Y322" s="25" t="str">
        <f>IF(ISNUMBER(SEARCH("Y",UPPER(TRIM(Raw_Data!V313)))),"Yes","No")</f>
        <v>No</v>
      </c>
      <c r="Z322" s="26">
        <f>Raw_Data!W313</f>
        <v>1</v>
      </c>
      <c r="AA322" s="26">
        <f>Raw_Data!X313</f>
        <v>5.7</v>
      </c>
      <c r="AB322" s="25" t="str">
        <f>IF(COUNTIFS(Raw_Data!$A$2:$A$616,Raw_Data!A313)&gt;1,"Duplicate","Unique")</f>
        <v>Unique</v>
      </c>
      <c r="AC322" s="25" t="str">
        <f t="shared" si="14"/>
        <v>Clean</v>
      </c>
    </row>
    <row r="323" spans="1:29" ht="15" customHeight="1">
      <c r="A323" s="23" t="str">
        <f>Raw_Data!A314</f>
        <v>BYJ1313</v>
      </c>
      <c r="B323" s="23" t="str">
        <f>Raw_Data!B314</f>
        <v>Rachit Taneja</v>
      </c>
      <c r="C323" s="24">
        <f>IF(OR(Raw_Data!C314="",Raw_Data!C314&lt;$C$5,Raw_Data!C314&gt;$C$6),$C$4,Raw_Data!C314)</f>
        <v>11</v>
      </c>
      <c r="D323" s="23" t="str">
        <f>IF(Raw_Data!C314="","Missing-Imputed",IF(OR(Raw_Data!C314&lt;$C$5,Raw_Data!C314&gt;$C$6),"Outlier-Imputed","Original"))</f>
        <v>Original</v>
      </c>
      <c r="E323" s="23" t="str">
        <f>IF(OR(UPPER(TRIM(Raw_Data!D314))="M",UPPER(TRIM(Raw_Data!D314))="MALE"),"Male","Female")</f>
        <v>Male</v>
      </c>
      <c r="F323" s="23" t="str">
        <f>PROPER(TRIM(Raw_Data!E314))</f>
        <v>Arrah</v>
      </c>
      <c r="G323" s="23" t="str">
        <f>PROPER(TRIM(Raw_Data!F314))</f>
        <v>West Bengal</v>
      </c>
      <c r="H323" s="23" t="str">
        <f>PROPER(TRIM(Raw_Data!G314))</f>
        <v>Neet Prep</v>
      </c>
      <c r="I323" s="23" t="str">
        <f>PROPER(TRIM(Raw_Data!H314))</f>
        <v>Lucknow Hub</v>
      </c>
      <c r="J323" s="24">
        <f>IF(LEN(TRIM(Raw_Data!I314))=4,VALUE(TRIM(Raw_Data!I314)),IF(ISNUMBER(IFERROR(VALUE(MID(TRIM(Raw_Data!I314),1,4)),"NA")),VALUE(MID(TRIM(Raw_Data!I314),1,4)),VALUE(RIGHT(TRIM(Raw_Data!I314),4))))</f>
        <v>2018</v>
      </c>
      <c r="K323" s="23" t="str">
        <f>PROPER(TRIM(Raw_Data!J314))</f>
        <v>Retired</v>
      </c>
      <c r="L323" s="23" t="str">
        <f t="shared" si="12"/>
        <v>10-13</v>
      </c>
      <c r="M323" s="23" t="str">
        <f t="shared" si="13"/>
        <v>Kids</v>
      </c>
      <c r="N323" s="23" t="str">
        <f>IF(ISNUMBER(SEARCH("NON",UPPER(Raw_Data!M314))),"Non-Premium Learner","Premium Learner")</f>
        <v>Non-Premium Learner</v>
      </c>
      <c r="O323" s="23" t="str">
        <f>PROPER(TRIM(Raw_Data!N314))</f>
        <v>Web Only</v>
      </c>
      <c r="P323" s="24">
        <f>IF(Raw_Data!O314="",$C$7,Raw_Data!O314)</f>
        <v>55515.92</v>
      </c>
      <c r="Q323" s="23" t="str">
        <f>IF(Raw_Data!O314="","Missing-Imputed","Original")</f>
        <v>Original</v>
      </c>
      <c r="R323" s="24">
        <f>Raw_Data!P314</f>
        <v>73.7</v>
      </c>
      <c r="S323" s="24">
        <f>Raw_Data!Q314</f>
        <v>39703.9</v>
      </c>
      <c r="T323" s="23" t="str">
        <f>IF(Raw_Data!R314="","Unknown",IF(ISNUMBER(SEARCH("ACT",UPPER(Raw_Data!R314))),"Active",IF(ISNUMBER(SEARCH("CLOS",UPPER(Raw_Data!R314))),"Closed","None")))</f>
        <v>Closed</v>
      </c>
      <c r="U323" s="24">
        <f>IF(Raw_Data!S314="",$C$8,VALUE(Raw_Data!S314))</f>
        <v>378</v>
      </c>
      <c r="V323" s="23" t="str">
        <f>IF(Raw_Data!S314="","Missing-Imputed","Original")</f>
        <v>Original</v>
      </c>
      <c r="W323" s="24">
        <f>Raw_Data!T314</f>
        <v>38</v>
      </c>
      <c r="X323" s="23" t="str">
        <f>IF(ISNUMBER(SEARCH("Y",UPPER(TRIM(Raw_Data!U314)))),"Yes","No")</f>
        <v>Yes</v>
      </c>
      <c r="Y323" s="23" t="str">
        <f>IF(ISNUMBER(SEARCH("Y",UPPER(TRIM(Raw_Data!V314)))),"Yes","No")</f>
        <v>Yes</v>
      </c>
      <c r="Z323" s="24">
        <f>Raw_Data!W314</f>
        <v>4</v>
      </c>
      <c r="AA323" s="24">
        <f>Raw_Data!X314</f>
        <v>6.6</v>
      </c>
      <c r="AB323" s="23" t="str">
        <f>IF(COUNTIFS(Raw_Data!$A$2:$A$616,Raw_Data!A314)&gt;1,"Duplicate","Unique")</f>
        <v>Unique</v>
      </c>
      <c r="AC323" s="23" t="str">
        <f t="shared" si="14"/>
        <v>Clean</v>
      </c>
    </row>
    <row r="324" spans="1:29" ht="15" customHeight="1">
      <c r="A324" s="25" t="str">
        <f>Raw_Data!A315</f>
        <v>BYJ1314</v>
      </c>
      <c r="B324" s="25" t="str">
        <f>Raw_Data!B315</f>
        <v>Fitan Samra</v>
      </c>
      <c r="C324" s="26">
        <f>IF(OR(Raw_Data!C315="",Raw_Data!C315&lt;$C$5,Raw_Data!C315&gt;$C$6),$C$4,Raw_Data!C315)</f>
        <v>10</v>
      </c>
      <c r="D324" s="25" t="str">
        <f>IF(Raw_Data!C315="","Missing-Imputed",IF(OR(Raw_Data!C315&lt;$C$5,Raw_Data!C315&gt;$C$6),"Outlier-Imputed","Original"))</f>
        <v>Original</v>
      </c>
      <c r="E324" s="25" t="str">
        <f>IF(OR(UPPER(TRIM(Raw_Data!D315))="M",UPPER(TRIM(Raw_Data!D315))="MALE"),"Male","Female")</f>
        <v>Male</v>
      </c>
      <c r="F324" s="25" t="str">
        <f>PROPER(TRIM(Raw_Data!E315))</f>
        <v>Chinsurah</v>
      </c>
      <c r="G324" s="25" t="str">
        <f>PROPER(TRIM(Raw_Data!F315))</f>
        <v>Telangana</v>
      </c>
      <c r="H324" s="25" t="str">
        <f>PROPER(TRIM(Raw_Data!G315))</f>
        <v>Science</v>
      </c>
      <c r="I324" s="25" t="str">
        <f>PROPER(TRIM(Raw_Data!H315))</f>
        <v>Bengaluru South</v>
      </c>
      <c r="J324" s="26">
        <f>IF(LEN(TRIM(Raw_Data!I315))=4,VALUE(TRIM(Raw_Data!I315)),IF(ISNUMBER(IFERROR(VALUE(MID(TRIM(Raw_Data!I315),1,4)),"NA")),VALUE(MID(TRIM(Raw_Data!I315),1,4)),VALUE(RIGHT(TRIM(Raw_Data!I315),4))))</f>
        <v>2021</v>
      </c>
      <c r="K324" s="25" t="str">
        <f>PROPER(TRIM(Raw_Data!J315))</f>
        <v>Homemaker</v>
      </c>
      <c r="L324" s="25" t="str">
        <f t="shared" si="12"/>
        <v>10-13</v>
      </c>
      <c r="M324" s="25" t="str">
        <f t="shared" si="13"/>
        <v>Kids</v>
      </c>
      <c r="N324" s="25" t="str">
        <f>IF(ISNUMBER(SEARCH("NON",UPPER(Raw_Data!M315))),"Non-Premium Learner","Premium Learner")</f>
        <v>Non-Premium Learner</v>
      </c>
      <c r="O324" s="25" t="str">
        <f>PROPER(TRIM(Raw_Data!N315))</f>
        <v>Both App &amp; Web</v>
      </c>
      <c r="P324" s="26">
        <f>IF(Raw_Data!O315="",$C$7,Raw_Data!O315)</f>
        <v>146063.09</v>
      </c>
      <c r="Q324" s="25" t="str">
        <f>IF(Raw_Data!O315="","Missing-Imputed","Original")</f>
        <v>Original</v>
      </c>
      <c r="R324" s="26">
        <f>Raw_Data!P315</f>
        <v>52.7</v>
      </c>
      <c r="S324" s="26">
        <f>Raw_Data!Q315</f>
        <v>8293.2800000000007</v>
      </c>
      <c r="T324" s="25" t="str">
        <f>IF(Raw_Data!R315="","Unknown",IF(ISNUMBER(SEARCH("ACT",UPPER(Raw_Data!R315))),"Active",IF(ISNUMBER(SEARCH("CLOS",UPPER(Raw_Data!R315))),"Closed","None")))</f>
        <v>None</v>
      </c>
      <c r="U324" s="26">
        <f>IF(Raw_Data!S315="",$C$8,VALUE(Raw_Data!S315))</f>
        <v>692</v>
      </c>
      <c r="V324" s="25" t="str">
        <f>IF(Raw_Data!S315="","Missing-Imputed","Original")</f>
        <v>Original</v>
      </c>
      <c r="W324" s="26">
        <f>Raw_Data!T315</f>
        <v>127</v>
      </c>
      <c r="X324" s="25" t="str">
        <f>IF(ISNUMBER(SEARCH("Y",UPPER(TRIM(Raw_Data!U315)))),"Yes","No")</f>
        <v>No</v>
      </c>
      <c r="Y324" s="25" t="str">
        <f>IF(ISNUMBER(SEARCH("Y",UPPER(TRIM(Raw_Data!V315)))),"Yes","No")</f>
        <v>No</v>
      </c>
      <c r="Z324" s="26">
        <f>Raw_Data!W315</f>
        <v>5</v>
      </c>
      <c r="AA324" s="26">
        <f>Raw_Data!X315</f>
        <v>6.6</v>
      </c>
      <c r="AB324" s="25" t="str">
        <f>IF(COUNTIFS(Raw_Data!$A$2:$A$616,Raw_Data!A315)&gt;1,"Duplicate","Unique")</f>
        <v>Unique</v>
      </c>
      <c r="AC324" s="25" t="str">
        <f t="shared" si="14"/>
        <v>Clean</v>
      </c>
    </row>
    <row r="325" spans="1:29" ht="15" customHeight="1">
      <c r="A325" s="23" t="str">
        <f>Raw_Data!A316</f>
        <v>BYJ1315</v>
      </c>
      <c r="B325" s="23" t="str">
        <f>Raw_Data!B316</f>
        <v>Chaaya Nagi</v>
      </c>
      <c r="C325" s="24">
        <f>IF(OR(Raw_Data!C316="",Raw_Data!C316&lt;$C$5,Raw_Data!C316&gt;$C$6),$C$4,Raw_Data!C316)</f>
        <v>20</v>
      </c>
      <c r="D325" s="23" t="str">
        <f>IF(Raw_Data!C316="","Missing-Imputed",IF(OR(Raw_Data!C316&lt;$C$5,Raw_Data!C316&gt;$C$6),"Outlier-Imputed","Original"))</f>
        <v>Original</v>
      </c>
      <c r="E325" s="23" t="str">
        <f>IF(OR(UPPER(TRIM(Raw_Data!D316))="M",UPPER(TRIM(Raw_Data!D316))="MALE"),"Male","Female")</f>
        <v>Male</v>
      </c>
      <c r="F325" s="23" t="str">
        <f>PROPER(TRIM(Raw_Data!E316))</f>
        <v>Vijayawada</v>
      </c>
      <c r="G325" s="23" t="str">
        <f>PROPER(TRIM(Raw_Data!F316))</f>
        <v>Delhi</v>
      </c>
      <c r="H325" s="23" t="str">
        <f>PROPER(TRIM(Raw_Data!G316))</f>
        <v>Coding</v>
      </c>
      <c r="I325" s="23" t="str">
        <f>PROPER(TRIM(Raw_Data!H316))</f>
        <v>Pune East</v>
      </c>
      <c r="J325" s="24">
        <f>IF(LEN(TRIM(Raw_Data!I316))=4,VALUE(TRIM(Raw_Data!I316)),IF(ISNUMBER(IFERROR(VALUE(MID(TRIM(Raw_Data!I316),1,4)),"NA")),VALUE(MID(TRIM(Raw_Data!I316),1,4)),VALUE(RIGHT(TRIM(Raw_Data!I316),4))))</f>
        <v>2024</v>
      </c>
      <c r="K325" s="23" t="str">
        <f>PROPER(TRIM(Raw_Data!J316))</f>
        <v>Salaried</v>
      </c>
      <c r="L325" s="23" t="str">
        <f t="shared" si="12"/>
        <v>20+</v>
      </c>
      <c r="M325" s="23" t="str">
        <f t="shared" si="13"/>
        <v>Adult Learners</v>
      </c>
      <c r="N325" s="23" t="str">
        <f>IF(ISNUMBER(SEARCH("NON",UPPER(Raw_Data!M316))),"Non-Premium Learner","Premium Learner")</f>
        <v>Non-Premium Learner</v>
      </c>
      <c r="O325" s="23" t="str">
        <f>PROPER(TRIM(Raw_Data!N316))</f>
        <v>App Only</v>
      </c>
      <c r="P325" s="24">
        <f>IF(Raw_Data!O316="",$C$7,Raw_Data!O316)</f>
        <v>47731.11</v>
      </c>
      <c r="Q325" s="23" t="str">
        <f>IF(Raw_Data!O316="","Missing-Imputed","Original")</f>
        <v>Original</v>
      </c>
      <c r="R325" s="24">
        <f>Raw_Data!P316</f>
        <v>69</v>
      </c>
      <c r="S325" s="24">
        <f>Raw_Data!Q316</f>
        <v>58309.18</v>
      </c>
      <c r="T325" s="23" t="str">
        <f>IF(Raw_Data!R316="","Unknown",IF(ISNUMBER(SEARCH("ACT",UPPER(Raw_Data!R316))),"Active",IF(ISNUMBER(SEARCH("CLOS",UPPER(Raw_Data!R316))),"Closed","None")))</f>
        <v>Closed</v>
      </c>
      <c r="U325" s="24">
        <f>IF(Raw_Data!S316="",$C$8,VALUE(Raw_Data!S316))</f>
        <v>515</v>
      </c>
      <c r="V325" s="23" t="str">
        <f>IF(Raw_Data!S316="","Missing-Imputed","Original")</f>
        <v>Original</v>
      </c>
      <c r="W325" s="24">
        <f>Raw_Data!T316</f>
        <v>14</v>
      </c>
      <c r="X325" s="23" t="str">
        <f>IF(ISNUMBER(SEARCH("Y",UPPER(TRIM(Raw_Data!U316)))),"Yes","No")</f>
        <v>Yes</v>
      </c>
      <c r="Y325" s="23" t="str">
        <f>IF(ISNUMBER(SEARCH("Y",UPPER(TRIM(Raw_Data!V316)))),"Yes","No")</f>
        <v>Yes</v>
      </c>
      <c r="Z325" s="24">
        <f>Raw_Data!W316</f>
        <v>1</v>
      </c>
      <c r="AA325" s="24">
        <f>Raw_Data!X316</f>
        <v>6.4</v>
      </c>
      <c r="AB325" s="23" t="str">
        <f>IF(COUNTIFS(Raw_Data!$A$2:$A$616,Raw_Data!A316)&gt;1,"Duplicate","Unique")</f>
        <v>Unique</v>
      </c>
      <c r="AC325" s="23" t="str">
        <f t="shared" si="14"/>
        <v>Clean</v>
      </c>
    </row>
    <row r="326" spans="1:29" ht="15" customHeight="1">
      <c r="A326" s="25" t="str">
        <f>Raw_Data!A317</f>
        <v>BYJ1316</v>
      </c>
      <c r="B326" s="25" t="str">
        <f>Raw_Data!B317</f>
        <v>Chakrika Mohan</v>
      </c>
      <c r="C326" s="26">
        <f>IF(OR(Raw_Data!C317="",Raw_Data!C317&lt;$C$5,Raw_Data!C317&gt;$C$6),$C$4,Raw_Data!C317)</f>
        <v>12</v>
      </c>
      <c r="D326" s="25" t="str">
        <f>IF(Raw_Data!C317="","Missing-Imputed",IF(OR(Raw_Data!C317&lt;$C$5,Raw_Data!C317&gt;$C$6),"Outlier-Imputed","Original"))</f>
        <v>Original</v>
      </c>
      <c r="E326" s="25" t="str">
        <f>IF(OR(UPPER(TRIM(Raw_Data!D317))="M",UPPER(TRIM(Raw_Data!D317))="MALE"),"Male","Female")</f>
        <v>Male</v>
      </c>
      <c r="F326" s="25" t="str">
        <f>PROPER(TRIM(Raw_Data!E317))</f>
        <v>Madanapalle</v>
      </c>
      <c r="G326" s="25" t="str">
        <f>PROPER(TRIM(Raw_Data!F317))</f>
        <v>Maharashtra</v>
      </c>
      <c r="H326" s="25" t="str">
        <f>PROPER(TRIM(Raw_Data!G317))</f>
        <v>Coding</v>
      </c>
      <c r="I326" s="25" t="str">
        <f>PROPER(TRIM(Raw_Data!H317))</f>
        <v>Mumbai West</v>
      </c>
      <c r="J326" s="26">
        <f>IF(LEN(TRIM(Raw_Data!I317))=4,VALUE(TRIM(Raw_Data!I317)),IF(ISNUMBER(IFERROR(VALUE(MID(TRIM(Raw_Data!I317),1,4)),"NA")),VALUE(MID(TRIM(Raw_Data!I317),1,4)),VALUE(RIGHT(TRIM(Raw_Data!I317),4))))</f>
        <v>2021</v>
      </c>
      <c r="K326" s="25" t="str">
        <f>PROPER(TRIM(Raw_Data!J317))</f>
        <v>Salaried</v>
      </c>
      <c r="L326" s="25" t="str">
        <f t="shared" si="12"/>
        <v>10-13</v>
      </c>
      <c r="M326" s="25" t="str">
        <f t="shared" si="13"/>
        <v>Kids</v>
      </c>
      <c r="N326" s="25" t="str">
        <f>IF(ISNUMBER(SEARCH("NON",UPPER(Raw_Data!M317))),"Non-Premium Learner","Premium Learner")</f>
        <v>Premium Learner</v>
      </c>
      <c r="O326" s="25" t="str">
        <f>PROPER(TRIM(Raw_Data!N317))</f>
        <v>Web Only</v>
      </c>
      <c r="P326" s="26">
        <f>IF(Raw_Data!O317="",$C$7,Raw_Data!O317)</f>
        <v>26709</v>
      </c>
      <c r="Q326" s="25" t="str">
        <f>IF(Raw_Data!O317="","Missing-Imputed","Original")</f>
        <v>Original</v>
      </c>
      <c r="R326" s="26">
        <f>Raw_Data!P317</f>
        <v>60.8</v>
      </c>
      <c r="S326" s="26">
        <f>Raw_Data!Q317</f>
        <v>44886.43</v>
      </c>
      <c r="T326" s="25" t="str">
        <f>IF(Raw_Data!R317="","Unknown",IF(ISNUMBER(SEARCH("ACT",UPPER(Raw_Data!R317))),"Active",IF(ISNUMBER(SEARCH("CLOS",UPPER(Raw_Data!R317))),"Closed","None")))</f>
        <v>None</v>
      </c>
      <c r="U326" s="26">
        <f>IF(Raw_Data!S317="",$C$8,VALUE(Raw_Data!S317))</f>
        <v>781</v>
      </c>
      <c r="V326" s="25" t="str">
        <f>IF(Raw_Data!S317="","Missing-Imputed","Original")</f>
        <v>Original</v>
      </c>
      <c r="W326" s="26">
        <f>Raw_Data!T317</f>
        <v>86</v>
      </c>
      <c r="X326" s="25" t="str">
        <f>IF(ISNUMBER(SEARCH("Y",UPPER(TRIM(Raw_Data!U317)))),"Yes","No")</f>
        <v>No</v>
      </c>
      <c r="Y326" s="25" t="str">
        <f>IF(ISNUMBER(SEARCH("Y",UPPER(TRIM(Raw_Data!V317)))),"Yes","No")</f>
        <v>No</v>
      </c>
      <c r="Z326" s="26">
        <f>Raw_Data!W317</f>
        <v>2</v>
      </c>
      <c r="AA326" s="26">
        <f>Raw_Data!X317</f>
        <v>1</v>
      </c>
      <c r="AB326" s="25" t="str">
        <f>IF(COUNTIFS(Raw_Data!$A$2:$A$616,Raw_Data!A317)&gt;1,"Duplicate","Unique")</f>
        <v>Unique</v>
      </c>
      <c r="AC326" s="25" t="str">
        <f t="shared" si="14"/>
        <v>Clean</v>
      </c>
    </row>
    <row r="327" spans="1:29" ht="15" customHeight="1">
      <c r="A327" s="23" t="str">
        <f>Raw_Data!A318</f>
        <v>BYJ1317</v>
      </c>
      <c r="B327" s="23" t="str">
        <f>Raw_Data!B318</f>
        <v>Ojas Sawhney</v>
      </c>
      <c r="C327" s="24">
        <f>IF(OR(Raw_Data!C318="",Raw_Data!C318&lt;$C$5,Raw_Data!C318&gt;$C$6),$C$4,Raw_Data!C318)</f>
        <v>17</v>
      </c>
      <c r="D327" s="23" t="str">
        <f>IF(Raw_Data!C318="","Missing-Imputed",IF(OR(Raw_Data!C318&lt;$C$5,Raw_Data!C318&gt;$C$6),"Outlier-Imputed","Original"))</f>
        <v>Original</v>
      </c>
      <c r="E327" s="23" t="str">
        <f>IF(OR(UPPER(TRIM(Raw_Data!D318))="M",UPPER(TRIM(Raw_Data!D318))="MALE"),"Male","Female")</f>
        <v>Male</v>
      </c>
      <c r="F327" s="23" t="str">
        <f>PROPER(TRIM(Raw_Data!E318))</f>
        <v>Amroha</v>
      </c>
      <c r="G327" s="23" t="str">
        <f>PROPER(TRIM(Raw_Data!F318))</f>
        <v>West Bengal</v>
      </c>
      <c r="H327" s="23" t="str">
        <f>PROPER(TRIM(Raw_Data!G318))</f>
        <v>Spoken English</v>
      </c>
      <c r="I327" s="23" t="str">
        <f>PROPER(TRIM(Raw_Data!H318))</f>
        <v>Jaipur Center</v>
      </c>
      <c r="J327" s="24">
        <f>IF(LEN(TRIM(Raw_Data!I318))=4,VALUE(TRIM(Raw_Data!I318)),IF(ISNUMBER(IFERROR(VALUE(MID(TRIM(Raw_Data!I318),1,4)),"NA")),VALUE(MID(TRIM(Raw_Data!I318),1,4)),VALUE(RIGHT(TRIM(Raw_Data!I318),4))))</f>
        <v>46039</v>
      </c>
      <c r="K327" s="23" t="str">
        <f>PROPER(TRIM(Raw_Data!J318))</f>
        <v>Retired</v>
      </c>
      <c r="L327" s="23" t="str">
        <f t="shared" si="12"/>
        <v>17-19</v>
      </c>
      <c r="M327" s="23" t="str">
        <f t="shared" si="13"/>
        <v>Teens</v>
      </c>
      <c r="N327" s="23" t="str">
        <f>IF(ISNUMBER(SEARCH("NON",UPPER(Raw_Data!M318))),"Non-Premium Learner","Premium Learner")</f>
        <v>Premium Learner</v>
      </c>
      <c r="O327" s="23" t="str">
        <f>PROPER(TRIM(Raw_Data!N318))</f>
        <v>Web Only</v>
      </c>
      <c r="P327" s="24">
        <f>IF(Raw_Data!O318="",$C$7,Raw_Data!O318)</f>
        <v>146102.74</v>
      </c>
      <c r="Q327" s="23" t="str">
        <f>IF(Raw_Data!O318="","Missing-Imputed","Original")</f>
        <v>Original</v>
      </c>
      <c r="R327" s="24">
        <f>Raw_Data!P318</f>
        <v>78.3</v>
      </c>
      <c r="S327" s="24">
        <f>Raw_Data!Q318</f>
        <v>7508</v>
      </c>
      <c r="T327" s="23" t="str">
        <f>IF(Raw_Data!R318="","Unknown",IF(ISNUMBER(SEARCH("ACT",UPPER(Raw_Data!R318))),"Active",IF(ISNUMBER(SEARCH("CLOS",UPPER(Raw_Data!R318))),"Closed","None")))</f>
        <v>Active</v>
      </c>
      <c r="U327" s="24">
        <f>IF(Raw_Data!S318="",$C$8,VALUE(Raw_Data!S318))</f>
        <v>357</v>
      </c>
      <c r="V327" s="23" t="str">
        <f>IF(Raw_Data!S318="","Missing-Imputed","Original")</f>
        <v>Original</v>
      </c>
      <c r="W327" s="24">
        <f>Raw_Data!T318</f>
        <v>47</v>
      </c>
      <c r="X327" s="23" t="str">
        <f>IF(ISNUMBER(SEARCH("Y",UPPER(TRIM(Raw_Data!U318)))),"Yes","No")</f>
        <v>Yes</v>
      </c>
      <c r="Y327" s="23" t="str">
        <f>IF(ISNUMBER(SEARCH("Y",UPPER(TRIM(Raw_Data!V318)))),"Yes","No")</f>
        <v>No</v>
      </c>
      <c r="Z327" s="24">
        <f>Raw_Data!W318</f>
        <v>4</v>
      </c>
      <c r="AA327" s="24">
        <f>Raw_Data!X318</f>
        <v>7.5</v>
      </c>
      <c r="AB327" s="23" t="str">
        <f>IF(COUNTIFS(Raw_Data!$A$2:$A$616,Raw_Data!A318)&gt;1,"Duplicate","Unique")</f>
        <v>Duplicate</v>
      </c>
      <c r="AC327" s="23" t="str">
        <f t="shared" si="14"/>
        <v>Review-Duplicate</v>
      </c>
    </row>
    <row r="328" spans="1:29" ht="15" customHeight="1">
      <c r="A328" s="25" t="str">
        <f>Raw_Data!A319</f>
        <v>BYJ1318</v>
      </c>
      <c r="B328" s="25" t="str">
        <f>Raw_Data!B319</f>
        <v>Ira Saran</v>
      </c>
      <c r="C328" s="26">
        <f>IF(OR(Raw_Data!C319="",Raw_Data!C319&lt;$C$5,Raw_Data!C319&gt;$C$6),$C$4,Raw_Data!C319)</f>
        <v>33</v>
      </c>
      <c r="D328" s="25" t="str">
        <f>IF(Raw_Data!C319="","Missing-Imputed",IF(OR(Raw_Data!C319&lt;$C$5,Raw_Data!C319&gt;$C$6),"Outlier-Imputed","Original"))</f>
        <v>Original</v>
      </c>
      <c r="E328" s="25" t="str">
        <f>IF(OR(UPPER(TRIM(Raw_Data!D319))="M",UPPER(TRIM(Raw_Data!D319))="MALE"),"Male","Female")</f>
        <v>Male</v>
      </c>
      <c r="F328" s="25" t="str">
        <f>PROPER(TRIM(Raw_Data!E319))</f>
        <v>Howrah</v>
      </c>
      <c r="G328" s="25" t="str">
        <f>PROPER(TRIM(Raw_Data!F319))</f>
        <v>Karnataka</v>
      </c>
      <c r="H328" s="25" t="str">
        <f>PROPER(TRIM(Raw_Data!G319))</f>
        <v>Neet Prep</v>
      </c>
      <c r="I328" s="25" t="str">
        <f>PROPER(TRIM(Raw_Data!H319))</f>
        <v>Lucknow Hub</v>
      </c>
      <c r="J328" s="26">
        <f>IF(LEN(TRIM(Raw_Data!I319))=4,VALUE(TRIM(Raw_Data!I319)),IF(ISNUMBER(IFERROR(VALUE(MID(TRIM(Raw_Data!I319),1,4)),"NA")),VALUE(MID(TRIM(Raw_Data!I319),1,4)),VALUE(RIGHT(TRIM(Raw_Data!I319),4))))</f>
        <v>2021</v>
      </c>
      <c r="K328" s="25" t="str">
        <f>PROPER(TRIM(Raw_Data!J319))</f>
        <v>Business</v>
      </c>
      <c r="L328" s="25" t="str">
        <f t="shared" si="12"/>
        <v>20+</v>
      </c>
      <c r="M328" s="25" t="str">
        <f t="shared" si="13"/>
        <v>Adult Learners</v>
      </c>
      <c r="N328" s="25" t="str">
        <f>IF(ISNUMBER(SEARCH("NON",UPPER(Raw_Data!M319))),"Non-Premium Learner","Premium Learner")</f>
        <v>Non-Premium Learner</v>
      </c>
      <c r="O328" s="25" t="str">
        <f>PROPER(TRIM(Raw_Data!N319))</f>
        <v>Both App &amp; Web</v>
      </c>
      <c r="P328" s="26">
        <f>IF(Raw_Data!O319="",$C$7,Raw_Data!O319)</f>
        <v>6591.67</v>
      </c>
      <c r="Q328" s="25" t="str">
        <f>IF(Raw_Data!O319="","Missing-Imputed","Original")</f>
        <v>Original</v>
      </c>
      <c r="R328" s="26">
        <f>Raw_Data!P319</f>
        <v>19.100000000000001</v>
      </c>
      <c r="S328" s="26">
        <f>Raw_Data!Q319</f>
        <v>12103.56</v>
      </c>
      <c r="T328" s="25" t="str">
        <f>IF(Raw_Data!R319="","Unknown",IF(ISNUMBER(SEARCH("ACT",UPPER(Raw_Data!R319))),"Active",IF(ISNUMBER(SEARCH("CLOS",UPPER(Raw_Data!R319))),"Closed","None")))</f>
        <v>Active</v>
      </c>
      <c r="U328" s="26">
        <f>IF(Raw_Data!S319="",$C$8,VALUE(Raw_Data!S319))</f>
        <v>575</v>
      </c>
      <c r="V328" s="25" t="str">
        <f>IF(Raw_Data!S319="","Missing-Imputed","Original")</f>
        <v>Original</v>
      </c>
      <c r="W328" s="26">
        <f>Raw_Data!T319</f>
        <v>145</v>
      </c>
      <c r="X328" s="25" t="str">
        <f>IF(ISNUMBER(SEARCH("Y",UPPER(TRIM(Raw_Data!U319)))),"Yes","No")</f>
        <v>Yes</v>
      </c>
      <c r="Y328" s="25" t="str">
        <f>IF(ISNUMBER(SEARCH("Y",UPPER(TRIM(Raw_Data!V319)))),"Yes","No")</f>
        <v>Yes</v>
      </c>
      <c r="Z328" s="26">
        <f>Raw_Data!W319</f>
        <v>3</v>
      </c>
      <c r="AA328" s="26">
        <f>Raw_Data!X319</f>
        <v>1.3</v>
      </c>
      <c r="AB328" s="25" t="str">
        <f>IF(COUNTIFS(Raw_Data!$A$2:$A$616,Raw_Data!A319)&gt;1,"Duplicate","Unique")</f>
        <v>Unique</v>
      </c>
      <c r="AC328" s="25" t="str">
        <f t="shared" si="14"/>
        <v>Clean</v>
      </c>
    </row>
    <row r="329" spans="1:29" ht="15" customHeight="1">
      <c r="A329" s="23" t="str">
        <f>Raw_Data!A320</f>
        <v>BYJ1319</v>
      </c>
      <c r="B329" s="23" t="str">
        <f>Raw_Data!B320</f>
        <v>Nidra Patla</v>
      </c>
      <c r="C329" s="24">
        <f>IF(OR(Raw_Data!C320="",Raw_Data!C320&lt;$C$5,Raw_Data!C320&gt;$C$6),$C$4,Raw_Data!C320)</f>
        <v>24</v>
      </c>
      <c r="D329" s="23" t="str">
        <f>IF(Raw_Data!C320="","Missing-Imputed",IF(OR(Raw_Data!C320&lt;$C$5,Raw_Data!C320&gt;$C$6),"Outlier-Imputed","Original"))</f>
        <v>Original</v>
      </c>
      <c r="E329" s="23" t="str">
        <f>IF(OR(UPPER(TRIM(Raw_Data!D320))="M",UPPER(TRIM(Raw_Data!D320))="MALE"),"Male","Female")</f>
        <v>Female</v>
      </c>
      <c r="F329" s="23" t="str">
        <f>PROPER(TRIM(Raw_Data!E320))</f>
        <v>Ludhiana</v>
      </c>
      <c r="G329" s="23" t="str">
        <f>PROPER(TRIM(Raw_Data!F320))</f>
        <v>West Bengal</v>
      </c>
      <c r="H329" s="23" t="str">
        <f>PROPER(TRIM(Raw_Data!G320))</f>
        <v>Neet Prep</v>
      </c>
      <c r="I329" s="23" t="str">
        <f>PROPER(TRIM(Raw_Data!H320))</f>
        <v>Mumbai West</v>
      </c>
      <c r="J329" s="24">
        <f>IF(LEN(TRIM(Raw_Data!I320))=4,VALUE(TRIM(Raw_Data!I320)),IF(ISNUMBER(IFERROR(VALUE(MID(TRIM(Raw_Data!I320),1,4)),"NA")),VALUE(MID(TRIM(Raw_Data!I320),1,4)),VALUE(RIGHT(TRIM(Raw_Data!I320),4))))</f>
        <v>2017</v>
      </c>
      <c r="K329" s="23" t="str">
        <f>PROPER(TRIM(Raw_Data!J320))</f>
        <v>Government Employee</v>
      </c>
      <c r="L329" s="23" t="str">
        <f t="shared" si="12"/>
        <v>20+</v>
      </c>
      <c r="M329" s="23" t="str">
        <f t="shared" si="13"/>
        <v>Adult Learners</v>
      </c>
      <c r="N329" s="23" t="str">
        <f>IF(ISNUMBER(SEARCH("NON",UPPER(Raw_Data!M320))),"Non-Premium Learner","Premium Learner")</f>
        <v>Non-Premium Learner</v>
      </c>
      <c r="O329" s="23" t="str">
        <f>PROPER(TRIM(Raw_Data!N320))</f>
        <v>Both App &amp; Web</v>
      </c>
      <c r="P329" s="24">
        <f>IF(Raw_Data!O320="",$C$7,Raw_Data!O320)</f>
        <v>120430.05</v>
      </c>
      <c r="Q329" s="23" t="str">
        <f>IF(Raw_Data!O320="","Missing-Imputed","Original")</f>
        <v>Original</v>
      </c>
      <c r="R329" s="24">
        <f>Raw_Data!P320</f>
        <v>70.2</v>
      </c>
      <c r="S329" s="24">
        <f>Raw_Data!Q320</f>
        <v>2244.5</v>
      </c>
      <c r="T329" s="23" t="str">
        <f>IF(Raw_Data!R320="","Unknown",IF(ISNUMBER(SEARCH("ACT",UPPER(Raw_Data!R320))),"Active",IF(ISNUMBER(SEARCH("CLOS",UPPER(Raw_Data!R320))),"Closed","None")))</f>
        <v>Active</v>
      </c>
      <c r="U329" s="24">
        <f>IF(Raw_Data!S320="",$C$8,VALUE(Raw_Data!S320))</f>
        <v>774</v>
      </c>
      <c r="V329" s="23" t="str">
        <f>IF(Raw_Data!S320="","Missing-Imputed","Original")</f>
        <v>Original</v>
      </c>
      <c r="W329" s="24">
        <f>Raw_Data!T320</f>
        <v>160</v>
      </c>
      <c r="X329" s="23" t="str">
        <f>IF(ISNUMBER(SEARCH("Y",UPPER(TRIM(Raw_Data!U320)))),"Yes","No")</f>
        <v>Yes</v>
      </c>
      <c r="Y329" s="23" t="str">
        <f>IF(ISNUMBER(SEARCH("Y",UPPER(TRIM(Raw_Data!V320)))),"Yes","No")</f>
        <v>Yes</v>
      </c>
      <c r="Z329" s="24">
        <f>Raw_Data!W320</f>
        <v>2</v>
      </c>
      <c r="AA329" s="24">
        <f>Raw_Data!X320</f>
        <v>8.9</v>
      </c>
      <c r="AB329" s="23" t="str">
        <f>IF(COUNTIFS(Raw_Data!$A$2:$A$616,Raw_Data!A320)&gt;1,"Duplicate","Unique")</f>
        <v>Unique</v>
      </c>
      <c r="AC329" s="23" t="str">
        <f t="shared" si="14"/>
        <v>Clean</v>
      </c>
    </row>
    <row r="330" spans="1:29" ht="15" customHeight="1">
      <c r="A330" s="25" t="str">
        <f>Raw_Data!A321</f>
        <v>BYJ1320</v>
      </c>
      <c r="B330" s="25" t="str">
        <f>Raw_Data!B321</f>
        <v>Raksha Banerjee</v>
      </c>
      <c r="C330" s="26">
        <f>IF(OR(Raw_Data!C321="",Raw_Data!C321&lt;$C$5,Raw_Data!C321&gt;$C$6),$C$4,Raw_Data!C321)</f>
        <v>44</v>
      </c>
      <c r="D330" s="25" t="str">
        <f>IF(Raw_Data!C321="","Missing-Imputed",IF(OR(Raw_Data!C321&lt;$C$5,Raw_Data!C321&gt;$C$6),"Outlier-Imputed","Original"))</f>
        <v>Original</v>
      </c>
      <c r="E330" s="25" t="str">
        <f>IF(OR(UPPER(TRIM(Raw_Data!D321))="M",UPPER(TRIM(Raw_Data!D321))="MALE"),"Male","Female")</f>
        <v>Female</v>
      </c>
      <c r="F330" s="25" t="str">
        <f>PROPER(TRIM(Raw_Data!E321))</f>
        <v>Jabalpur</v>
      </c>
      <c r="G330" s="25" t="str">
        <f>PROPER(TRIM(Raw_Data!F321))</f>
        <v>Gujarat</v>
      </c>
      <c r="H330" s="25" t="str">
        <f>PROPER(TRIM(Raw_Data!G321))</f>
        <v>Jee Prep</v>
      </c>
      <c r="I330" s="25" t="str">
        <f>PROPER(TRIM(Raw_Data!H321))</f>
        <v>Pune East</v>
      </c>
      <c r="J330" s="26">
        <f>IF(LEN(TRIM(Raw_Data!I321))=4,VALUE(TRIM(Raw_Data!I321)),IF(ISNUMBER(IFERROR(VALUE(MID(TRIM(Raw_Data!I321),1,4)),"NA")),VALUE(MID(TRIM(Raw_Data!I321),1,4)),VALUE(RIGHT(TRIM(Raw_Data!I321),4))))</f>
        <v>2025</v>
      </c>
      <c r="K330" s="25" t="str">
        <f>PROPER(TRIM(Raw_Data!J321))</f>
        <v>Business</v>
      </c>
      <c r="L330" s="25" t="str">
        <f t="shared" si="12"/>
        <v>20+</v>
      </c>
      <c r="M330" s="25" t="str">
        <f t="shared" si="13"/>
        <v>Adult Learners</v>
      </c>
      <c r="N330" s="25" t="str">
        <f>IF(ISNUMBER(SEARCH("NON",UPPER(Raw_Data!M321))),"Non-Premium Learner","Premium Learner")</f>
        <v>Premium Learner</v>
      </c>
      <c r="O330" s="25" t="str">
        <f>PROPER(TRIM(Raw_Data!N321))</f>
        <v>App Only</v>
      </c>
      <c r="P330" s="26">
        <f>IF(Raw_Data!O321="",$C$7,Raw_Data!O321)</f>
        <v>143912.26999999999</v>
      </c>
      <c r="Q330" s="25" t="str">
        <f>IF(Raw_Data!O321="","Missing-Imputed","Original")</f>
        <v>Original</v>
      </c>
      <c r="R330" s="26">
        <f>Raw_Data!P321</f>
        <v>79.599999999999994</v>
      </c>
      <c r="S330" s="26">
        <f>Raw_Data!Q321</f>
        <v>5844.36</v>
      </c>
      <c r="T330" s="25" t="str">
        <f>IF(Raw_Data!R321="","Unknown",IF(ISNUMBER(SEARCH("ACT",UPPER(Raw_Data!R321))),"Active",IF(ISNUMBER(SEARCH("CLOS",UPPER(Raw_Data!R321))),"Closed","None")))</f>
        <v>Active</v>
      </c>
      <c r="U330" s="26">
        <f>IF(Raw_Data!S321="",$C$8,VALUE(Raw_Data!S321))</f>
        <v>616</v>
      </c>
      <c r="V330" s="25" t="str">
        <f>IF(Raw_Data!S321="","Missing-Imputed","Original")</f>
        <v>Original</v>
      </c>
      <c r="W330" s="26">
        <f>Raw_Data!T321</f>
        <v>200</v>
      </c>
      <c r="X330" s="25" t="str">
        <f>IF(ISNUMBER(SEARCH("Y",UPPER(TRIM(Raw_Data!U321)))),"Yes","No")</f>
        <v>Yes</v>
      </c>
      <c r="Y330" s="25" t="str">
        <f>IF(ISNUMBER(SEARCH("Y",UPPER(TRIM(Raw_Data!V321)))),"Yes","No")</f>
        <v>Yes</v>
      </c>
      <c r="Z330" s="26">
        <f>Raw_Data!W321</f>
        <v>3</v>
      </c>
      <c r="AA330" s="26">
        <f>Raw_Data!X321</f>
        <v>1.9</v>
      </c>
      <c r="AB330" s="25" t="str">
        <f>IF(COUNTIFS(Raw_Data!$A$2:$A$616,Raw_Data!A321)&gt;1,"Duplicate","Unique")</f>
        <v>Unique</v>
      </c>
      <c r="AC330" s="25" t="str">
        <f t="shared" si="14"/>
        <v>Clean</v>
      </c>
    </row>
    <row r="331" spans="1:29" ht="15" customHeight="1">
      <c r="A331" s="23" t="str">
        <f>Raw_Data!A322</f>
        <v>BYJ1321</v>
      </c>
      <c r="B331" s="23" t="str">
        <f>Raw_Data!B322</f>
        <v>Jeevika Pathak</v>
      </c>
      <c r="C331" s="24">
        <f>IF(OR(Raw_Data!C322="",Raw_Data!C322&lt;$C$5,Raw_Data!C322&gt;$C$6),$C$4,Raw_Data!C322)</f>
        <v>42</v>
      </c>
      <c r="D331" s="23" t="str">
        <f>IF(Raw_Data!C322="","Missing-Imputed",IF(OR(Raw_Data!C322&lt;$C$5,Raw_Data!C322&gt;$C$6),"Outlier-Imputed","Original"))</f>
        <v>Original</v>
      </c>
      <c r="E331" s="23" t="str">
        <f>IF(OR(UPPER(TRIM(Raw_Data!D322))="M",UPPER(TRIM(Raw_Data!D322))="MALE"),"Male","Female")</f>
        <v>Female</v>
      </c>
      <c r="F331" s="23" t="str">
        <f>PROPER(TRIM(Raw_Data!E322))</f>
        <v>Tezpur</v>
      </c>
      <c r="G331" s="23" t="str">
        <f>PROPER(TRIM(Raw_Data!F322))</f>
        <v>Maharashtra</v>
      </c>
      <c r="H331" s="23" t="str">
        <f>PROPER(TRIM(Raw_Data!G322))</f>
        <v>Spoken English</v>
      </c>
      <c r="I331" s="23" t="str">
        <f>PROPER(TRIM(Raw_Data!H322))</f>
        <v>Hyderabad Hub</v>
      </c>
      <c r="J331" s="24">
        <f>IF(LEN(TRIM(Raw_Data!I322))=4,VALUE(TRIM(Raw_Data!I322)),IF(ISNUMBER(IFERROR(VALUE(MID(TRIM(Raw_Data!I322),1,4)),"NA")),VALUE(MID(TRIM(Raw_Data!I322),1,4)),VALUE(RIGHT(TRIM(Raw_Data!I322),4))))</f>
        <v>2023</v>
      </c>
      <c r="K331" s="23" t="str">
        <f>PROPER(TRIM(Raw_Data!J322))</f>
        <v>Retired</v>
      </c>
      <c r="L331" s="23" t="str">
        <f t="shared" ref="L331:L394" si="15">IF(C331&lt;10,"Under 10",IF(C331&lt;=13,"10-13",IF(C331&lt;=16,"14-16",IF(C331&lt;=19,"17-19","20+"))))</f>
        <v>20+</v>
      </c>
      <c r="M331" s="23" t="str">
        <f t="shared" ref="M331:M394" si="16">IF(OR(L331="Under 10",L331="10-13"),"Kids",IF(OR(L331="14-16",L331="17-19"),"Teens","Adult Learners"))</f>
        <v>Adult Learners</v>
      </c>
      <c r="N331" s="23" t="str">
        <f>IF(ISNUMBER(SEARCH("NON",UPPER(Raw_Data!M322))),"Non-Premium Learner","Premium Learner")</f>
        <v>Non-Premium Learner</v>
      </c>
      <c r="O331" s="23" t="str">
        <f>PROPER(TRIM(Raw_Data!N322))</f>
        <v>Both App &amp; Web</v>
      </c>
      <c r="P331" s="24">
        <f>IF(Raw_Data!O322="",$C$7,Raw_Data!O322)</f>
        <v>75797.55</v>
      </c>
      <c r="Q331" s="23" t="str">
        <f>IF(Raw_Data!O322="","Missing-Imputed","Original")</f>
        <v>Original</v>
      </c>
      <c r="R331" s="24">
        <f>Raw_Data!P322</f>
        <v>26.5</v>
      </c>
      <c r="S331" s="24">
        <f>Raw_Data!Q322</f>
        <v>24541.99</v>
      </c>
      <c r="T331" s="23" t="str">
        <f>IF(Raw_Data!R322="","Unknown",IF(ISNUMBER(SEARCH("ACT",UPPER(Raw_Data!R322))),"Active",IF(ISNUMBER(SEARCH("CLOS",UPPER(Raw_Data!R322))),"Closed","None")))</f>
        <v>None</v>
      </c>
      <c r="U331" s="24">
        <f>IF(Raw_Data!S322="",$C$8,VALUE(Raw_Data!S322))</f>
        <v>751</v>
      </c>
      <c r="V331" s="23" t="str">
        <f>IF(Raw_Data!S322="","Missing-Imputed","Original")</f>
        <v>Original</v>
      </c>
      <c r="W331" s="24">
        <f>Raw_Data!T322</f>
        <v>159</v>
      </c>
      <c r="X331" s="23" t="str">
        <f>IF(ISNUMBER(SEARCH("Y",UPPER(TRIM(Raw_Data!U322)))),"Yes","No")</f>
        <v>No</v>
      </c>
      <c r="Y331" s="23" t="str">
        <f>IF(ISNUMBER(SEARCH("Y",UPPER(TRIM(Raw_Data!V322)))),"Yes","No")</f>
        <v>Yes</v>
      </c>
      <c r="Z331" s="24">
        <f>Raw_Data!W322</f>
        <v>5</v>
      </c>
      <c r="AA331" s="24">
        <f>Raw_Data!X322</f>
        <v>4.3</v>
      </c>
      <c r="AB331" s="23" t="str">
        <f>IF(COUNTIFS(Raw_Data!$A$2:$A$616,Raw_Data!A322)&gt;1,"Duplicate","Unique")</f>
        <v>Unique</v>
      </c>
      <c r="AC331" s="23" t="str">
        <f t="shared" ref="AC331:AC394" si="17">IF(AB331="Duplicate","Review-Duplicate",IF(OR(D331&lt;&gt;"Original",Q331&lt;&gt;"Original",V331&lt;&gt;"Original"),"Imputed","Clean"))</f>
        <v>Clean</v>
      </c>
    </row>
    <row r="332" spans="1:29" ht="15" customHeight="1">
      <c r="A332" s="25" t="str">
        <f>Raw_Data!A323</f>
        <v>BYJ1322</v>
      </c>
      <c r="B332" s="25" t="str">
        <f>Raw_Data!B323</f>
        <v>Mitesh Sengupta</v>
      </c>
      <c r="C332" s="26">
        <f>IF(OR(Raw_Data!C323="",Raw_Data!C323&lt;$C$5,Raw_Data!C323&gt;$C$6),$C$4,Raw_Data!C323)</f>
        <v>8</v>
      </c>
      <c r="D332" s="25" t="str">
        <f>IF(Raw_Data!C323="","Missing-Imputed",IF(OR(Raw_Data!C323&lt;$C$5,Raw_Data!C323&gt;$C$6),"Outlier-Imputed","Original"))</f>
        <v>Original</v>
      </c>
      <c r="E332" s="25" t="str">
        <f>IF(OR(UPPER(TRIM(Raw_Data!D323))="M",UPPER(TRIM(Raw_Data!D323))="MALE"),"Male","Female")</f>
        <v>Male</v>
      </c>
      <c r="F332" s="25" t="str">
        <f>PROPER(TRIM(Raw_Data!E323))</f>
        <v>Serampore</v>
      </c>
      <c r="G332" s="25" t="str">
        <f>PROPER(TRIM(Raw_Data!F323))</f>
        <v>Uttar Pradesh</v>
      </c>
      <c r="H332" s="25" t="str">
        <f>PROPER(TRIM(Raw_Data!G323))</f>
        <v>Coding</v>
      </c>
      <c r="I332" s="25" t="str">
        <f>PROPER(TRIM(Raw_Data!H323))</f>
        <v>Mumbai West</v>
      </c>
      <c r="J332" s="26">
        <f>IF(LEN(TRIM(Raw_Data!I323))=4,VALUE(TRIM(Raw_Data!I323)),IF(ISNUMBER(IFERROR(VALUE(MID(TRIM(Raw_Data!I323),1,4)),"NA")),VALUE(MID(TRIM(Raw_Data!I323),1,4)),VALUE(RIGHT(TRIM(Raw_Data!I323),4))))</f>
        <v>2017</v>
      </c>
      <c r="K332" s="25" t="str">
        <f>PROPER(TRIM(Raw_Data!J323))</f>
        <v>Government Employee</v>
      </c>
      <c r="L332" s="25" t="str">
        <f t="shared" si="15"/>
        <v>Under 10</v>
      </c>
      <c r="M332" s="25" t="str">
        <f t="shared" si="16"/>
        <v>Kids</v>
      </c>
      <c r="N332" s="25" t="str">
        <f>IF(ISNUMBER(SEARCH("NON",UPPER(Raw_Data!M323))),"Non-Premium Learner","Premium Learner")</f>
        <v>Non-Premium Learner</v>
      </c>
      <c r="O332" s="25" t="str">
        <f>PROPER(TRIM(Raw_Data!N323))</f>
        <v>Web Only</v>
      </c>
      <c r="P332" s="26">
        <f>IF(Raw_Data!O323="",$C$7,Raw_Data!O323)</f>
        <v>131753.04</v>
      </c>
      <c r="Q332" s="25" t="str">
        <f>IF(Raw_Data!O323="","Missing-Imputed","Original")</f>
        <v>Original</v>
      </c>
      <c r="R332" s="26">
        <f>Raw_Data!P323</f>
        <v>31.2</v>
      </c>
      <c r="S332" s="26">
        <f>Raw_Data!Q323</f>
        <v>28109.32</v>
      </c>
      <c r="T332" s="25" t="str">
        <f>IF(Raw_Data!R323="","Unknown",IF(ISNUMBER(SEARCH("ACT",UPPER(Raw_Data!R323))),"Active",IF(ISNUMBER(SEARCH("CLOS",UPPER(Raw_Data!R323))),"Closed","None")))</f>
        <v>None</v>
      </c>
      <c r="U332" s="26">
        <f>IF(Raw_Data!S323="",$C$8,VALUE(Raw_Data!S323))</f>
        <v>411</v>
      </c>
      <c r="V332" s="25" t="str">
        <f>IF(Raw_Data!S323="","Missing-Imputed","Original")</f>
        <v>Original</v>
      </c>
      <c r="W332" s="26">
        <f>Raw_Data!T323</f>
        <v>187</v>
      </c>
      <c r="X332" s="25" t="str">
        <f>IF(ISNUMBER(SEARCH("Y",UPPER(TRIM(Raw_Data!U323)))),"Yes","No")</f>
        <v>Yes</v>
      </c>
      <c r="Y332" s="25" t="str">
        <f>IF(ISNUMBER(SEARCH("Y",UPPER(TRIM(Raw_Data!V323)))),"Yes","No")</f>
        <v>No</v>
      </c>
      <c r="Z332" s="26">
        <f>Raw_Data!W323</f>
        <v>4</v>
      </c>
      <c r="AA332" s="26">
        <f>Raw_Data!X323</f>
        <v>3.3</v>
      </c>
      <c r="AB332" s="25" t="str">
        <f>IF(COUNTIFS(Raw_Data!$A$2:$A$616,Raw_Data!A323)&gt;1,"Duplicate","Unique")</f>
        <v>Unique</v>
      </c>
      <c r="AC332" s="25" t="str">
        <f t="shared" si="17"/>
        <v>Clean</v>
      </c>
    </row>
    <row r="333" spans="1:29" ht="15" customHeight="1">
      <c r="A333" s="23" t="str">
        <f>Raw_Data!A324</f>
        <v>BYJ1323</v>
      </c>
      <c r="B333" s="23" t="str">
        <f>Raw_Data!B324</f>
        <v>Faraj Devan</v>
      </c>
      <c r="C333" s="24">
        <f>IF(OR(Raw_Data!C324="",Raw_Data!C324&lt;$C$5,Raw_Data!C324&gt;$C$6),$C$4,Raw_Data!C324)</f>
        <v>37</v>
      </c>
      <c r="D333" s="23" t="str">
        <f>IF(Raw_Data!C324="","Missing-Imputed",IF(OR(Raw_Data!C324&lt;$C$5,Raw_Data!C324&gt;$C$6),"Outlier-Imputed","Original"))</f>
        <v>Original</v>
      </c>
      <c r="E333" s="23" t="str">
        <f>IF(OR(UPPER(TRIM(Raw_Data!D324))="M",UPPER(TRIM(Raw_Data!D324))="MALE"),"Male","Female")</f>
        <v>Male</v>
      </c>
      <c r="F333" s="23" t="str">
        <f>PROPER(TRIM(Raw_Data!E324))</f>
        <v>Sikar</v>
      </c>
      <c r="G333" s="23" t="str">
        <f>PROPER(TRIM(Raw_Data!F324))</f>
        <v>Rajasthan</v>
      </c>
      <c r="H333" s="23" t="str">
        <f>PROPER(TRIM(Raw_Data!G324))</f>
        <v>Coding</v>
      </c>
      <c r="I333" s="23" t="str">
        <f>PROPER(TRIM(Raw_Data!H324))</f>
        <v>Jaipur Center</v>
      </c>
      <c r="J333" s="24">
        <f>IF(LEN(TRIM(Raw_Data!I324))=4,VALUE(TRIM(Raw_Data!I324)),IF(ISNUMBER(IFERROR(VALUE(MID(TRIM(Raw_Data!I324),1,4)),"NA")),VALUE(MID(TRIM(Raw_Data!I324),1,4)),VALUE(RIGHT(TRIM(Raw_Data!I324),4))))</f>
        <v>2018</v>
      </c>
      <c r="K333" s="23" t="str">
        <f>PROPER(TRIM(Raw_Data!J324))</f>
        <v>Homemaker</v>
      </c>
      <c r="L333" s="23" t="str">
        <f t="shared" si="15"/>
        <v>20+</v>
      </c>
      <c r="M333" s="23" t="str">
        <f t="shared" si="16"/>
        <v>Adult Learners</v>
      </c>
      <c r="N333" s="23" t="str">
        <f>IF(ISNUMBER(SEARCH("NON",UPPER(Raw_Data!M324))),"Non-Premium Learner","Premium Learner")</f>
        <v>Non-Premium Learner</v>
      </c>
      <c r="O333" s="23" t="str">
        <f>PROPER(TRIM(Raw_Data!N324))</f>
        <v>Web Only</v>
      </c>
      <c r="P333" s="24">
        <f>IF(Raw_Data!O324="",$C$7,Raw_Data!O324)</f>
        <v>14048.04</v>
      </c>
      <c r="Q333" s="23" t="str">
        <f>IF(Raw_Data!O324="","Missing-Imputed","Original")</f>
        <v>Original</v>
      </c>
      <c r="R333" s="24">
        <f>Raw_Data!P324</f>
        <v>64.2</v>
      </c>
      <c r="S333" s="24">
        <f>Raw_Data!Q324</f>
        <v>58713.65</v>
      </c>
      <c r="T333" s="23" t="str">
        <f>IF(Raw_Data!R324="","Unknown",IF(ISNUMBER(SEARCH("ACT",UPPER(Raw_Data!R324))),"Active",IF(ISNUMBER(SEARCH("CLOS",UPPER(Raw_Data!R324))),"Closed","None")))</f>
        <v>Active</v>
      </c>
      <c r="U333" s="24">
        <f>IF(Raw_Data!S324="",$C$8,VALUE(Raw_Data!S324))</f>
        <v>516</v>
      </c>
      <c r="V333" s="23" t="str">
        <f>IF(Raw_Data!S324="","Missing-Imputed","Original")</f>
        <v>Original</v>
      </c>
      <c r="W333" s="24">
        <f>Raw_Data!T324</f>
        <v>194</v>
      </c>
      <c r="X333" s="23" t="str">
        <f>IF(ISNUMBER(SEARCH("Y",UPPER(TRIM(Raw_Data!U324)))),"Yes","No")</f>
        <v>No</v>
      </c>
      <c r="Y333" s="23" t="str">
        <f>IF(ISNUMBER(SEARCH("Y",UPPER(TRIM(Raw_Data!V324)))),"Yes","No")</f>
        <v>No</v>
      </c>
      <c r="Z333" s="24">
        <f>Raw_Data!W324</f>
        <v>1</v>
      </c>
      <c r="AA333" s="24">
        <f>Raw_Data!X324</f>
        <v>1.7</v>
      </c>
      <c r="AB333" s="23" t="str">
        <f>IF(COUNTIFS(Raw_Data!$A$2:$A$616,Raw_Data!A324)&gt;1,"Duplicate","Unique")</f>
        <v>Unique</v>
      </c>
      <c r="AC333" s="23" t="str">
        <f t="shared" si="17"/>
        <v>Clean</v>
      </c>
    </row>
    <row r="334" spans="1:29" ht="15" customHeight="1">
      <c r="A334" s="25" t="str">
        <f>Raw_Data!A325</f>
        <v>BYJ1324</v>
      </c>
      <c r="B334" s="25" t="str">
        <f>Raw_Data!B325</f>
        <v>Arya Krish</v>
      </c>
      <c r="C334" s="26">
        <f>IF(OR(Raw_Data!C325="",Raw_Data!C325&lt;$C$5,Raw_Data!C325&gt;$C$6),$C$4,Raw_Data!C325)</f>
        <v>34</v>
      </c>
      <c r="D334" s="25" t="str">
        <f>IF(Raw_Data!C325="","Missing-Imputed",IF(OR(Raw_Data!C325&lt;$C$5,Raw_Data!C325&gt;$C$6),"Outlier-Imputed","Original"))</f>
        <v>Original</v>
      </c>
      <c r="E334" s="25" t="str">
        <f>IF(OR(UPPER(TRIM(Raw_Data!D325))="M",UPPER(TRIM(Raw_Data!D325))="MALE"),"Male","Female")</f>
        <v>Female</v>
      </c>
      <c r="F334" s="25" t="str">
        <f>PROPER(TRIM(Raw_Data!E325))</f>
        <v>Indore</v>
      </c>
      <c r="G334" s="25" t="str">
        <f>PROPER(TRIM(Raw_Data!F325))</f>
        <v>Telangana</v>
      </c>
      <c r="H334" s="25" t="str">
        <f>PROPER(TRIM(Raw_Data!G325))</f>
        <v>Science</v>
      </c>
      <c r="I334" s="25" t="str">
        <f>PROPER(TRIM(Raw_Data!H325))</f>
        <v>Chennai Central</v>
      </c>
      <c r="J334" s="26">
        <f>IF(LEN(TRIM(Raw_Data!I325))=4,VALUE(TRIM(Raw_Data!I325)),IF(ISNUMBER(IFERROR(VALUE(MID(TRIM(Raw_Data!I325),1,4)),"NA")),VALUE(MID(TRIM(Raw_Data!I325),1,4)),VALUE(RIGHT(TRIM(Raw_Data!I325),4))))</f>
        <v>2017</v>
      </c>
      <c r="K334" s="25" t="str">
        <f>PROPER(TRIM(Raw_Data!J325))</f>
        <v>Business</v>
      </c>
      <c r="L334" s="25" t="str">
        <f t="shared" si="15"/>
        <v>20+</v>
      </c>
      <c r="M334" s="25" t="str">
        <f t="shared" si="16"/>
        <v>Adult Learners</v>
      </c>
      <c r="N334" s="25" t="str">
        <f>IF(ISNUMBER(SEARCH("NON",UPPER(Raw_Data!M325))),"Non-Premium Learner","Premium Learner")</f>
        <v>Premium Learner</v>
      </c>
      <c r="O334" s="25" t="str">
        <f>PROPER(TRIM(Raw_Data!N325))</f>
        <v>Web Only</v>
      </c>
      <c r="P334" s="26">
        <f>IF(Raw_Data!O325="",$C$7,Raw_Data!O325)</f>
        <v>73947.42</v>
      </c>
      <c r="Q334" s="25" t="str">
        <f>IF(Raw_Data!O325="","Missing-Imputed","Original")</f>
        <v>Original</v>
      </c>
      <c r="R334" s="26">
        <f>Raw_Data!P325</f>
        <v>17.100000000000001</v>
      </c>
      <c r="S334" s="26">
        <f>Raw_Data!Q325</f>
        <v>41801.410000000003</v>
      </c>
      <c r="T334" s="25" t="str">
        <f>IF(Raw_Data!R325="","Unknown",IF(ISNUMBER(SEARCH("ACT",UPPER(Raw_Data!R325))),"Active",IF(ISNUMBER(SEARCH("CLOS",UPPER(Raw_Data!R325))),"Closed","None")))</f>
        <v>Closed</v>
      </c>
      <c r="U334" s="26">
        <f>IF(Raw_Data!S325="",$C$8,VALUE(Raw_Data!S325))</f>
        <v>884</v>
      </c>
      <c r="V334" s="25" t="str">
        <f>IF(Raw_Data!S325="","Missing-Imputed","Original")</f>
        <v>Original</v>
      </c>
      <c r="W334" s="26">
        <f>Raw_Data!T325</f>
        <v>2</v>
      </c>
      <c r="X334" s="25" t="str">
        <f>IF(ISNUMBER(SEARCH("Y",UPPER(TRIM(Raw_Data!U325)))),"Yes","No")</f>
        <v>Yes</v>
      </c>
      <c r="Y334" s="25" t="str">
        <f>IF(ISNUMBER(SEARCH("Y",UPPER(TRIM(Raw_Data!V325)))),"Yes","No")</f>
        <v>Yes</v>
      </c>
      <c r="Z334" s="26">
        <f>Raw_Data!W325</f>
        <v>3</v>
      </c>
      <c r="AA334" s="26">
        <f>Raw_Data!X325</f>
        <v>0.6</v>
      </c>
      <c r="AB334" s="25" t="str">
        <f>IF(COUNTIFS(Raw_Data!$A$2:$A$616,Raw_Data!A325)&gt;1,"Duplicate","Unique")</f>
        <v>Unique</v>
      </c>
      <c r="AC334" s="25" t="str">
        <f t="shared" si="17"/>
        <v>Clean</v>
      </c>
    </row>
    <row r="335" spans="1:29" ht="15" customHeight="1">
      <c r="A335" s="23" t="str">
        <f>Raw_Data!A326</f>
        <v>BYJ1325</v>
      </c>
      <c r="B335" s="23" t="str">
        <f>Raw_Data!B326</f>
        <v>Xalak Vasa</v>
      </c>
      <c r="C335" s="24">
        <f>IF(OR(Raw_Data!C326="",Raw_Data!C326&lt;$C$5,Raw_Data!C326&gt;$C$6),$C$4,Raw_Data!C326)</f>
        <v>37</v>
      </c>
      <c r="D335" s="23" t="str">
        <f>IF(Raw_Data!C326="","Missing-Imputed",IF(OR(Raw_Data!C326&lt;$C$5,Raw_Data!C326&gt;$C$6),"Outlier-Imputed","Original"))</f>
        <v>Original</v>
      </c>
      <c r="E335" s="23" t="str">
        <f>IF(OR(UPPER(TRIM(Raw_Data!D326))="M",UPPER(TRIM(Raw_Data!D326))="MALE"),"Male","Female")</f>
        <v>Female</v>
      </c>
      <c r="F335" s="23" t="str">
        <f>PROPER(TRIM(Raw_Data!E326))</f>
        <v>Kishanganj</v>
      </c>
      <c r="G335" s="23" t="str">
        <f>PROPER(TRIM(Raw_Data!F326))</f>
        <v>West Bengal</v>
      </c>
      <c r="H335" s="23" t="str">
        <f>PROPER(TRIM(Raw_Data!G326))</f>
        <v>Jee Prep</v>
      </c>
      <c r="I335" s="23" t="str">
        <f>PROPER(TRIM(Raw_Data!H326))</f>
        <v>Jaipur Center</v>
      </c>
      <c r="J335" s="24">
        <f>IF(LEN(TRIM(Raw_Data!I326))=4,VALUE(TRIM(Raw_Data!I326)),IF(ISNUMBER(IFERROR(VALUE(MID(TRIM(Raw_Data!I326),1,4)),"NA")),VALUE(MID(TRIM(Raw_Data!I326),1,4)),VALUE(RIGHT(TRIM(Raw_Data!I326),4))))</f>
        <v>2016</v>
      </c>
      <c r="K335" s="23" t="str">
        <f>PROPER(TRIM(Raw_Data!J326))</f>
        <v>Retired</v>
      </c>
      <c r="L335" s="23" t="str">
        <f t="shared" si="15"/>
        <v>20+</v>
      </c>
      <c r="M335" s="23" t="str">
        <f t="shared" si="16"/>
        <v>Adult Learners</v>
      </c>
      <c r="N335" s="23" t="str">
        <f>IF(ISNUMBER(SEARCH("NON",UPPER(Raw_Data!M326))),"Non-Premium Learner","Premium Learner")</f>
        <v>Non-Premium Learner</v>
      </c>
      <c r="O335" s="23" t="str">
        <f>PROPER(TRIM(Raw_Data!N326))</f>
        <v>App Only</v>
      </c>
      <c r="P335" s="24">
        <f>IF(Raw_Data!O326="",$C$7,Raw_Data!O326)</f>
        <v>10290.469999999999</v>
      </c>
      <c r="Q335" s="23" t="str">
        <f>IF(Raw_Data!O326="","Missing-Imputed","Original")</f>
        <v>Original</v>
      </c>
      <c r="R335" s="24">
        <f>Raw_Data!P326</f>
        <v>19.100000000000001</v>
      </c>
      <c r="S335" s="24">
        <f>Raw_Data!Q326</f>
        <v>41786.769999999997</v>
      </c>
      <c r="T335" s="23" t="str">
        <f>IF(Raw_Data!R326="","Unknown",IF(ISNUMBER(SEARCH("ACT",UPPER(Raw_Data!R326))),"Active",IF(ISNUMBER(SEARCH("CLOS",UPPER(Raw_Data!R326))),"Closed","None")))</f>
        <v>Active</v>
      </c>
      <c r="U335" s="24">
        <f>IF(Raw_Data!S326="",$C$8,VALUE(Raw_Data!S326))</f>
        <v>521</v>
      </c>
      <c r="V335" s="23" t="str">
        <f>IF(Raw_Data!S326="","Missing-Imputed","Original")</f>
        <v>Original</v>
      </c>
      <c r="W335" s="24">
        <f>Raw_Data!T326</f>
        <v>48</v>
      </c>
      <c r="X335" s="23" t="str">
        <f>IF(ISNUMBER(SEARCH("Y",UPPER(TRIM(Raw_Data!U326)))),"Yes","No")</f>
        <v>Yes</v>
      </c>
      <c r="Y335" s="23" t="str">
        <f>IF(ISNUMBER(SEARCH("Y",UPPER(TRIM(Raw_Data!V326)))),"Yes","No")</f>
        <v>No</v>
      </c>
      <c r="Z335" s="24">
        <f>Raw_Data!W326</f>
        <v>3</v>
      </c>
      <c r="AA335" s="24">
        <f>Raw_Data!X326</f>
        <v>8.1</v>
      </c>
      <c r="AB335" s="23" t="str">
        <f>IF(COUNTIFS(Raw_Data!$A$2:$A$616,Raw_Data!A326)&gt;1,"Duplicate","Unique")</f>
        <v>Unique</v>
      </c>
      <c r="AC335" s="23" t="str">
        <f t="shared" si="17"/>
        <v>Clean</v>
      </c>
    </row>
    <row r="336" spans="1:29" ht="15" customHeight="1">
      <c r="A336" s="25" t="str">
        <f>Raw_Data!A327</f>
        <v>BYJ1326</v>
      </c>
      <c r="B336" s="25" t="str">
        <f>Raw_Data!B327</f>
        <v>Adweta Lad</v>
      </c>
      <c r="C336" s="26">
        <f>IF(OR(Raw_Data!C327="",Raw_Data!C327&lt;$C$5,Raw_Data!C327&gt;$C$6),$C$4,Raw_Data!C327)</f>
        <v>37</v>
      </c>
      <c r="D336" s="25" t="str">
        <f>IF(Raw_Data!C327="","Missing-Imputed",IF(OR(Raw_Data!C327&lt;$C$5,Raw_Data!C327&gt;$C$6),"Outlier-Imputed","Original"))</f>
        <v>Original</v>
      </c>
      <c r="E336" s="25" t="str">
        <f>IF(OR(UPPER(TRIM(Raw_Data!D327))="M",UPPER(TRIM(Raw_Data!D327))="MALE"),"Male","Female")</f>
        <v>Female</v>
      </c>
      <c r="F336" s="25" t="str">
        <f>PROPER(TRIM(Raw_Data!E327))</f>
        <v>Kakinada</v>
      </c>
      <c r="G336" s="25" t="str">
        <f>PROPER(TRIM(Raw_Data!F327))</f>
        <v>Gujarat</v>
      </c>
      <c r="H336" s="25" t="str">
        <f>PROPER(TRIM(Raw_Data!G327))</f>
        <v>Robotics</v>
      </c>
      <c r="I336" s="25" t="str">
        <f>PROPER(TRIM(Raw_Data!H327))</f>
        <v>Jaipur Center</v>
      </c>
      <c r="J336" s="26">
        <f>IF(LEN(TRIM(Raw_Data!I327))=4,VALUE(TRIM(Raw_Data!I327)),IF(ISNUMBER(IFERROR(VALUE(MID(TRIM(Raw_Data!I327),1,4)),"NA")),VALUE(MID(TRIM(Raw_Data!I327),1,4)),VALUE(RIGHT(TRIM(Raw_Data!I327),4))))</f>
        <v>2021</v>
      </c>
      <c r="K336" s="25" t="str">
        <f>PROPER(TRIM(Raw_Data!J327))</f>
        <v>Self-Employed</v>
      </c>
      <c r="L336" s="25" t="str">
        <f t="shared" si="15"/>
        <v>20+</v>
      </c>
      <c r="M336" s="25" t="str">
        <f t="shared" si="16"/>
        <v>Adult Learners</v>
      </c>
      <c r="N336" s="25" t="str">
        <f>IF(ISNUMBER(SEARCH("NON",UPPER(Raw_Data!M327))),"Non-Premium Learner","Premium Learner")</f>
        <v>Non-Premium Learner</v>
      </c>
      <c r="O336" s="25" t="str">
        <f>PROPER(TRIM(Raw_Data!N327))</f>
        <v>App Only</v>
      </c>
      <c r="P336" s="26">
        <f>IF(Raw_Data!O327="",$C$7,Raw_Data!O327)</f>
        <v>83700.62</v>
      </c>
      <c r="Q336" s="25" t="str">
        <f>IF(Raw_Data!O327="","Missing-Imputed","Original")</f>
        <v>Original</v>
      </c>
      <c r="R336" s="26">
        <f>Raw_Data!P327</f>
        <v>68.400000000000006</v>
      </c>
      <c r="S336" s="26">
        <f>Raw_Data!Q327</f>
        <v>41313.040000000001</v>
      </c>
      <c r="T336" s="25" t="str">
        <f>IF(Raw_Data!R327="","Unknown",IF(ISNUMBER(SEARCH("ACT",UPPER(Raw_Data!R327))),"Active",IF(ISNUMBER(SEARCH("CLOS",UPPER(Raw_Data!R327))),"Closed","None")))</f>
        <v>Closed</v>
      </c>
      <c r="U336" s="26">
        <f>IF(Raw_Data!S327="",$C$8,VALUE(Raw_Data!S327))</f>
        <v>590</v>
      </c>
      <c r="V336" s="25" t="str">
        <f>IF(Raw_Data!S327="","Missing-Imputed","Original")</f>
        <v>Original</v>
      </c>
      <c r="W336" s="26">
        <f>Raw_Data!T327</f>
        <v>25</v>
      </c>
      <c r="X336" s="25" t="str">
        <f>IF(ISNUMBER(SEARCH("Y",UPPER(TRIM(Raw_Data!U327)))),"Yes","No")</f>
        <v>Yes</v>
      </c>
      <c r="Y336" s="25" t="str">
        <f>IF(ISNUMBER(SEARCH("Y",UPPER(TRIM(Raw_Data!V327)))),"Yes","No")</f>
        <v>Yes</v>
      </c>
      <c r="Z336" s="26">
        <f>Raw_Data!W327</f>
        <v>5</v>
      </c>
      <c r="AA336" s="26">
        <f>Raw_Data!X327</f>
        <v>8.4</v>
      </c>
      <c r="AB336" s="25" t="str">
        <f>IF(COUNTIFS(Raw_Data!$A$2:$A$616,Raw_Data!A327)&gt;1,"Duplicate","Unique")</f>
        <v>Unique</v>
      </c>
      <c r="AC336" s="25" t="str">
        <f t="shared" si="17"/>
        <v>Clean</v>
      </c>
    </row>
    <row r="337" spans="1:29" ht="15" customHeight="1">
      <c r="A337" s="23" t="str">
        <f>Raw_Data!A328</f>
        <v>BYJ1327</v>
      </c>
      <c r="B337" s="23" t="str">
        <f>Raw_Data!B328</f>
        <v>Vritti Iyengar</v>
      </c>
      <c r="C337" s="24">
        <f>IF(OR(Raw_Data!C328="",Raw_Data!C328&lt;$C$5,Raw_Data!C328&gt;$C$6),$C$4,Raw_Data!C328)</f>
        <v>45</v>
      </c>
      <c r="D337" s="23" t="str">
        <f>IF(Raw_Data!C328="","Missing-Imputed",IF(OR(Raw_Data!C328&lt;$C$5,Raw_Data!C328&gt;$C$6),"Outlier-Imputed","Original"))</f>
        <v>Original</v>
      </c>
      <c r="E337" s="23" t="str">
        <f>IF(OR(UPPER(TRIM(Raw_Data!D328))="M",UPPER(TRIM(Raw_Data!D328))="MALE"),"Male","Female")</f>
        <v>Male</v>
      </c>
      <c r="F337" s="23" t="str">
        <f>PROPER(TRIM(Raw_Data!E328))</f>
        <v>Bhavnagar</v>
      </c>
      <c r="G337" s="23" t="str">
        <f>PROPER(TRIM(Raw_Data!F328))</f>
        <v>Tamil Nadu</v>
      </c>
      <c r="H337" s="23" t="str">
        <f>PROPER(TRIM(Raw_Data!G328))</f>
        <v>Jee Prep</v>
      </c>
      <c r="I337" s="23" t="str">
        <f>PROPER(TRIM(Raw_Data!H328))</f>
        <v>Kolkata Main</v>
      </c>
      <c r="J337" s="24">
        <f>IF(LEN(TRIM(Raw_Data!I328))=4,VALUE(TRIM(Raw_Data!I328)),IF(ISNUMBER(IFERROR(VALUE(MID(TRIM(Raw_Data!I328),1,4)),"NA")),VALUE(MID(TRIM(Raw_Data!I328),1,4)),VALUE(RIGHT(TRIM(Raw_Data!I328),4))))</f>
        <v>2019</v>
      </c>
      <c r="K337" s="23" t="str">
        <f>PROPER(TRIM(Raw_Data!J328))</f>
        <v>Government Employee</v>
      </c>
      <c r="L337" s="23" t="str">
        <f t="shared" si="15"/>
        <v>20+</v>
      </c>
      <c r="M337" s="23" t="str">
        <f t="shared" si="16"/>
        <v>Adult Learners</v>
      </c>
      <c r="N337" s="23" t="str">
        <f>IF(ISNUMBER(SEARCH("NON",UPPER(Raw_Data!M328))),"Non-Premium Learner","Premium Learner")</f>
        <v>Non-Premium Learner</v>
      </c>
      <c r="O337" s="23" t="str">
        <f>PROPER(TRIM(Raw_Data!N328))</f>
        <v>Web Only</v>
      </c>
      <c r="P337" s="24">
        <f>IF(Raw_Data!O328="",$C$7,Raw_Data!O328)</f>
        <v>142829.97</v>
      </c>
      <c r="Q337" s="23" t="str">
        <f>IF(Raw_Data!O328="","Missing-Imputed","Original")</f>
        <v>Original</v>
      </c>
      <c r="R337" s="24">
        <f>Raw_Data!P328</f>
        <v>64.5</v>
      </c>
      <c r="S337" s="24">
        <f>Raw_Data!Q328</f>
        <v>27836.83</v>
      </c>
      <c r="T337" s="23" t="str">
        <f>IF(Raw_Data!R328="","Unknown",IF(ISNUMBER(SEARCH("ACT",UPPER(Raw_Data!R328))),"Active",IF(ISNUMBER(SEARCH("CLOS",UPPER(Raw_Data!R328))),"Closed","None")))</f>
        <v>None</v>
      </c>
      <c r="U337" s="24">
        <f>IF(Raw_Data!S328="",$C$8,VALUE(Raw_Data!S328))</f>
        <v>307</v>
      </c>
      <c r="V337" s="23" t="str">
        <f>IF(Raw_Data!S328="","Missing-Imputed","Original")</f>
        <v>Original</v>
      </c>
      <c r="W337" s="24">
        <f>Raw_Data!T328</f>
        <v>200</v>
      </c>
      <c r="X337" s="23" t="str">
        <f>IF(ISNUMBER(SEARCH("Y",UPPER(TRIM(Raw_Data!U328)))),"Yes","No")</f>
        <v>Yes</v>
      </c>
      <c r="Y337" s="23" t="str">
        <f>IF(ISNUMBER(SEARCH("Y",UPPER(TRIM(Raw_Data!V328)))),"Yes","No")</f>
        <v>No</v>
      </c>
      <c r="Z337" s="24">
        <f>Raw_Data!W328</f>
        <v>3</v>
      </c>
      <c r="AA337" s="24">
        <f>Raw_Data!X328</f>
        <v>7.6</v>
      </c>
      <c r="AB337" s="23" t="str">
        <f>IF(COUNTIFS(Raw_Data!$A$2:$A$616,Raw_Data!A328)&gt;1,"Duplicate","Unique")</f>
        <v>Unique</v>
      </c>
      <c r="AC337" s="23" t="str">
        <f t="shared" si="17"/>
        <v>Clean</v>
      </c>
    </row>
    <row r="338" spans="1:29" ht="15" customHeight="1">
      <c r="A338" s="25" t="str">
        <f>Raw_Data!A329</f>
        <v>BYJ1328</v>
      </c>
      <c r="B338" s="25" t="str">
        <f>Raw_Data!B329</f>
        <v>Siya Gera</v>
      </c>
      <c r="C338" s="26">
        <f>IF(OR(Raw_Data!C329="",Raw_Data!C329&lt;$C$5,Raw_Data!C329&gt;$C$6),$C$4,Raw_Data!C329)</f>
        <v>21</v>
      </c>
      <c r="D338" s="25" t="str">
        <f>IF(Raw_Data!C329="","Missing-Imputed",IF(OR(Raw_Data!C329&lt;$C$5,Raw_Data!C329&gt;$C$6),"Outlier-Imputed","Original"))</f>
        <v>Original</v>
      </c>
      <c r="E338" s="25" t="str">
        <f>IF(OR(UPPER(TRIM(Raw_Data!D329))="M",UPPER(TRIM(Raw_Data!D329))="MALE"),"Male","Female")</f>
        <v>Male</v>
      </c>
      <c r="F338" s="25" t="str">
        <f>PROPER(TRIM(Raw_Data!E329))</f>
        <v>Chandigarh</v>
      </c>
      <c r="G338" s="25" t="str">
        <f>PROPER(TRIM(Raw_Data!F329))</f>
        <v>Tamil Nadu</v>
      </c>
      <c r="H338" s="25" t="str">
        <f>PROPER(TRIM(Raw_Data!G329))</f>
        <v>Science</v>
      </c>
      <c r="I338" s="25" t="str">
        <f>PROPER(TRIM(Raw_Data!H329))</f>
        <v>Pune East</v>
      </c>
      <c r="J338" s="26">
        <f>IF(LEN(TRIM(Raw_Data!I329))=4,VALUE(TRIM(Raw_Data!I329)),IF(ISNUMBER(IFERROR(VALUE(MID(TRIM(Raw_Data!I329),1,4)),"NA")),VALUE(MID(TRIM(Raw_Data!I329),1,4)),VALUE(RIGHT(TRIM(Raw_Data!I329),4))))</f>
        <v>46042</v>
      </c>
      <c r="K338" s="25" t="str">
        <f>PROPER(TRIM(Raw_Data!J329))</f>
        <v>Homemaker</v>
      </c>
      <c r="L338" s="25" t="str">
        <f t="shared" si="15"/>
        <v>20+</v>
      </c>
      <c r="M338" s="25" t="str">
        <f t="shared" si="16"/>
        <v>Adult Learners</v>
      </c>
      <c r="N338" s="25" t="str">
        <f>IF(ISNUMBER(SEARCH("NON",UPPER(Raw_Data!M329))),"Non-Premium Learner","Premium Learner")</f>
        <v>Premium Learner</v>
      </c>
      <c r="O338" s="25" t="str">
        <f>PROPER(TRIM(Raw_Data!N329))</f>
        <v>Web Only</v>
      </c>
      <c r="P338" s="26">
        <f>IF(Raw_Data!O329="",$C$7,Raw_Data!O329)</f>
        <v>40065.51</v>
      </c>
      <c r="Q338" s="25" t="str">
        <f>IF(Raw_Data!O329="","Missing-Imputed","Original")</f>
        <v>Original</v>
      </c>
      <c r="R338" s="26">
        <f>Raw_Data!P329</f>
        <v>19.399999999999999</v>
      </c>
      <c r="S338" s="26">
        <f>Raw_Data!Q329</f>
        <v>38666.06</v>
      </c>
      <c r="T338" s="25" t="str">
        <f>IF(Raw_Data!R329="","Unknown",IF(ISNUMBER(SEARCH("ACT",UPPER(Raw_Data!R329))),"Active",IF(ISNUMBER(SEARCH("CLOS",UPPER(Raw_Data!R329))),"Closed","None")))</f>
        <v>Active</v>
      </c>
      <c r="U338" s="26">
        <f>IF(Raw_Data!S329="",$C$8,VALUE(Raw_Data!S329))</f>
        <v>431</v>
      </c>
      <c r="V338" s="25" t="str">
        <f>IF(Raw_Data!S329="","Missing-Imputed","Original")</f>
        <v>Original</v>
      </c>
      <c r="W338" s="26">
        <f>Raw_Data!T329</f>
        <v>99</v>
      </c>
      <c r="X338" s="25" t="str">
        <f>IF(ISNUMBER(SEARCH("Y",UPPER(TRIM(Raw_Data!U329)))),"Yes","No")</f>
        <v>Yes</v>
      </c>
      <c r="Y338" s="25" t="str">
        <f>IF(ISNUMBER(SEARCH("Y",UPPER(TRIM(Raw_Data!V329)))),"Yes","No")</f>
        <v>No</v>
      </c>
      <c r="Z338" s="26">
        <f>Raw_Data!W329</f>
        <v>4</v>
      </c>
      <c r="AA338" s="26">
        <f>Raw_Data!X329</f>
        <v>2.5</v>
      </c>
      <c r="AB338" s="25" t="str">
        <f>IF(COUNTIFS(Raw_Data!$A$2:$A$616,Raw_Data!A329)&gt;1,"Duplicate","Unique")</f>
        <v>Unique</v>
      </c>
      <c r="AC338" s="25" t="str">
        <f t="shared" si="17"/>
        <v>Clean</v>
      </c>
    </row>
    <row r="339" spans="1:29" ht="15" customHeight="1">
      <c r="A339" s="23" t="str">
        <f>Raw_Data!A330</f>
        <v>BYJ1329</v>
      </c>
      <c r="B339" s="23" t="str">
        <f>Raw_Data!B330</f>
        <v>Idika Bhattacharyya</v>
      </c>
      <c r="C339" s="24">
        <f>IF(OR(Raw_Data!C330="",Raw_Data!C330&lt;$C$5,Raw_Data!C330&gt;$C$6),$C$4,Raw_Data!C330)</f>
        <v>13</v>
      </c>
      <c r="D339" s="23" t="str">
        <f>IF(Raw_Data!C330="","Missing-Imputed",IF(OR(Raw_Data!C330&lt;$C$5,Raw_Data!C330&gt;$C$6),"Outlier-Imputed","Original"))</f>
        <v>Original</v>
      </c>
      <c r="E339" s="23" t="str">
        <f>IF(OR(UPPER(TRIM(Raw_Data!D330))="M",UPPER(TRIM(Raw_Data!D330))="MALE"),"Male","Female")</f>
        <v>Female</v>
      </c>
      <c r="F339" s="23" t="str">
        <f>PROPER(TRIM(Raw_Data!E330))</f>
        <v>Dewas</v>
      </c>
      <c r="G339" s="23" t="str">
        <f>PROPER(TRIM(Raw_Data!F330))</f>
        <v>Maharashtra</v>
      </c>
      <c r="H339" s="23" t="str">
        <f>PROPER(TRIM(Raw_Data!G330))</f>
        <v>Neet Prep</v>
      </c>
      <c r="I339" s="23" t="str">
        <f>PROPER(TRIM(Raw_Data!H330))</f>
        <v>Delhi North</v>
      </c>
      <c r="J339" s="24">
        <f>IF(LEN(TRIM(Raw_Data!I330))=4,VALUE(TRIM(Raw_Data!I330)),IF(ISNUMBER(IFERROR(VALUE(MID(TRIM(Raw_Data!I330),1,4)),"NA")),VALUE(MID(TRIM(Raw_Data!I330),1,4)),VALUE(RIGHT(TRIM(Raw_Data!I330),4))))</f>
        <v>2017</v>
      </c>
      <c r="K339" s="23" t="str">
        <f>PROPER(TRIM(Raw_Data!J330))</f>
        <v>Salaried</v>
      </c>
      <c r="L339" s="23" t="str">
        <f t="shared" si="15"/>
        <v>10-13</v>
      </c>
      <c r="M339" s="23" t="str">
        <f t="shared" si="16"/>
        <v>Kids</v>
      </c>
      <c r="N339" s="23" t="str">
        <f>IF(ISNUMBER(SEARCH("NON",UPPER(Raw_Data!M330))),"Non-Premium Learner","Premium Learner")</f>
        <v>Non-Premium Learner</v>
      </c>
      <c r="O339" s="23" t="str">
        <f>PROPER(TRIM(Raw_Data!N330))</f>
        <v>App Only</v>
      </c>
      <c r="P339" s="24">
        <f>IF(Raw_Data!O330="",$C$7,Raw_Data!O330)</f>
        <v>94624.45</v>
      </c>
      <c r="Q339" s="23" t="str">
        <f>IF(Raw_Data!O330="","Missing-Imputed","Original")</f>
        <v>Original</v>
      </c>
      <c r="R339" s="24">
        <f>Raw_Data!P330</f>
        <v>77.900000000000006</v>
      </c>
      <c r="S339" s="24">
        <f>Raw_Data!Q330</f>
        <v>34307.629999999997</v>
      </c>
      <c r="T339" s="23" t="str">
        <f>IF(Raw_Data!R330="","Unknown",IF(ISNUMBER(SEARCH("ACT",UPPER(Raw_Data!R330))),"Active",IF(ISNUMBER(SEARCH("CLOS",UPPER(Raw_Data!R330))),"Closed","None")))</f>
        <v>Active</v>
      </c>
      <c r="U339" s="24">
        <f>IF(Raw_Data!S330="",$C$8,VALUE(Raw_Data!S330))</f>
        <v>764</v>
      </c>
      <c r="V339" s="23" t="str">
        <f>IF(Raw_Data!S330="","Missing-Imputed","Original")</f>
        <v>Original</v>
      </c>
      <c r="W339" s="24">
        <f>Raw_Data!T330</f>
        <v>199</v>
      </c>
      <c r="X339" s="23" t="str">
        <f>IF(ISNUMBER(SEARCH("Y",UPPER(TRIM(Raw_Data!U330)))),"Yes","No")</f>
        <v>No</v>
      </c>
      <c r="Y339" s="23" t="str">
        <f>IF(ISNUMBER(SEARCH("Y",UPPER(TRIM(Raw_Data!V330)))),"Yes","No")</f>
        <v>Yes</v>
      </c>
      <c r="Z339" s="24">
        <f>Raw_Data!W330</f>
        <v>3</v>
      </c>
      <c r="AA339" s="24">
        <f>Raw_Data!X330</f>
        <v>2.1</v>
      </c>
      <c r="AB339" s="23" t="str">
        <f>IF(COUNTIFS(Raw_Data!$A$2:$A$616,Raw_Data!A330)&gt;1,"Duplicate","Unique")</f>
        <v>Unique</v>
      </c>
      <c r="AC339" s="23" t="str">
        <f t="shared" si="17"/>
        <v>Clean</v>
      </c>
    </row>
    <row r="340" spans="1:29" ht="15" customHeight="1">
      <c r="A340" s="25" t="str">
        <f>Raw_Data!A331</f>
        <v>BYJ1330</v>
      </c>
      <c r="B340" s="25" t="str">
        <f>Raw_Data!B331</f>
        <v>Owen Pathak</v>
      </c>
      <c r="C340" s="26">
        <f>IF(OR(Raw_Data!C331="",Raw_Data!C331&lt;$C$5,Raw_Data!C331&gt;$C$6),$C$4,Raw_Data!C331)</f>
        <v>30</v>
      </c>
      <c r="D340" s="25" t="str">
        <f>IF(Raw_Data!C331="","Missing-Imputed",IF(OR(Raw_Data!C331&lt;$C$5,Raw_Data!C331&gt;$C$6),"Outlier-Imputed","Original"))</f>
        <v>Original</v>
      </c>
      <c r="E340" s="25" t="str">
        <f>IF(OR(UPPER(TRIM(Raw_Data!D331))="M",UPPER(TRIM(Raw_Data!D331))="MALE"),"Male","Female")</f>
        <v>Female</v>
      </c>
      <c r="F340" s="25" t="str">
        <f>PROPER(TRIM(Raw_Data!E331))</f>
        <v>Bhilai</v>
      </c>
      <c r="G340" s="25" t="str">
        <f>PROPER(TRIM(Raw_Data!F331))</f>
        <v>Maharashtra</v>
      </c>
      <c r="H340" s="25" t="str">
        <f>PROPER(TRIM(Raw_Data!G331))</f>
        <v>Coding</v>
      </c>
      <c r="I340" s="25" t="str">
        <f>PROPER(TRIM(Raw_Data!H331))</f>
        <v>Lucknow Hub</v>
      </c>
      <c r="J340" s="26">
        <f>IF(LEN(TRIM(Raw_Data!I331))=4,VALUE(TRIM(Raw_Data!I331)),IF(ISNUMBER(IFERROR(VALUE(MID(TRIM(Raw_Data!I331),1,4)),"NA")),VALUE(MID(TRIM(Raw_Data!I331),1,4)),VALUE(RIGHT(TRIM(Raw_Data!I331),4))))</f>
        <v>2017</v>
      </c>
      <c r="K340" s="25" t="str">
        <f>PROPER(TRIM(Raw_Data!J331))</f>
        <v>Salaried</v>
      </c>
      <c r="L340" s="25" t="str">
        <f t="shared" si="15"/>
        <v>20+</v>
      </c>
      <c r="M340" s="25" t="str">
        <f t="shared" si="16"/>
        <v>Adult Learners</v>
      </c>
      <c r="N340" s="25" t="str">
        <f>IF(ISNUMBER(SEARCH("NON",UPPER(Raw_Data!M331))),"Non-Premium Learner","Premium Learner")</f>
        <v>Premium Learner</v>
      </c>
      <c r="O340" s="25" t="str">
        <f>PROPER(TRIM(Raw_Data!N331))</f>
        <v>App Only</v>
      </c>
      <c r="P340" s="26">
        <f>IF(Raw_Data!O331="",$C$7,Raw_Data!O331)</f>
        <v>18452.689999999999</v>
      </c>
      <c r="Q340" s="25" t="str">
        <f>IF(Raw_Data!O331="","Missing-Imputed","Original")</f>
        <v>Original</v>
      </c>
      <c r="R340" s="26">
        <f>Raw_Data!P331</f>
        <v>32.1</v>
      </c>
      <c r="S340" s="26">
        <f>Raw_Data!Q331</f>
        <v>50298.95</v>
      </c>
      <c r="T340" s="25" t="str">
        <f>IF(Raw_Data!R331="","Unknown",IF(ISNUMBER(SEARCH("ACT",UPPER(Raw_Data!R331))),"Active",IF(ISNUMBER(SEARCH("CLOS",UPPER(Raw_Data!R331))),"Closed","None")))</f>
        <v>Closed</v>
      </c>
      <c r="U340" s="26">
        <f>IF(Raw_Data!S331="",$C$8,VALUE(Raw_Data!S331))</f>
        <v>802</v>
      </c>
      <c r="V340" s="25" t="str">
        <f>IF(Raw_Data!S331="","Missing-Imputed","Original")</f>
        <v>Original</v>
      </c>
      <c r="W340" s="26">
        <f>Raw_Data!T331</f>
        <v>105</v>
      </c>
      <c r="X340" s="25" t="str">
        <f>IF(ISNUMBER(SEARCH("Y",UPPER(TRIM(Raw_Data!U331)))),"Yes","No")</f>
        <v>Yes</v>
      </c>
      <c r="Y340" s="25" t="str">
        <f>IF(ISNUMBER(SEARCH("Y",UPPER(TRIM(Raw_Data!V331)))),"Yes","No")</f>
        <v>Yes</v>
      </c>
      <c r="Z340" s="26">
        <f>Raw_Data!W331</f>
        <v>4</v>
      </c>
      <c r="AA340" s="26">
        <f>Raw_Data!X331</f>
        <v>3.7</v>
      </c>
      <c r="AB340" s="25" t="str">
        <f>IF(COUNTIFS(Raw_Data!$A$2:$A$616,Raw_Data!A331)&gt;1,"Duplicate","Unique")</f>
        <v>Unique</v>
      </c>
      <c r="AC340" s="25" t="str">
        <f t="shared" si="17"/>
        <v>Clean</v>
      </c>
    </row>
    <row r="341" spans="1:29" ht="15" customHeight="1">
      <c r="A341" s="23" t="str">
        <f>Raw_Data!A332</f>
        <v>BYJ1331</v>
      </c>
      <c r="B341" s="23" t="str">
        <f>Raw_Data!B332</f>
        <v>Liam Khalsa</v>
      </c>
      <c r="C341" s="24">
        <f>IF(OR(Raw_Data!C332="",Raw_Data!C332&lt;$C$5,Raw_Data!C332&gt;$C$6),$C$4,Raw_Data!C332)</f>
        <v>16</v>
      </c>
      <c r="D341" s="23" t="str">
        <f>IF(Raw_Data!C332="","Missing-Imputed",IF(OR(Raw_Data!C332&lt;$C$5,Raw_Data!C332&gt;$C$6),"Outlier-Imputed","Original"))</f>
        <v>Original</v>
      </c>
      <c r="E341" s="23" t="str">
        <f>IF(OR(UPPER(TRIM(Raw_Data!D332))="M",UPPER(TRIM(Raw_Data!D332))="MALE"),"Male","Female")</f>
        <v>Male</v>
      </c>
      <c r="F341" s="23" t="str">
        <f>PROPER(TRIM(Raw_Data!E332))</f>
        <v>Indore</v>
      </c>
      <c r="G341" s="23" t="str">
        <f>PROPER(TRIM(Raw_Data!F332))</f>
        <v>Maharashtra</v>
      </c>
      <c r="H341" s="23" t="str">
        <f>PROPER(TRIM(Raw_Data!G332))</f>
        <v>Coding</v>
      </c>
      <c r="I341" s="23" t="str">
        <f>PROPER(TRIM(Raw_Data!H332))</f>
        <v>Bengaluru South</v>
      </c>
      <c r="J341" s="24">
        <f>IF(LEN(TRIM(Raw_Data!I332))=4,VALUE(TRIM(Raw_Data!I332)),IF(ISNUMBER(IFERROR(VALUE(MID(TRIM(Raw_Data!I332),1,4)),"NA")),VALUE(MID(TRIM(Raw_Data!I332),1,4)),VALUE(RIGHT(TRIM(Raw_Data!I332),4))))</f>
        <v>2021</v>
      </c>
      <c r="K341" s="23" t="str">
        <f>PROPER(TRIM(Raw_Data!J332))</f>
        <v>Business</v>
      </c>
      <c r="L341" s="23" t="str">
        <f t="shared" si="15"/>
        <v>14-16</v>
      </c>
      <c r="M341" s="23" t="str">
        <f t="shared" si="16"/>
        <v>Teens</v>
      </c>
      <c r="N341" s="23" t="str">
        <f>IF(ISNUMBER(SEARCH("NON",UPPER(Raw_Data!M332))),"Non-Premium Learner","Premium Learner")</f>
        <v>Non-Premium Learner</v>
      </c>
      <c r="O341" s="23" t="str">
        <f>PROPER(TRIM(Raw_Data!N332))</f>
        <v>App Only</v>
      </c>
      <c r="P341" s="24">
        <f>IF(Raw_Data!O332="",$C$7,Raw_Data!O332)</f>
        <v>32962.559999999998</v>
      </c>
      <c r="Q341" s="23" t="str">
        <f>IF(Raw_Data!O332="","Missing-Imputed","Original")</f>
        <v>Original</v>
      </c>
      <c r="R341" s="24">
        <f>Raw_Data!P332</f>
        <v>6.7</v>
      </c>
      <c r="S341" s="24">
        <f>Raw_Data!Q332</f>
        <v>30704.68</v>
      </c>
      <c r="T341" s="23" t="str">
        <f>IF(Raw_Data!R332="","Unknown",IF(ISNUMBER(SEARCH("ACT",UPPER(Raw_Data!R332))),"Active",IF(ISNUMBER(SEARCH("CLOS",UPPER(Raw_Data!R332))),"Closed","None")))</f>
        <v>Active</v>
      </c>
      <c r="U341" s="24">
        <f>IF(Raw_Data!S332="",$C$8,VALUE(Raw_Data!S332))</f>
        <v>673</v>
      </c>
      <c r="V341" s="23" t="str">
        <f>IF(Raw_Data!S332="","Missing-Imputed","Original")</f>
        <v>Original</v>
      </c>
      <c r="W341" s="24">
        <f>Raw_Data!T332</f>
        <v>55</v>
      </c>
      <c r="X341" s="23" t="str">
        <f>IF(ISNUMBER(SEARCH("Y",UPPER(TRIM(Raw_Data!U332)))),"Yes","No")</f>
        <v>Yes</v>
      </c>
      <c r="Y341" s="23" t="str">
        <f>IF(ISNUMBER(SEARCH("Y",UPPER(TRIM(Raw_Data!V332)))),"Yes","No")</f>
        <v>Yes</v>
      </c>
      <c r="Z341" s="24">
        <f>Raw_Data!W332</f>
        <v>1</v>
      </c>
      <c r="AA341" s="24">
        <f>Raw_Data!X332</f>
        <v>6.7</v>
      </c>
      <c r="AB341" s="23" t="str">
        <f>IF(COUNTIFS(Raw_Data!$A$2:$A$616,Raw_Data!A332)&gt;1,"Duplicate","Unique")</f>
        <v>Unique</v>
      </c>
      <c r="AC341" s="23" t="str">
        <f t="shared" si="17"/>
        <v>Clean</v>
      </c>
    </row>
    <row r="342" spans="1:29" ht="15" customHeight="1">
      <c r="A342" s="25" t="str">
        <f>Raw_Data!A333</f>
        <v>BYJ1332</v>
      </c>
      <c r="B342" s="25" t="str">
        <f>Raw_Data!B333</f>
        <v>Jyoti Sibal</v>
      </c>
      <c r="C342" s="26">
        <f>IF(OR(Raw_Data!C333="",Raw_Data!C333&lt;$C$5,Raw_Data!C333&gt;$C$6),$C$4,Raw_Data!C333)</f>
        <v>36</v>
      </c>
      <c r="D342" s="25" t="str">
        <f>IF(Raw_Data!C333="","Missing-Imputed",IF(OR(Raw_Data!C333&lt;$C$5,Raw_Data!C333&gt;$C$6),"Outlier-Imputed","Original"))</f>
        <v>Original</v>
      </c>
      <c r="E342" s="25" t="str">
        <f>IF(OR(UPPER(TRIM(Raw_Data!D333))="M",UPPER(TRIM(Raw_Data!D333))="MALE"),"Male","Female")</f>
        <v>Male</v>
      </c>
      <c r="F342" s="25" t="str">
        <f>PROPER(TRIM(Raw_Data!E333))</f>
        <v>Pudukkottai</v>
      </c>
      <c r="G342" s="25" t="str">
        <f>PROPER(TRIM(Raw_Data!F333))</f>
        <v>Uttar Pradesh</v>
      </c>
      <c r="H342" s="25" t="str">
        <f>PROPER(TRIM(Raw_Data!G333))</f>
        <v>Jee Prep</v>
      </c>
      <c r="I342" s="25" t="str">
        <f>PROPER(TRIM(Raw_Data!H333))</f>
        <v>Ahmedabad Center</v>
      </c>
      <c r="J342" s="26">
        <f>IF(LEN(TRIM(Raw_Data!I333))=4,VALUE(TRIM(Raw_Data!I333)),IF(ISNUMBER(IFERROR(VALUE(MID(TRIM(Raw_Data!I333),1,4)),"NA")),VALUE(MID(TRIM(Raw_Data!I333),1,4)),VALUE(RIGHT(TRIM(Raw_Data!I333),4))))</f>
        <v>2023</v>
      </c>
      <c r="K342" s="25" t="str">
        <f>PROPER(TRIM(Raw_Data!J333))</f>
        <v>Business</v>
      </c>
      <c r="L342" s="25" t="str">
        <f t="shared" si="15"/>
        <v>20+</v>
      </c>
      <c r="M342" s="25" t="str">
        <f t="shared" si="16"/>
        <v>Adult Learners</v>
      </c>
      <c r="N342" s="25" t="str">
        <f>IF(ISNUMBER(SEARCH("NON",UPPER(Raw_Data!M333))),"Non-Premium Learner","Premium Learner")</f>
        <v>Premium Learner</v>
      </c>
      <c r="O342" s="25" t="str">
        <f>PROPER(TRIM(Raw_Data!N333))</f>
        <v>Both App &amp; Web</v>
      </c>
      <c r="P342" s="26">
        <f>IF(Raw_Data!O333="",$C$7,Raw_Data!O333)</f>
        <v>45757</v>
      </c>
      <c r="Q342" s="25" t="str">
        <f>IF(Raw_Data!O333="","Missing-Imputed","Original")</f>
        <v>Original</v>
      </c>
      <c r="R342" s="26">
        <f>Raw_Data!P333</f>
        <v>48.8</v>
      </c>
      <c r="S342" s="26">
        <f>Raw_Data!Q333</f>
        <v>45986.93</v>
      </c>
      <c r="T342" s="25" t="str">
        <f>IF(Raw_Data!R333="","Unknown",IF(ISNUMBER(SEARCH("ACT",UPPER(Raw_Data!R333))),"Active",IF(ISNUMBER(SEARCH("CLOS",UPPER(Raw_Data!R333))),"Closed","None")))</f>
        <v>Closed</v>
      </c>
      <c r="U342" s="26">
        <f>IF(Raw_Data!S333="",$C$8,VALUE(Raw_Data!S333))</f>
        <v>510</v>
      </c>
      <c r="V342" s="25" t="str">
        <f>IF(Raw_Data!S333="","Missing-Imputed","Original")</f>
        <v>Original</v>
      </c>
      <c r="W342" s="26">
        <f>Raw_Data!T333</f>
        <v>124</v>
      </c>
      <c r="X342" s="25" t="str">
        <f>IF(ISNUMBER(SEARCH("Y",UPPER(TRIM(Raw_Data!U333)))),"Yes","No")</f>
        <v>No</v>
      </c>
      <c r="Y342" s="25" t="str">
        <f>IF(ISNUMBER(SEARCH("Y",UPPER(TRIM(Raw_Data!V333)))),"Yes","No")</f>
        <v>No</v>
      </c>
      <c r="Z342" s="26">
        <f>Raw_Data!W333</f>
        <v>3</v>
      </c>
      <c r="AA342" s="26">
        <f>Raw_Data!X333</f>
        <v>5.8</v>
      </c>
      <c r="AB342" s="25" t="str">
        <f>IF(COUNTIFS(Raw_Data!$A$2:$A$616,Raw_Data!A333)&gt;1,"Duplicate","Unique")</f>
        <v>Unique</v>
      </c>
      <c r="AC342" s="25" t="str">
        <f t="shared" si="17"/>
        <v>Clean</v>
      </c>
    </row>
    <row r="343" spans="1:29" ht="15" customHeight="1">
      <c r="A343" s="23" t="str">
        <f>Raw_Data!A334</f>
        <v>BYJ1333</v>
      </c>
      <c r="B343" s="23" t="str">
        <f>Raw_Data!B334</f>
        <v>Dominic More</v>
      </c>
      <c r="C343" s="24">
        <f>IF(OR(Raw_Data!C334="",Raw_Data!C334&lt;$C$5,Raw_Data!C334&gt;$C$6),$C$4,Raw_Data!C334)</f>
        <v>42</v>
      </c>
      <c r="D343" s="23" t="str">
        <f>IF(Raw_Data!C334="","Missing-Imputed",IF(OR(Raw_Data!C334&lt;$C$5,Raw_Data!C334&gt;$C$6),"Outlier-Imputed","Original"))</f>
        <v>Original</v>
      </c>
      <c r="E343" s="23" t="str">
        <f>IF(OR(UPPER(TRIM(Raw_Data!D334))="M",UPPER(TRIM(Raw_Data!D334))="MALE"),"Male","Female")</f>
        <v>Female</v>
      </c>
      <c r="F343" s="23" t="str">
        <f>PROPER(TRIM(Raw_Data!E334))</f>
        <v>Nangloi Jat</v>
      </c>
      <c r="G343" s="23" t="str">
        <f>PROPER(TRIM(Raw_Data!F334))</f>
        <v>Karnataka</v>
      </c>
      <c r="H343" s="23" t="str">
        <f>PROPER(TRIM(Raw_Data!G334))</f>
        <v>Spoken English</v>
      </c>
      <c r="I343" s="23" t="str">
        <f>PROPER(TRIM(Raw_Data!H334))</f>
        <v>Mumbai West</v>
      </c>
      <c r="J343" s="24">
        <f>IF(LEN(TRIM(Raw_Data!I334))=4,VALUE(TRIM(Raw_Data!I334)),IF(ISNUMBER(IFERROR(VALUE(MID(TRIM(Raw_Data!I334),1,4)),"NA")),VALUE(MID(TRIM(Raw_Data!I334),1,4)),VALUE(RIGHT(TRIM(Raw_Data!I334),4))))</f>
        <v>2016</v>
      </c>
      <c r="K343" s="23" t="str">
        <f>PROPER(TRIM(Raw_Data!J334))</f>
        <v>Homemaker</v>
      </c>
      <c r="L343" s="23" t="str">
        <f t="shared" si="15"/>
        <v>20+</v>
      </c>
      <c r="M343" s="23" t="str">
        <f t="shared" si="16"/>
        <v>Adult Learners</v>
      </c>
      <c r="N343" s="23" t="str">
        <f>IF(ISNUMBER(SEARCH("NON",UPPER(Raw_Data!M334))),"Non-Premium Learner","Premium Learner")</f>
        <v>Non-Premium Learner</v>
      </c>
      <c r="O343" s="23" t="str">
        <f>PROPER(TRIM(Raw_Data!N334))</f>
        <v>Both App &amp; Web</v>
      </c>
      <c r="P343" s="24">
        <f>IF(Raw_Data!O334="",$C$7,Raw_Data!O334)</f>
        <v>56076.73</v>
      </c>
      <c r="Q343" s="23" t="str">
        <f>IF(Raw_Data!O334="","Missing-Imputed","Original")</f>
        <v>Original</v>
      </c>
      <c r="R343" s="24">
        <f>Raw_Data!P334</f>
        <v>18.5</v>
      </c>
      <c r="S343" s="24">
        <f>Raw_Data!Q334</f>
        <v>19360.87</v>
      </c>
      <c r="T343" s="23" t="str">
        <f>IF(Raw_Data!R334="","Unknown",IF(ISNUMBER(SEARCH("ACT",UPPER(Raw_Data!R334))),"Active",IF(ISNUMBER(SEARCH("CLOS",UPPER(Raw_Data!R334))),"Closed","None")))</f>
        <v>Active</v>
      </c>
      <c r="U343" s="24">
        <f>IF(Raw_Data!S334="",$C$8,VALUE(Raw_Data!S334))</f>
        <v>551</v>
      </c>
      <c r="V343" s="23" t="str">
        <f>IF(Raw_Data!S334="","Missing-Imputed","Original")</f>
        <v>Original</v>
      </c>
      <c r="W343" s="24">
        <f>Raw_Data!T334</f>
        <v>168</v>
      </c>
      <c r="X343" s="23" t="str">
        <f>IF(ISNUMBER(SEARCH("Y",UPPER(TRIM(Raw_Data!U334)))),"Yes","No")</f>
        <v>No</v>
      </c>
      <c r="Y343" s="23" t="str">
        <f>IF(ISNUMBER(SEARCH("Y",UPPER(TRIM(Raw_Data!V334)))),"Yes","No")</f>
        <v>Yes</v>
      </c>
      <c r="Z343" s="24">
        <f>Raw_Data!W334</f>
        <v>1</v>
      </c>
      <c r="AA343" s="24">
        <f>Raw_Data!X334</f>
        <v>0.6</v>
      </c>
      <c r="AB343" s="23" t="str">
        <f>IF(COUNTIFS(Raw_Data!$A$2:$A$616,Raw_Data!A334)&gt;1,"Duplicate","Unique")</f>
        <v>Duplicate</v>
      </c>
      <c r="AC343" s="23" t="str">
        <f t="shared" si="17"/>
        <v>Review-Duplicate</v>
      </c>
    </row>
    <row r="344" spans="1:29" ht="15" customHeight="1">
      <c r="A344" s="25" t="str">
        <f>Raw_Data!A335</f>
        <v>BYJ1334</v>
      </c>
      <c r="B344" s="25" t="str">
        <f>Raw_Data!B335</f>
        <v>Nimrat Borah</v>
      </c>
      <c r="C344" s="26">
        <f>IF(OR(Raw_Data!C335="",Raw_Data!C335&lt;$C$5,Raw_Data!C335&gt;$C$6),$C$4,Raw_Data!C335)</f>
        <v>19</v>
      </c>
      <c r="D344" s="25" t="str">
        <f>IF(Raw_Data!C335="","Missing-Imputed",IF(OR(Raw_Data!C335&lt;$C$5,Raw_Data!C335&gt;$C$6),"Outlier-Imputed","Original"))</f>
        <v>Original</v>
      </c>
      <c r="E344" s="25" t="str">
        <f>IF(OR(UPPER(TRIM(Raw_Data!D335))="M",UPPER(TRIM(Raw_Data!D335))="MALE"),"Male","Female")</f>
        <v>Female</v>
      </c>
      <c r="F344" s="25" t="str">
        <f>PROPER(TRIM(Raw_Data!E335))</f>
        <v>Ratlam</v>
      </c>
      <c r="G344" s="25" t="str">
        <f>PROPER(TRIM(Raw_Data!F335))</f>
        <v>Delhi</v>
      </c>
      <c r="H344" s="25" t="str">
        <f>PROPER(TRIM(Raw_Data!G335))</f>
        <v>Mathematics</v>
      </c>
      <c r="I344" s="25" t="str">
        <f>PROPER(TRIM(Raw_Data!H335))</f>
        <v>Kolkata Main</v>
      </c>
      <c r="J344" s="26">
        <f>IF(LEN(TRIM(Raw_Data!I335))=4,VALUE(TRIM(Raw_Data!I335)),IF(ISNUMBER(IFERROR(VALUE(MID(TRIM(Raw_Data!I335),1,4)),"NA")),VALUE(MID(TRIM(Raw_Data!I335),1,4)),VALUE(RIGHT(TRIM(Raw_Data!I335),4))))</f>
        <v>2020</v>
      </c>
      <c r="K344" s="25" t="str">
        <f>PROPER(TRIM(Raw_Data!J335))</f>
        <v>Salaried</v>
      </c>
      <c r="L344" s="25" t="str">
        <f t="shared" si="15"/>
        <v>17-19</v>
      </c>
      <c r="M344" s="25" t="str">
        <f t="shared" si="16"/>
        <v>Teens</v>
      </c>
      <c r="N344" s="25" t="str">
        <f>IF(ISNUMBER(SEARCH("NON",UPPER(Raw_Data!M335))),"Non-Premium Learner","Premium Learner")</f>
        <v>Non-Premium Learner</v>
      </c>
      <c r="O344" s="25" t="str">
        <f>PROPER(TRIM(Raw_Data!N335))</f>
        <v>Both App &amp; Web</v>
      </c>
      <c r="P344" s="26">
        <f>IF(Raw_Data!O335="",$C$7,Raw_Data!O335)</f>
        <v>15849.51</v>
      </c>
      <c r="Q344" s="25" t="str">
        <f>IF(Raw_Data!O335="","Missing-Imputed","Original")</f>
        <v>Original</v>
      </c>
      <c r="R344" s="26">
        <f>Raw_Data!P335</f>
        <v>36.6</v>
      </c>
      <c r="S344" s="26">
        <f>Raw_Data!Q335</f>
        <v>45372.07</v>
      </c>
      <c r="T344" s="25" t="str">
        <f>IF(Raw_Data!R335="","Unknown",IF(ISNUMBER(SEARCH("ACT",UPPER(Raw_Data!R335))),"Active",IF(ISNUMBER(SEARCH("CLOS",UPPER(Raw_Data!R335))),"Closed","None")))</f>
        <v>Closed</v>
      </c>
      <c r="U344" s="26">
        <f>IF(Raw_Data!S335="",$C$8,VALUE(Raw_Data!S335))</f>
        <v>502</v>
      </c>
      <c r="V344" s="25" t="str">
        <f>IF(Raw_Data!S335="","Missing-Imputed","Original")</f>
        <v>Original</v>
      </c>
      <c r="W344" s="26">
        <f>Raw_Data!T335</f>
        <v>126</v>
      </c>
      <c r="X344" s="25" t="str">
        <f>IF(ISNUMBER(SEARCH("Y",UPPER(TRIM(Raw_Data!U335)))),"Yes","No")</f>
        <v>No</v>
      </c>
      <c r="Y344" s="25" t="str">
        <f>IF(ISNUMBER(SEARCH("Y",UPPER(TRIM(Raw_Data!V335)))),"Yes","No")</f>
        <v>No</v>
      </c>
      <c r="Z344" s="26">
        <f>Raw_Data!W335</f>
        <v>1</v>
      </c>
      <c r="AA344" s="26">
        <f>Raw_Data!X335</f>
        <v>1.6</v>
      </c>
      <c r="AB344" s="25" t="str">
        <f>IF(COUNTIFS(Raw_Data!$A$2:$A$616,Raw_Data!A335)&gt;1,"Duplicate","Unique")</f>
        <v>Unique</v>
      </c>
      <c r="AC344" s="25" t="str">
        <f t="shared" si="17"/>
        <v>Clean</v>
      </c>
    </row>
    <row r="345" spans="1:29" ht="15" customHeight="1">
      <c r="A345" s="23" t="str">
        <f>Raw_Data!A336</f>
        <v>BYJ1335</v>
      </c>
      <c r="B345" s="23" t="str">
        <f>Raw_Data!B336</f>
        <v>Shivani Shukla</v>
      </c>
      <c r="C345" s="24">
        <f>IF(OR(Raw_Data!C336="",Raw_Data!C336&lt;$C$5,Raw_Data!C336&gt;$C$6),$C$4,Raw_Data!C336)</f>
        <v>30</v>
      </c>
      <c r="D345" s="23" t="str">
        <f>IF(Raw_Data!C336="","Missing-Imputed",IF(OR(Raw_Data!C336&lt;$C$5,Raw_Data!C336&gt;$C$6),"Outlier-Imputed","Original"))</f>
        <v>Original</v>
      </c>
      <c r="E345" s="23" t="str">
        <f>IF(OR(UPPER(TRIM(Raw_Data!D336))="M",UPPER(TRIM(Raw_Data!D336))="MALE"),"Male","Female")</f>
        <v>Male</v>
      </c>
      <c r="F345" s="23" t="str">
        <f>PROPER(TRIM(Raw_Data!E336))</f>
        <v>Warangal</v>
      </c>
      <c r="G345" s="23" t="str">
        <f>PROPER(TRIM(Raw_Data!F336))</f>
        <v>Tamil Nadu</v>
      </c>
      <c r="H345" s="23" t="str">
        <f>PROPER(TRIM(Raw_Data!G336))</f>
        <v>Coding</v>
      </c>
      <c r="I345" s="23" t="str">
        <f>PROPER(TRIM(Raw_Data!H336))</f>
        <v>Ahmedabad Center</v>
      </c>
      <c r="J345" s="24">
        <f>IF(LEN(TRIM(Raw_Data!I336))=4,VALUE(TRIM(Raw_Data!I336)),IF(ISNUMBER(IFERROR(VALUE(MID(TRIM(Raw_Data!I336),1,4)),"NA")),VALUE(MID(TRIM(Raw_Data!I336),1,4)),VALUE(RIGHT(TRIM(Raw_Data!I336),4))))</f>
        <v>2020</v>
      </c>
      <c r="K345" s="23" t="str">
        <f>PROPER(TRIM(Raw_Data!J336))</f>
        <v>Salaried</v>
      </c>
      <c r="L345" s="23" t="str">
        <f t="shared" si="15"/>
        <v>20+</v>
      </c>
      <c r="M345" s="23" t="str">
        <f t="shared" si="16"/>
        <v>Adult Learners</v>
      </c>
      <c r="N345" s="23" t="str">
        <f>IF(ISNUMBER(SEARCH("NON",UPPER(Raw_Data!M336))),"Non-Premium Learner","Premium Learner")</f>
        <v>Non-Premium Learner</v>
      </c>
      <c r="O345" s="23" t="str">
        <f>PROPER(TRIM(Raw_Data!N336))</f>
        <v>App Only</v>
      </c>
      <c r="P345" s="24">
        <f>IF(Raw_Data!O336="",$C$7,Raw_Data!O336)</f>
        <v>71742.19</v>
      </c>
      <c r="Q345" s="23" t="str">
        <f>IF(Raw_Data!O336="","Missing-Imputed","Original")</f>
        <v>Missing-Imputed</v>
      </c>
      <c r="R345" s="24">
        <f>Raw_Data!P336</f>
        <v>40.200000000000003</v>
      </c>
      <c r="S345" s="24">
        <f>Raw_Data!Q336</f>
        <v>49791.01</v>
      </c>
      <c r="T345" s="23" t="str">
        <f>IF(Raw_Data!R336="","Unknown",IF(ISNUMBER(SEARCH("ACT",UPPER(Raw_Data!R336))),"Active",IF(ISNUMBER(SEARCH("CLOS",UPPER(Raw_Data!R336))),"Closed","None")))</f>
        <v>Closed</v>
      </c>
      <c r="U345" s="24">
        <f>IF(Raw_Data!S336="",$C$8,VALUE(Raw_Data!S336))</f>
        <v>608</v>
      </c>
      <c r="V345" s="23" t="str">
        <f>IF(Raw_Data!S336="","Missing-Imputed","Original")</f>
        <v>Original</v>
      </c>
      <c r="W345" s="24">
        <f>Raw_Data!T336</f>
        <v>192</v>
      </c>
      <c r="X345" s="23" t="str">
        <f>IF(ISNUMBER(SEARCH("Y",UPPER(TRIM(Raw_Data!U336)))),"Yes","No")</f>
        <v>No</v>
      </c>
      <c r="Y345" s="23" t="str">
        <f>IF(ISNUMBER(SEARCH("Y",UPPER(TRIM(Raw_Data!V336)))),"Yes","No")</f>
        <v>Yes</v>
      </c>
      <c r="Z345" s="24">
        <f>Raw_Data!W336</f>
        <v>4</v>
      </c>
      <c r="AA345" s="24">
        <f>Raw_Data!X336</f>
        <v>5.7</v>
      </c>
      <c r="AB345" s="23" t="str">
        <f>IF(COUNTIFS(Raw_Data!$A$2:$A$616,Raw_Data!A336)&gt;1,"Duplicate","Unique")</f>
        <v>Unique</v>
      </c>
      <c r="AC345" s="23" t="str">
        <f t="shared" si="17"/>
        <v>Imputed</v>
      </c>
    </row>
    <row r="346" spans="1:29" ht="15" customHeight="1">
      <c r="A346" s="25" t="str">
        <f>Raw_Data!A337</f>
        <v>BYJ1336</v>
      </c>
      <c r="B346" s="25" t="str">
        <f>Raw_Data!B337</f>
        <v>Kai Sant</v>
      </c>
      <c r="C346" s="26">
        <f>IF(OR(Raw_Data!C337="",Raw_Data!C337&lt;$C$5,Raw_Data!C337&gt;$C$6),$C$4,Raw_Data!C337)</f>
        <v>35</v>
      </c>
      <c r="D346" s="25" t="str">
        <f>IF(Raw_Data!C337="","Missing-Imputed",IF(OR(Raw_Data!C337&lt;$C$5,Raw_Data!C337&gt;$C$6),"Outlier-Imputed","Original"))</f>
        <v>Original</v>
      </c>
      <c r="E346" s="25" t="str">
        <f>IF(OR(UPPER(TRIM(Raw_Data!D337))="M",UPPER(TRIM(Raw_Data!D337))="MALE"),"Male","Female")</f>
        <v>Female</v>
      </c>
      <c r="F346" s="25" t="str">
        <f>PROPER(TRIM(Raw_Data!E337))</f>
        <v>Amravati</v>
      </c>
      <c r="G346" s="25" t="str">
        <f>PROPER(TRIM(Raw_Data!F337))</f>
        <v>Kerala</v>
      </c>
      <c r="H346" s="25" t="str">
        <f>PROPER(TRIM(Raw_Data!G337))</f>
        <v>Mathematics</v>
      </c>
      <c r="I346" s="25" t="str">
        <f>PROPER(TRIM(Raw_Data!H337))</f>
        <v>Chennai Central</v>
      </c>
      <c r="J346" s="26">
        <f>IF(LEN(TRIM(Raw_Data!I337))=4,VALUE(TRIM(Raw_Data!I337)),IF(ISNUMBER(IFERROR(VALUE(MID(TRIM(Raw_Data!I337),1,4)),"NA")),VALUE(MID(TRIM(Raw_Data!I337),1,4)),VALUE(RIGHT(TRIM(Raw_Data!I337),4))))</f>
        <v>2019</v>
      </c>
      <c r="K346" s="25" t="str">
        <f>PROPER(TRIM(Raw_Data!J337))</f>
        <v>Business</v>
      </c>
      <c r="L346" s="25" t="str">
        <f t="shared" si="15"/>
        <v>20+</v>
      </c>
      <c r="M346" s="25" t="str">
        <f t="shared" si="16"/>
        <v>Adult Learners</v>
      </c>
      <c r="N346" s="25" t="str">
        <f>IF(ISNUMBER(SEARCH("NON",UPPER(Raw_Data!M337))),"Non-Premium Learner","Premium Learner")</f>
        <v>Premium Learner</v>
      </c>
      <c r="O346" s="25" t="str">
        <f>PROPER(TRIM(Raw_Data!N337))</f>
        <v>Both App &amp; Web</v>
      </c>
      <c r="P346" s="26">
        <f>IF(Raw_Data!O337="",$C$7,Raw_Data!O337)</f>
        <v>110016.74</v>
      </c>
      <c r="Q346" s="25" t="str">
        <f>IF(Raw_Data!O337="","Missing-Imputed","Original")</f>
        <v>Original</v>
      </c>
      <c r="R346" s="26">
        <f>Raw_Data!P337</f>
        <v>11.6</v>
      </c>
      <c r="S346" s="26">
        <f>Raw_Data!Q337</f>
        <v>43446.47</v>
      </c>
      <c r="T346" s="25" t="str">
        <f>IF(Raw_Data!R337="","Unknown",IF(ISNUMBER(SEARCH("ACT",UPPER(Raw_Data!R337))),"Active",IF(ISNUMBER(SEARCH("CLOS",UPPER(Raw_Data!R337))),"Closed","None")))</f>
        <v>Closed</v>
      </c>
      <c r="U346" s="26">
        <f>IF(Raw_Data!S337="",$C$8,VALUE(Raw_Data!S337))</f>
        <v>305</v>
      </c>
      <c r="V346" s="25" t="str">
        <f>IF(Raw_Data!S337="","Missing-Imputed","Original")</f>
        <v>Original</v>
      </c>
      <c r="W346" s="26">
        <f>Raw_Data!T337</f>
        <v>13</v>
      </c>
      <c r="X346" s="25" t="str">
        <f>IF(ISNUMBER(SEARCH("Y",UPPER(TRIM(Raw_Data!U337)))),"Yes","No")</f>
        <v>No</v>
      </c>
      <c r="Y346" s="25" t="str">
        <f>IF(ISNUMBER(SEARCH("Y",UPPER(TRIM(Raw_Data!V337)))),"Yes","No")</f>
        <v>Yes</v>
      </c>
      <c r="Z346" s="26">
        <f>Raw_Data!W337</f>
        <v>3</v>
      </c>
      <c r="AA346" s="26">
        <f>Raw_Data!X337</f>
        <v>1.1000000000000001</v>
      </c>
      <c r="AB346" s="25" t="str">
        <f>IF(COUNTIFS(Raw_Data!$A$2:$A$616,Raw_Data!A337)&gt;1,"Duplicate","Unique")</f>
        <v>Unique</v>
      </c>
      <c r="AC346" s="25" t="str">
        <f t="shared" si="17"/>
        <v>Clean</v>
      </c>
    </row>
    <row r="347" spans="1:29" ht="15" customHeight="1">
      <c r="A347" s="23" t="str">
        <f>Raw_Data!A338</f>
        <v>BYJ1337</v>
      </c>
      <c r="B347" s="23" t="str">
        <f>Raw_Data!B338</f>
        <v>Daksha Gala</v>
      </c>
      <c r="C347" s="24">
        <f>IF(OR(Raw_Data!C338="",Raw_Data!C338&lt;$C$5,Raw_Data!C338&gt;$C$6),$C$4,Raw_Data!C338)</f>
        <v>30</v>
      </c>
      <c r="D347" s="23" t="str">
        <f>IF(Raw_Data!C338="","Missing-Imputed",IF(OR(Raw_Data!C338&lt;$C$5,Raw_Data!C338&gt;$C$6),"Outlier-Imputed","Original"))</f>
        <v>Original</v>
      </c>
      <c r="E347" s="23" t="str">
        <f>IF(OR(UPPER(TRIM(Raw_Data!D338))="M",UPPER(TRIM(Raw_Data!D338))="MALE"),"Male","Female")</f>
        <v>Female</v>
      </c>
      <c r="F347" s="23" t="str">
        <f>PROPER(TRIM(Raw_Data!E338))</f>
        <v>North Dumdum</v>
      </c>
      <c r="G347" s="23" t="str">
        <f>PROPER(TRIM(Raw_Data!F338))</f>
        <v>Kerala</v>
      </c>
      <c r="H347" s="23" t="str">
        <f>PROPER(TRIM(Raw_Data!G338))</f>
        <v>Spoken English</v>
      </c>
      <c r="I347" s="23" t="str">
        <f>PROPER(TRIM(Raw_Data!H338))</f>
        <v>Bengaluru South</v>
      </c>
      <c r="J347" s="24">
        <f>IF(LEN(TRIM(Raw_Data!I338))=4,VALUE(TRIM(Raw_Data!I338)),IF(ISNUMBER(IFERROR(VALUE(MID(TRIM(Raw_Data!I338),1,4)),"NA")),VALUE(MID(TRIM(Raw_Data!I338),1,4)),VALUE(RIGHT(TRIM(Raw_Data!I338),4))))</f>
        <v>2018</v>
      </c>
      <c r="K347" s="23" t="str">
        <f>PROPER(TRIM(Raw_Data!J338))</f>
        <v>Government Employee</v>
      </c>
      <c r="L347" s="23" t="str">
        <f t="shared" si="15"/>
        <v>20+</v>
      </c>
      <c r="M347" s="23" t="str">
        <f t="shared" si="16"/>
        <v>Adult Learners</v>
      </c>
      <c r="N347" s="23" t="str">
        <f>IF(ISNUMBER(SEARCH("NON",UPPER(Raw_Data!M338))),"Non-Premium Learner","Premium Learner")</f>
        <v>Non-Premium Learner</v>
      </c>
      <c r="O347" s="23" t="str">
        <f>PROPER(TRIM(Raw_Data!N338))</f>
        <v>Web Only</v>
      </c>
      <c r="P347" s="24">
        <f>IF(Raw_Data!O338="",$C$7,Raw_Data!O338)</f>
        <v>97351.03</v>
      </c>
      <c r="Q347" s="23" t="str">
        <f>IF(Raw_Data!O338="","Missing-Imputed","Original")</f>
        <v>Original</v>
      </c>
      <c r="R347" s="24">
        <f>Raw_Data!P338</f>
        <v>44.1</v>
      </c>
      <c r="S347" s="24">
        <f>Raw_Data!Q338</f>
        <v>14431.41</v>
      </c>
      <c r="T347" s="23" t="str">
        <f>IF(Raw_Data!R338="","Unknown",IF(ISNUMBER(SEARCH("ACT",UPPER(Raw_Data!R338))),"Active",IF(ISNUMBER(SEARCH("CLOS",UPPER(Raw_Data!R338))),"Closed","None")))</f>
        <v>Closed</v>
      </c>
      <c r="U347" s="24">
        <f>IF(Raw_Data!S338="",$C$8,VALUE(Raw_Data!S338))</f>
        <v>801</v>
      </c>
      <c r="V347" s="23" t="str">
        <f>IF(Raw_Data!S338="","Missing-Imputed","Original")</f>
        <v>Original</v>
      </c>
      <c r="W347" s="24">
        <f>Raw_Data!T338</f>
        <v>82</v>
      </c>
      <c r="X347" s="23" t="str">
        <f>IF(ISNUMBER(SEARCH("Y",UPPER(TRIM(Raw_Data!U338)))),"Yes","No")</f>
        <v>No</v>
      </c>
      <c r="Y347" s="23" t="str">
        <f>IF(ISNUMBER(SEARCH("Y",UPPER(TRIM(Raw_Data!V338)))),"Yes","No")</f>
        <v>Yes</v>
      </c>
      <c r="Z347" s="24">
        <f>Raw_Data!W338</f>
        <v>3</v>
      </c>
      <c r="AA347" s="24">
        <f>Raw_Data!X338</f>
        <v>6.5</v>
      </c>
      <c r="AB347" s="23" t="str">
        <f>IF(COUNTIFS(Raw_Data!$A$2:$A$616,Raw_Data!A338)&gt;1,"Duplicate","Unique")</f>
        <v>Unique</v>
      </c>
      <c r="AC347" s="23" t="str">
        <f t="shared" si="17"/>
        <v>Clean</v>
      </c>
    </row>
    <row r="348" spans="1:29" ht="15" customHeight="1">
      <c r="A348" s="25" t="str">
        <f>Raw_Data!A339</f>
        <v>BYJ1338</v>
      </c>
      <c r="B348" s="25" t="str">
        <f>Raw_Data!B339</f>
        <v>Hiral Venkataraman</v>
      </c>
      <c r="C348" s="26">
        <f>IF(OR(Raw_Data!C339="",Raw_Data!C339&lt;$C$5,Raw_Data!C339&gt;$C$6),$C$4,Raw_Data!C339)</f>
        <v>21</v>
      </c>
      <c r="D348" s="25" t="str">
        <f>IF(Raw_Data!C339="","Missing-Imputed",IF(OR(Raw_Data!C339&lt;$C$5,Raw_Data!C339&gt;$C$6),"Outlier-Imputed","Original"))</f>
        <v>Original</v>
      </c>
      <c r="E348" s="25" t="str">
        <f>IF(OR(UPPER(TRIM(Raw_Data!D339))="M",UPPER(TRIM(Raw_Data!D339))="MALE"),"Male","Female")</f>
        <v>Male</v>
      </c>
      <c r="F348" s="25" t="str">
        <f>PROPER(TRIM(Raw_Data!E339))</f>
        <v>Vijayawada</v>
      </c>
      <c r="G348" s="25" t="str">
        <f>PROPER(TRIM(Raw_Data!F339))</f>
        <v>Rajasthan</v>
      </c>
      <c r="H348" s="25" t="str">
        <f>PROPER(TRIM(Raw_Data!G339))</f>
        <v>Coding</v>
      </c>
      <c r="I348" s="25" t="str">
        <f>PROPER(TRIM(Raw_Data!H339))</f>
        <v>Delhi North</v>
      </c>
      <c r="J348" s="26">
        <f>IF(LEN(TRIM(Raw_Data!I339))=4,VALUE(TRIM(Raw_Data!I339)),IF(ISNUMBER(IFERROR(VALUE(MID(TRIM(Raw_Data!I339),1,4)),"NA")),VALUE(MID(TRIM(Raw_Data!I339),1,4)),VALUE(RIGHT(TRIM(Raw_Data!I339),4))))</f>
        <v>2016</v>
      </c>
      <c r="K348" s="25" t="str">
        <f>PROPER(TRIM(Raw_Data!J339))</f>
        <v>Self-Employed</v>
      </c>
      <c r="L348" s="25" t="str">
        <f t="shared" si="15"/>
        <v>20+</v>
      </c>
      <c r="M348" s="25" t="str">
        <f t="shared" si="16"/>
        <v>Adult Learners</v>
      </c>
      <c r="N348" s="25" t="str">
        <f>IF(ISNUMBER(SEARCH("NON",UPPER(Raw_Data!M339))),"Non-Premium Learner","Premium Learner")</f>
        <v>Premium Learner</v>
      </c>
      <c r="O348" s="25" t="str">
        <f>PROPER(TRIM(Raw_Data!N339))</f>
        <v>App Only</v>
      </c>
      <c r="P348" s="26">
        <f>IF(Raw_Data!O339="",$C$7,Raw_Data!O339)</f>
        <v>123029.34</v>
      </c>
      <c r="Q348" s="25" t="str">
        <f>IF(Raw_Data!O339="","Missing-Imputed","Original")</f>
        <v>Original</v>
      </c>
      <c r="R348" s="26">
        <f>Raw_Data!P339</f>
        <v>43.5</v>
      </c>
      <c r="S348" s="26">
        <f>Raw_Data!Q339</f>
        <v>18801.54</v>
      </c>
      <c r="T348" s="25" t="str">
        <f>IF(Raw_Data!R339="","Unknown",IF(ISNUMBER(SEARCH("ACT",UPPER(Raw_Data!R339))),"Active",IF(ISNUMBER(SEARCH("CLOS",UPPER(Raw_Data!R339))),"Closed","None")))</f>
        <v>Closed</v>
      </c>
      <c r="U348" s="26">
        <f>IF(Raw_Data!S339="",$C$8,VALUE(Raw_Data!S339))</f>
        <v>764</v>
      </c>
      <c r="V348" s="25" t="str">
        <f>IF(Raw_Data!S339="","Missing-Imputed","Original")</f>
        <v>Original</v>
      </c>
      <c r="W348" s="26">
        <f>Raw_Data!T339</f>
        <v>129</v>
      </c>
      <c r="X348" s="25" t="str">
        <f>IF(ISNUMBER(SEARCH("Y",UPPER(TRIM(Raw_Data!U339)))),"Yes","No")</f>
        <v>Yes</v>
      </c>
      <c r="Y348" s="25" t="str">
        <f>IF(ISNUMBER(SEARCH("Y",UPPER(TRIM(Raw_Data!V339)))),"Yes","No")</f>
        <v>Yes</v>
      </c>
      <c r="Z348" s="26">
        <f>Raw_Data!W339</f>
        <v>4</v>
      </c>
      <c r="AA348" s="26">
        <f>Raw_Data!X339</f>
        <v>8.8000000000000007</v>
      </c>
      <c r="AB348" s="25" t="str">
        <f>IF(COUNTIFS(Raw_Data!$A$2:$A$616,Raw_Data!A339)&gt;1,"Duplicate","Unique")</f>
        <v>Unique</v>
      </c>
      <c r="AC348" s="25" t="str">
        <f t="shared" si="17"/>
        <v>Clean</v>
      </c>
    </row>
    <row r="349" spans="1:29" ht="15" customHeight="1">
      <c r="A349" s="23" t="str">
        <f>Raw_Data!A340</f>
        <v>BYJ1339</v>
      </c>
      <c r="B349" s="23" t="str">
        <f>Raw_Data!B340</f>
        <v>Ronith Maharaj</v>
      </c>
      <c r="C349" s="24">
        <f>IF(OR(Raw_Data!C340="",Raw_Data!C340&lt;$C$5,Raw_Data!C340&gt;$C$6),$C$4,Raw_Data!C340)</f>
        <v>31</v>
      </c>
      <c r="D349" s="23" t="str">
        <f>IF(Raw_Data!C340="","Missing-Imputed",IF(OR(Raw_Data!C340&lt;$C$5,Raw_Data!C340&gt;$C$6),"Outlier-Imputed","Original"))</f>
        <v>Original</v>
      </c>
      <c r="E349" s="23" t="str">
        <f>IF(OR(UPPER(TRIM(Raw_Data!D340))="M",UPPER(TRIM(Raw_Data!D340))="MALE"),"Male","Female")</f>
        <v>Male</v>
      </c>
      <c r="F349" s="23" t="str">
        <f>PROPER(TRIM(Raw_Data!E340))</f>
        <v>Avadi</v>
      </c>
      <c r="G349" s="23" t="str">
        <f>PROPER(TRIM(Raw_Data!F340))</f>
        <v>Maharashtra</v>
      </c>
      <c r="H349" s="23" t="str">
        <f>PROPER(TRIM(Raw_Data!G340))</f>
        <v>Jee Prep</v>
      </c>
      <c r="I349" s="23" t="str">
        <f>PROPER(TRIM(Raw_Data!H340))</f>
        <v>Lucknow Hub</v>
      </c>
      <c r="J349" s="24">
        <f>IF(LEN(TRIM(Raw_Data!I340))=4,VALUE(TRIM(Raw_Data!I340)),IF(ISNUMBER(IFERROR(VALUE(MID(TRIM(Raw_Data!I340),1,4)),"NA")),VALUE(MID(TRIM(Raw_Data!I340),1,4)),VALUE(RIGHT(TRIM(Raw_Data!I340),4))))</f>
        <v>2017</v>
      </c>
      <c r="K349" s="23" t="str">
        <f>PROPER(TRIM(Raw_Data!J340))</f>
        <v>Retired</v>
      </c>
      <c r="L349" s="23" t="str">
        <f t="shared" si="15"/>
        <v>20+</v>
      </c>
      <c r="M349" s="23" t="str">
        <f t="shared" si="16"/>
        <v>Adult Learners</v>
      </c>
      <c r="N349" s="23" t="str">
        <f>IF(ISNUMBER(SEARCH("NON",UPPER(Raw_Data!M340))),"Non-Premium Learner","Premium Learner")</f>
        <v>Premium Learner</v>
      </c>
      <c r="O349" s="23" t="str">
        <f>PROPER(TRIM(Raw_Data!N340))</f>
        <v>Web Only</v>
      </c>
      <c r="P349" s="24">
        <f>IF(Raw_Data!O340="",$C$7,Raw_Data!O340)</f>
        <v>32119.32</v>
      </c>
      <c r="Q349" s="23" t="str">
        <f>IF(Raw_Data!O340="","Missing-Imputed","Original")</f>
        <v>Original</v>
      </c>
      <c r="R349" s="24">
        <f>Raw_Data!P340</f>
        <v>54.6</v>
      </c>
      <c r="S349" s="24">
        <f>Raw_Data!Q340</f>
        <v>27158.45</v>
      </c>
      <c r="T349" s="23" t="str">
        <f>IF(Raw_Data!R340="","Unknown",IF(ISNUMBER(SEARCH("ACT",UPPER(Raw_Data!R340))),"Active",IF(ISNUMBER(SEARCH("CLOS",UPPER(Raw_Data!R340))),"Closed","None")))</f>
        <v>Closed</v>
      </c>
      <c r="U349" s="24">
        <f>IF(Raw_Data!S340="",$C$8,VALUE(Raw_Data!S340))</f>
        <v>863</v>
      </c>
      <c r="V349" s="23" t="str">
        <f>IF(Raw_Data!S340="","Missing-Imputed","Original")</f>
        <v>Original</v>
      </c>
      <c r="W349" s="24">
        <f>Raw_Data!T340</f>
        <v>110</v>
      </c>
      <c r="X349" s="23" t="str">
        <f>IF(ISNUMBER(SEARCH("Y",UPPER(TRIM(Raw_Data!U340)))),"Yes","No")</f>
        <v>Yes</v>
      </c>
      <c r="Y349" s="23" t="str">
        <f>IF(ISNUMBER(SEARCH("Y",UPPER(TRIM(Raw_Data!V340)))),"Yes","No")</f>
        <v>No</v>
      </c>
      <c r="Z349" s="24">
        <f>Raw_Data!W340</f>
        <v>5</v>
      </c>
      <c r="AA349" s="24">
        <f>Raw_Data!X340</f>
        <v>3.3</v>
      </c>
      <c r="AB349" s="23" t="str">
        <f>IF(COUNTIFS(Raw_Data!$A$2:$A$616,Raw_Data!A340)&gt;1,"Duplicate","Unique")</f>
        <v>Unique</v>
      </c>
      <c r="AC349" s="23" t="str">
        <f t="shared" si="17"/>
        <v>Clean</v>
      </c>
    </row>
    <row r="350" spans="1:29" ht="15" customHeight="1">
      <c r="A350" s="25" t="str">
        <f>Raw_Data!A341</f>
        <v>BYJ1340</v>
      </c>
      <c r="B350" s="25" t="str">
        <f>Raw_Data!B341</f>
        <v>Yadavi Ganguly</v>
      </c>
      <c r="C350" s="26">
        <f>IF(OR(Raw_Data!C341="",Raw_Data!C341&lt;$C$5,Raw_Data!C341&gt;$C$6),$C$4,Raw_Data!C341)</f>
        <v>9</v>
      </c>
      <c r="D350" s="25" t="str">
        <f>IF(Raw_Data!C341="","Missing-Imputed",IF(OR(Raw_Data!C341&lt;$C$5,Raw_Data!C341&gt;$C$6),"Outlier-Imputed","Original"))</f>
        <v>Original</v>
      </c>
      <c r="E350" s="25" t="str">
        <f>IF(OR(UPPER(TRIM(Raw_Data!D341))="M",UPPER(TRIM(Raw_Data!D341))="MALE"),"Male","Female")</f>
        <v>Female</v>
      </c>
      <c r="F350" s="25" t="str">
        <f>PROPER(TRIM(Raw_Data!E341))</f>
        <v>Tirunelveli</v>
      </c>
      <c r="G350" s="25" t="str">
        <f>PROPER(TRIM(Raw_Data!F341))</f>
        <v>Delhi</v>
      </c>
      <c r="H350" s="25" t="str">
        <f>PROPER(TRIM(Raw_Data!G341))</f>
        <v>Robotics</v>
      </c>
      <c r="I350" s="25" t="str">
        <f>PROPER(TRIM(Raw_Data!H341))</f>
        <v>Mumbai West</v>
      </c>
      <c r="J350" s="26">
        <f>IF(LEN(TRIM(Raw_Data!I341))=4,VALUE(TRIM(Raw_Data!I341)),IF(ISNUMBER(IFERROR(VALUE(MID(TRIM(Raw_Data!I341),1,4)),"NA")),VALUE(MID(TRIM(Raw_Data!I341),1,4)),VALUE(RIGHT(TRIM(Raw_Data!I341),4))))</f>
        <v>2025</v>
      </c>
      <c r="K350" s="25" t="str">
        <f>PROPER(TRIM(Raw_Data!J341))</f>
        <v>Government Employee</v>
      </c>
      <c r="L350" s="25" t="str">
        <f t="shared" si="15"/>
        <v>Under 10</v>
      </c>
      <c r="M350" s="25" t="str">
        <f t="shared" si="16"/>
        <v>Kids</v>
      </c>
      <c r="N350" s="25" t="str">
        <f>IF(ISNUMBER(SEARCH("NON",UPPER(Raw_Data!M341))),"Non-Premium Learner","Premium Learner")</f>
        <v>Non-Premium Learner</v>
      </c>
      <c r="O350" s="25" t="str">
        <f>PROPER(TRIM(Raw_Data!N341))</f>
        <v>Both App &amp; Web</v>
      </c>
      <c r="P350" s="26">
        <f>IF(Raw_Data!O341="",$C$7,Raw_Data!O341)</f>
        <v>41096.92</v>
      </c>
      <c r="Q350" s="25" t="str">
        <f>IF(Raw_Data!O341="","Missing-Imputed","Original")</f>
        <v>Original</v>
      </c>
      <c r="R350" s="26">
        <f>Raw_Data!P341</f>
        <v>13.6</v>
      </c>
      <c r="S350" s="26">
        <f>Raw_Data!Q341</f>
        <v>53703.51</v>
      </c>
      <c r="T350" s="25" t="str">
        <f>IF(Raw_Data!R341="","Unknown",IF(ISNUMBER(SEARCH("ACT",UPPER(Raw_Data!R341))),"Active",IF(ISNUMBER(SEARCH("CLOS",UPPER(Raw_Data!R341))),"Closed","None")))</f>
        <v>None</v>
      </c>
      <c r="U350" s="26">
        <f>IF(Raw_Data!S341="",$C$8,VALUE(Raw_Data!S341))</f>
        <v>544</v>
      </c>
      <c r="V350" s="25" t="str">
        <f>IF(Raw_Data!S341="","Missing-Imputed","Original")</f>
        <v>Original</v>
      </c>
      <c r="W350" s="26">
        <f>Raw_Data!T341</f>
        <v>25</v>
      </c>
      <c r="X350" s="25" t="str">
        <f>IF(ISNUMBER(SEARCH("Y",UPPER(TRIM(Raw_Data!U341)))),"Yes","No")</f>
        <v>No</v>
      </c>
      <c r="Y350" s="25" t="str">
        <f>IF(ISNUMBER(SEARCH("Y",UPPER(TRIM(Raw_Data!V341)))),"Yes","No")</f>
        <v>No</v>
      </c>
      <c r="Z350" s="26">
        <f>Raw_Data!W341</f>
        <v>4</v>
      </c>
      <c r="AA350" s="26">
        <f>Raw_Data!X341</f>
        <v>1.4</v>
      </c>
      <c r="AB350" s="25" t="str">
        <f>IF(COUNTIFS(Raw_Data!$A$2:$A$616,Raw_Data!A341)&gt;1,"Duplicate","Unique")</f>
        <v>Unique</v>
      </c>
      <c r="AC350" s="25" t="str">
        <f t="shared" si="17"/>
        <v>Clean</v>
      </c>
    </row>
    <row r="351" spans="1:29" ht="15" customHeight="1">
      <c r="A351" s="23" t="str">
        <f>Raw_Data!A342</f>
        <v>BYJ1341</v>
      </c>
      <c r="B351" s="23" t="str">
        <f>Raw_Data!B342</f>
        <v>Benjamin Balakrishnan</v>
      </c>
      <c r="C351" s="24">
        <f>IF(OR(Raw_Data!C342="",Raw_Data!C342&lt;$C$5,Raw_Data!C342&gt;$C$6),$C$4,Raw_Data!C342)</f>
        <v>23</v>
      </c>
      <c r="D351" s="23" t="str">
        <f>IF(Raw_Data!C342="","Missing-Imputed",IF(OR(Raw_Data!C342&lt;$C$5,Raw_Data!C342&gt;$C$6),"Outlier-Imputed","Original"))</f>
        <v>Original</v>
      </c>
      <c r="E351" s="23" t="str">
        <f>IF(OR(UPPER(TRIM(Raw_Data!D342))="M",UPPER(TRIM(Raw_Data!D342))="MALE"),"Male","Female")</f>
        <v>Female</v>
      </c>
      <c r="F351" s="23" t="str">
        <f>PROPER(TRIM(Raw_Data!E342))</f>
        <v>Ranchi</v>
      </c>
      <c r="G351" s="23" t="str">
        <f>PROPER(TRIM(Raw_Data!F342))</f>
        <v>Delhi</v>
      </c>
      <c r="H351" s="23" t="str">
        <f>PROPER(TRIM(Raw_Data!G342))</f>
        <v>Neet Prep</v>
      </c>
      <c r="I351" s="23" t="str">
        <f>PROPER(TRIM(Raw_Data!H342))</f>
        <v>Hyderabad Hub</v>
      </c>
      <c r="J351" s="24">
        <f>IF(LEN(TRIM(Raw_Data!I342))=4,VALUE(TRIM(Raw_Data!I342)),IF(ISNUMBER(IFERROR(VALUE(MID(TRIM(Raw_Data!I342),1,4)),"NA")),VALUE(MID(TRIM(Raw_Data!I342),1,4)),VALUE(RIGHT(TRIM(Raw_Data!I342),4))))</f>
        <v>2025</v>
      </c>
      <c r="K351" s="23" t="str">
        <f>PROPER(TRIM(Raw_Data!J342))</f>
        <v>Salaried</v>
      </c>
      <c r="L351" s="23" t="str">
        <f t="shared" si="15"/>
        <v>20+</v>
      </c>
      <c r="M351" s="23" t="str">
        <f t="shared" si="16"/>
        <v>Adult Learners</v>
      </c>
      <c r="N351" s="23" t="str">
        <f>IF(ISNUMBER(SEARCH("NON",UPPER(Raw_Data!M342))),"Non-Premium Learner","Premium Learner")</f>
        <v>Premium Learner</v>
      </c>
      <c r="O351" s="23" t="str">
        <f>PROPER(TRIM(Raw_Data!N342))</f>
        <v>Both App &amp; Web</v>
      </c>
      <c r="P351" s="24">
        <f>IF(Raw_Data!O342="",$C$7,Raw_Data!O342)</f>
        <v>74129.960000000006</v>
      </c>
      <c r="Q351" s="23" t="str">
        <f>IF(Raw_Data!O342="","Missing-Imputed","Original")</f>
        <v>Original</v>
      </c>
      <c r="R351" s="24">
        <f>Raw_Data!P342</f>
        <v>73</v>
      </c>
      <c r="S351" s="24">
        <f>Raw_Data!Q342</f>
        <v>14317.17</v>
      </c>
      <c r="T351" s="23" t="str">
        <f>IF(Raw_Data!R342="","Unknown",IF(ISNUMBER(SEARCH("ACT",UPPER(Raw_Data!R342))),"Active",IF(ISNUMBER(SEARCH("CLOS",UPPER(Raw_Data!R342))),"Closed","None")))</f>
        <v>Closed</v>
      </c>
      <c r="U351" s="24">
        <f>IF(Raw_Data!S342="",$C$8,VALUE(Raw_Data!S342))</f>
        <v>371</v>
      </c>
      <c r="V351" s="23" t="str">
        <f>IF(Raw_Data!S342="","Missing-Imputed","Original")</f>
        <v>Original</v>
      </c>
      <c r="W351" s="24">
        <f>Raw_Data!T342</f>
        <v>85</v>
      </c>
      <c r="X351" s="23" t="str">
        <f>IF(ISNUMBER(SEARCH("Y",UPPER(TRIM(Raw_Data!U342)))),"Yes","No")</f>
        <v>No</v>
      </c>
      <c r="Y351" s="23" t="str">
        <f>IF(ISNUMBER(SEARCH("Y",UPPER(TRIM(Raw_Data!V342)))),"Yes","No")</f>
        <v>Yes</v>
      </c>
      <c r="Z351" s="24">
        <f>Raw_Data!W342</f>
        <v>4</v>
      </c>
      <c r="AA351" s="24">
        <f>Raw_Data!X342</f>
        <v>3.3</v>
      </c>
      <c r="AB351" s="23" t="str">
        <f>IF(COUNTIFS(Raw_Data!$A$2:$A$616,Raw_Data!A342)&gt;1,"Duplicate","Unique")</f>
        <v>Unique</v>
      </c>
      <c r="AC351" s="23" t="str">
        <f t="shared" si="17"/>
        <v>Clean</v>
      </c>
    </row>
    <row r="352" spans="1:29" ht="15" customHeight="1">
      <c r="A352" s="25" t="str">
        <f>Raw_Data!A343</f>
        <v>BYJ1342</v>
      </c>
      <c r="B352" s="25" t="str">
        <f>Raw_Data!B343</f>
        <v>Shivansh Saha</v>
      </c>
      <c r="C352" s="26">
        <f>IF(OR(Raw_Data!C343="",Raw_Data!C343&lt;$C$5,Raw_Data!C343&gt;$C$6),$C$4,Raw_Data!C343)</f>
        <v>10</v>
      </c>
      <c r="D352" s="25" t="str">
        <f>IF(Raw_Data!C343="","Missing-Imputed",IF(OR(Raw_Data!C343&lt;$C$5,Raw_Data!C343&gt;$C$6),"Outlier-Imputed","Original"))</f>
        <v>Original</v>
      </c>
      <c r="E352" s="25" t="str">
        <f>IF(OR(UPPER(TRIM(Raw_Data!D343))="M",UPPER(TRIM(Raw_Data!D343))="MALE"),"Male","Female")</f>
        <v>Male</v>
      </c>
      <c r="F352" s="25" t="str">
        <f>PROPER(TRIM(Raw_Data!E343))</f>
        <v>Mehsana</v>
      </c>
      <c r="G352" s="25" t="str">
        <f>PROPER(TRIM(Raw_Data!F343))</f>
        <v>Rajasthan</v>
      </c>
      <c r="H352" s="25" t="str">
        <f>PROPER(TRIM(Raw_Data!G343))</f>
        <v>Coding</v>
      </c>
      <c r="I352" s="25" t="str">
        <f>PROPER(TRIM(Raw_Data!H343))</f>
        <v>Ahmedabad Center</v>
      </c>
      <c r="J352" s="26">
        <f>IF(LEN(TRIM(Raw_Data!I343))=4,VALUE(TRIM(Raw_Data!I343)),IF(ISNUMBER(IFERROR(VALUE(MID(TRIM(Raw_Data!I343),1,4)),"NA")),VALUE(MID(TRIM(Raw_Data!I343),1,4)),VALUE(RIGHT(TRIM(Raw_Data!I343),4))))</f>
        <v>2019</v>
      </c>
      <c r="K352" s="25" t="str">
        <f>PROPER(TRIM(Raw_Data!J343))</f>
        <v>Salaried</v>
      </c>
      <c r="L352" s="25" t="str">
        <f t="shared" si="15"/>
        <v>10-13</v>
      </c>
      <c r="M352" s="25" t="str">
        <f t="shared" si="16"/>
        <v>Kids</v>
      </c>
      <c r="N352" s="25" t="str">
        <f>IF(ISNUMBER(SEARCH("NON",UPPER(Raw_Data!M343))),"Non-Premium Learner","Premium Learner")</f>
        <v>Non-Premium Learner</v>
      </c>
      <c r="O352" s="25" t="str">
        <f>PROPER(TRIM(Raw_Data!N343))</f>
        <v>App Only</v>
      </c>
      <c r="P352" s="26">
        <f>IF(Raw_Data!O343="",$C$7,Raw_Data!O343)</f>
        <v>81164.03</v>
      </c>
      <c r="Q352" s="25" t="str">
        <f>IF(Raw_Data!O343="","Missing-Imputed","Original")</f>
        <v>Original</v>
      </c>
      <c r="R352" s="26">
        <f>Raw_Data!P343</f>
        <v>16</v>
      </c>
      <c r="S352" s="26">
        <f>Raw_Data!Q343</f>
        <v>5634.61</v>
      </c>
      <c r="T352" s="25" t="str">
        <f>IF(Raw_Data!R343="","Unknown",IF(ISNUMBER(SEARCH("ACT",UPPER(Raw_Data!R343))),"Active",IF(ISNUMBER(SEARCH("CLOS",UPPER(Raw_Data!R343))),"Closed","None")))</f>
        <v>Closed</v>
      </c>
      <c r="U352" s="26">
        <f>IF(Raw_Data!S343="",$C$8,VALUE(Raw_Data!S343))</f>
        <v>643</v>
      </c>
      <c r="V352" s="25" t="str">
        <f>IF(Raw_Data!S343="","Missing-Imputed","Original")</f>
        <v>Original</v>
      </c>
      <c r="W352" s="26">
        <f>Raw_Data!T343</f>
        <v>188</v>
      </c>
      <c r="X352" s="25" t="str">
        <f>IF(ISNUMBER(SEARCH("Y",UPPER(TRIM(Raw_Data!U343)))),"Yes","No")</f>
        <v>No</v>
      </c>
      <c r="Y352" s="25" t="str">
        <f>IF(ISNUMBER(SEARCH("Y",UPPER(TRIM(Raw_Data!V343)))),"Yes","No")</f>
        <v>No</v>
      </c>
      <c r="Z352" s="26">
        <f>Raw_Data!W343</f>
        <v>3</v>
      </c>
      <c r="AA352" s="26">
        <f>Raw_Data!X343</f>
        <v>4.4000000000000004</v>
      </c>
      <c r="AB352" s="25" t="str">
        <f>IF(COUNTIFS(Raw_Data!$A$2:$A$616,Raw_Data!A343)&gt;1,"Duplicate","Unique")</f>
        <v>Duplicate</v>
      </c>
      <c r="AC352" s="25" t="str">
        <f t="shared" si="17"/>
        <v>Review-Duplicate</v>
      </c>
    </row>
    <row r="353" spans="1:29" ht="15" customHeight="1">
      <c r="A353" s="23" t="str">
        <f>Raw_Data!A344</f>
        <v>BYJ1343</v>
      </c>
      <c r="B353" s="23" t="str">
        <f>Raw_Data!B344</f>
        <v>Chasmum Subramanian</v>
      </c>
      <c r="C353" s="24">
        <f>IF(OR(Raw_Data!C344="",Raw_Data!C344&lt;$C$5,Raw_Data!C344&gt;$C$6),$C$4,Raw_Data!C344)</f>
        <v>27</v>
      </c>
      <c r="D353" s="23" t="str">
        <f>IF(Raw_Data!C344="","Missing-Imputed",IF(OR(Raw_Data!C344&lt;$C$5,Raw_Data!C344&gt;$C$6),"Outlier-Imputed","Original"))</f>
        <v>Original</v>
      </c>
      <c r="E353" s="23" t="str">
        <f>IF(OR(UPPER(TRIM(Raw_Data!D344))="M",UPPER(TRIM(Raw_Data!D344))="MALE"),"Male","Female")</f>
        <v>Female</v>
      </c>
      <c r="F353" s="23" t="str">
        <f>PROPER(TRIM(Raw_Data!E344))</f>
        <v>Machilipatnam</v>
      </c>
      <c r="G353" s="23" t="str">
        <f>PROPER(TRIM(Raw_Data!F344))</f>
        <v>Uttar Pradesh</v>
      </c>
      <c r="H353" s="23" t="str">
        <f>PROPER(TRIM(Raw_Data!G344))</f>
        <v>Coding</v>
      </c>
      <c r="I353" s="23" t="str">
        <f>PROPER(TRIM(Raw_Data!H344))</f>
        <v>Mumbai West</v>
      </c>
      <c r="J353" s="24">
        <f>IF(LEN(TRIM(Raw_Data!I344))=4,VALUE(TRIM(Raw_Data!I344)),IF(ISNUMBER(IFERROR(VALUE(MID(TRIM(Raw_Data!I344),1,4)),"NA")),VALUE(MID(TRIM(Raw_Data!I344),1,4)),VALUE(RIGHT(TRIM(Raw_Data!I344),4))))</f>
        <v>2022</v>
      </c>
      <c r="K353" s="23" t="str">
        <f>PROPER(TRIM(Raw_Data!J344))</f>
        <v>Homemaker</v>
      </c>
      <c r="L353" s="23" t="str">
        <f t="shared" si="15"/>
        <v>20+</v>
      </c>
      <c r="M353" s="23" t="str">
        <f t="shared" si="16"/>
        <v>Adult Learners</v>
      </c>
      <c r="N353" s="23" t="str">
        <f>IF(ISNUMBER(SEARCH("NON",UPPER(Raw_Data!M344))),"Non-Premium Learner","Premium Learner")</f>
        <v>Non-Premium Learner</v>
      </c>
      <c r="O353" s="23" t="str">
        <f>PROPER(TRIM(Raw_Data!N344))</f>
        <v>Both App &amp; Web</v>
      </c>
      <c r="P353" s="24">
        <f>IF(Raw_Data!O344="",$C$7,Raw_Data!O344)</f>
        <v>105891.88</v>
      </c>
      <c r="Q353" s="23" t="str">
        <f>IF(Raw_Data!O344="","Missing-Imputed","Original")</f>
        <v>Original</v>
      </c>
      <c r="R353" s="24">
        <f>Raw_Data!P344</f>
        <v>20.5</v>
      </c>
      <c r="S353" s="24">
        <f>Raw_Data!Q344</f>
        <v>5356.44</v>
      </c>
      <c r="T353" s="23" t="str">
        <f>IF(Raw_Data!R344="","Unknown",IF(ISNUMBER(SEARCH("ACT",UPPER(Raw_Data!R344))),"Active",IF(ISNUMBER(SEARCH("CLOS",UPPER(Raw_Data!R344))),"Closed","None")))</f>
        <v>Closed</v>
      </c>
      <c r="U353" s="24">
        <f>IF(Raw_Data!S344="",$C$8,VALUE(Raw_Data!S344))</f>
        <v>410</v>
      </c>
      <c r="V353" s="23" t="str">
        <f>IF(Raw_Data!S344="","Missing-Imputed","Original")</f>
        <v>Original</v>
      </c>
      <c r="W353" s="24">
        <f>Raw_Data!T344</f>
        <v>160</v>
      </c>
      <c r="X353" s="23" t="str">
        <f>IF(ISNUMBER(SEARCH("Y",UPPER(TRIM(Raw_Data!U344)))),"Yes","No")</f>
        <v>No</v>
      </c>
      <c r="Y353" s="23" t="str">
        <f>IF(ISNUMBER(SEARCH("Y",UPPER(TRIM(Raw_Data!V344)))),"Yes","No")</f>
        <v>No</v>
      </c>
      <c r="Z353" s="24">
        <f>Raw_Data!W344</f>
        <v>3</v>
      </c>
      <c r="AA353" s="24">
        <f>Raw_Data!X344</f>
        <v>3.8</v>
      </c>
      <c r="AB353" s="23" t="str">
        <f>IF(COUNTIFS(Raw_Data!$A$2:$A$616,Raw_Data!A344)&gt;1,"Duplicate","Unique")</f>
        <v>Unique</v>
      </c>
      <c r="AC353" s="23" t="str">
        <f t="shared" si="17"/>
        <v>Clean</v>
      </c>
    </row>
    <row r="354" spans="1:29" ht="15" customHeight="1">
      <c r="A354" s="25" t="str">
        <f>Raw_Data!A345</f>
        <v>BYJ1344</v>
      </c>
      <c r="B354" s="25" t="str">
        <f>Raw_Data!B345</f>
        <v>Sudiksha Bora</v>
      </c>
      <c r="C354" s="26">
        <f>IF(OR(Raw_Data!C345="",Raw_Data!C345&lt;$C$5,Raw_Data!C345&gt;$C$6),$C$4,Raw_Data!C345)</f>
        <v>25</v>
      </c>
      <c r="D354" s="25" t="str">
        <f>IF(Raw_Data!C345="","Missing-Imputed",IF(OR(Raw_Data!C345&lt;$C$5,Raw_Data!C345&gt;$C$6),"Outlier-Imputed","Original"))</f>
        <v>Original</v>
      </c>
      <c r="E354" s="25" t="str">
        <f>IF(OR(UPPER(TRIM(Raw_Data!D345))="M",UPPER(TRIM(Raw_Data!D345))="MALE"),"Male","Female")</f>
        <v>Male</v>
      </c>
      <c r="F354" s="25" t="str">
        <f>PROPER(TRIM(Raw_Data!E345))</f>
        <v>Sangli-Miraj &amp; Kupwad</v>
      </c>
      <c r="G354" s="25" t="str">
        <f>PROPER(TRIM(Raw_Data!F345))</f>
        <v>Gujarat</v>
      </c>
      <c r="H354" s="25" t="str">
        <f>PROPER(TRIM(Raw_Data!G345))</f>
        <v>Mathematics</v>
      </c>
      <c r="I354" s="25" t="str">
        <f>PROPER(TRIM(Raw_Data!H345))</f>
        <v>Kolkata Main</v>
      </c>
      <c r="J354" s="26">
        <f>IF(LEN(TRIM(Raw_Data!I345))=4,VALUE(TRIM(Raw_Data!I345)),IF(ISNUMBER(IFERROR(VALUE(MID(TRIM(Raw_Data!I345),1,4)),"NA")),VALUE(MID(TRIM(Raw_Data!I345),1,4)),VALUE(RIGHT(TRIM(Raw_Data!I345),4))))</f>
        <v>46048</v>
      </c>
      <c r="K354" s="25" t="str">
        <f>PROPER(TRIM(Raw_Data!J345))</f>
        <v>Homemaker</v>
      </c>
      <c r="L354" s="25" t="str">
        <f t="shared" si="15"/>
        <v>20+</v>
      </c>
      <c r="M354" s="25" t="str">
        <f t="shared" si="16"/>
        <v>Adult Learners</v>
      </c>
      <c r="N354" s="25" t="str">
        <f>IF(ISNUMBER(SEARCH("NON",UPPER(Raw_Data!M345))),"Non-Premium Learner","Premium Learner")</f>
        <v>Premium Learner</v>
      </c>
      <c r="O354" s="25" t="str">
        <f>PROPER(TRIM(Raw_Data!N345))</f>
        <v>Both App &amp; Web</v>
      </c>
      <c r="P354" s="26">
        <f>IF(Raw_Data!O345="",$C$7,Raw_Data!O345)</f>
        <v>26334.01</v>
      </c>
      <c r="Q354" s="25" t="str">
        <f>IF(Raw_Data!O345="","Missing-Imputed","Original")</f>
        <v>Original</v>
      </c>
      <c r="R354" s="26">
        <f>Raw_Data!P345</f>
        <v>44.2</v>
      </c>
      <c r="S354" s="26">
        <f>Raw_Data!Q345</f>
        <v>17386.91</v>
      </c>
      <c r="T354" s="25" t="str">
        <f>IF(Raw_Data!R345="","Unknown",IF(ISNUMBER(SEARCH("ACT",UPPER(Raw_Data!R345))),"Active",IF(ISNUMBER(SEARCH("CLOS",UPPER(Raw_Data!R345))),"Closed","None")))</f>
        <v>None</v>
      </c>
      <c r="U354" s="26">
        <f>IF(Raw_Data!S345="",$C$8,VALUE(Raw_Data!S345))</f>
        <v>610</v>
      </c>
      <c r="V354" s="25" t="str">
        <f>IF(Raw_Data!S345="","Missing-Imputed","Original")</f>
        <v>Original</v>
      </c>
      <c r="W354" s="26">
        <f>Raw_Data!T345</f>
        <v>16</v>
      </c>
      <c r="X354" s="25" t="str">
        <f>IF(ISNUMBER(SEARCH("Y",UPPER(TRIM(Raw_Data!U345)))),"Yes","No")</f>
        <v>No</v>
      </c>
      <c r="Y354" s="25" t="str">
        <f>IF(ISNUMBER(SEARCH("Y",UPPER(TRIM(Raw_Data!V345)))),"Yes","No")</f>
        <v>No</v>
      </c>
      <c r="Z354" s="26">
        <f>Raw_Data!W345</f>
        <v>2</v>
      </c>
      <c r="AA354" s="26">
        <f>Raw_Data!X345</f>
        <v>2.9</v>
      </c>
      <c r="AB354" s="25" t="str">
        <f>IF(COUNTIFS(Raw_Data!$A$2:$A$616,Raw_Data!A345)&gt;1,"Duplicate","Unique")</f>
        <v>Unique</v>
      </c>
      <c r="AC354" s="25" t="str">
        <f t="shared" si="17"/>
        <v>Clean</v>
      </c>
    </row>
    <row r="355" spans="1:29" ht="15" customHeight="1">
      <c r="A355" s="23" t="str">
        <f>Raw_Data!A346</f>
        <v>BYJ1345</v>
      </c>
      <c r="B355" s="23" t="str">
        <f>Raw_Data!B346</f>
        <v>Ojasvi Sule</v>
      </c>
      <c r="C355" s="24">
        <f>IF(OR(Raw_Data!C346="",Raw_Data!C346&lt;$C$5,Raw_Data!C346&gt;$C$6),$C$4,Raw_Data!C346)</f>
        <v>25</v>
      </c>
      <c r="D355" s="23" t="str">
        <f>IF(Raw_Data!C346="","Missing-Imputed",IF(OR(Raw_Data!C346&lt;$C$5,Raw_Data!C346&gt;$C$6),"Outlier-Imputed","Original"))</f>
        <v>Original</v>
      </c>
      <c r="E355" s="23" t="str">
        <f>IF(OR(UPPER(TRIM(Raw_Data!D346))="M",UPPER(TRIM(Raw_Data!D346))="MALE"),"Male","Female")</f>
        <v>Male</v>
      </c>
      <c r="F355" s="23" t="str">
        <f>PROPER(TRIM(Raw_Data!E346))</f>
        <v>Kurnool</v>
      </c>
      <c r="G355" s="23" t="str">
        <f>PROPER(TRIM(Raw_Data!F346))</f>
        <v>Tamil Nadu</v>
      </c>
      <c r="H355" s="23" t="str">
        <f>PROPER(TRIM(Raw_Data!G346))</f>
        <v>Coding</v>
      </c>
      <c r="I355" s="23" t="str">
        <f>PROPER(TRIM(Raw_Data!H346))</f>
        <v>Hyderabad Hub</v>
      </c>
      <c r="J355" s="24">
        <f>IF(LEN(TRIM(Raw_Data!I346))=4,VALUE(TRIM(Raw_Data!I346)),IF(ISNUMBER(IFERROR(VALUE(MID(TRIM(Raw_Data!I346),1,4)),"NA")),VALUE(MID(TRIM(Raw_Data!I346),1,4)),VALUE(RIGHT(TRIM(Raw_Data!I346),4))))</f>
        <v>2018</v>
      </c>
      <c r="K355" s="23" t="str">
        <f>PROPER(TRIM(Raw_Data!J346))</f>
        <v>Salaried</v>
      </c>
      <c r="L355" s="23" t="str">
        <f t="shared" si="15"/>
        <v>20+</v>
      </c>
      <c r="M355" s="23" t="str">
        <f t="shared" si="16"/>
        <v>Adult Learners</v>
      </c>
      <c r="N355" s="23" t="str">
        <f>IF(ISNUMBER(SEARCH("NON",UPPER(Raw_Data!M346))),"Non-Premium Learner","Premium Learner")</f>
        <v>Non-Premium Learner</v>
      </c>
      <c r="O355" s="23" t="str">
        <f>PROPER(TRIM(Raw_Data!N346))</f>
        <v>Both App &amp; Web</v>
      </c>
      <c r="P355" s="24">
        <f>IF(Raw_Data!O346="",$C$7,Raw_Data!O346)</f>
        <v>33525.47</v>
      </c>
      <c r="Q355" s="23" t="str">
        <f>IF(Raw_Data!O346="","Missing-Imputed","Original")</f>
        <v>Original</v>
      </c>
      <c r="R355" s="24">
        <f>Raw_Data!P346</f>
        <v>11.1</v>
      </c>
      <c r="S355" s="24">
        <f>Raw_Data!Q346</f>
        <v>13131.47</v>
      </c>
      <c r="T355" s="23" t="str">
        <f>IF(Raw_Data!R346="","Unknown",IF(ISNUMBER(SEARCH("ACT",UPPER(Raw_Data!R346))),"Active",IF(ISNUMBER(SEARCH("CLOS",UPPER(Raw_Data!R346))),"Closed","None")))</f>
        <v>Closed</v>
      </c>
      <c r="U355" s="24">
        <f>IF(Raw_Data!S346="",$C$8,VALUE(Raw_Data!S346))</f>
        <v>554</v>
      </c>
      <c r="V355" s="23" t="str">
        <f>IF(Raw_Data!S346="","Missing-Imputed","Original")</f>
        <v>Original</v>
      </c>
      <c r="W355" s="24">
        <f>Raw_Data!T346</f>
        <v>163</v>
      </c>
      <c r="X355" s="23" t="str">
        <f>IF(ISNUMBER(SEARCH("Y",UPPER(TRIM(Raw_Data!U346)))),"Yes","No")</f>
        <v>No</v>
      </c>
      <c r="Y355" s="23" t="str">
        <f>IF(ISNUMBER(SEARCH("Y",UPPER(TRIM(Raw_Data!V346)))),"Yes","No")</f>
        <v>No</v>
      </c>
      <c r="Z355" s="24">
        <f>Raw_Data!W346</f>
        <v>3</v>
      </c>
      <c r="AA355" s="24">
        <f>Raw_Data!X346</f>
        <v>8.3000000000000007</v>
      </c>
      <c r="AB355" s="23" t="str">
        <f>IF(COUNTIFS(Raw_Data!$A$2:$A$616,Raw_Data!A346)&gt;1,"Duplicate","Unique")</f>
        <v>Unique</v>
      </c>
      <c r="AC355" s="23" t="str">
        <f t="shared" si="17"/>
        <v>Clean</v>
      </c>
    </row>
    <row r="356" spans="1:29" ht="15" customHeight="1">
      <c r="A356" s="25" t="str">
        <f>Raw_Data!A347</f>
        <v>BYJ1346</v>
      </c>
      <c r="B356" s="25" t="str">
        <f>Raw_Data!B347</f>
        <v>Maanas Munshi</v>
      </c>
      <c r="C356" s="26">
        <f>IF(OR(Raw_Data!C347="",Raw_Data!C347&lt;$C$5,Raw_Data!C347&gt;$C$6),$C$4,Raw_Data!C347)</f>
        <v>33</v>
      </c>
      <c r="D356" s="25" t="str">
        <f>IF(Raw_Data!C347="","Missing-Imputed",IF(OR(Raw_Data!C347&lt;$C$5,Raw_Data!C347&gt;$C$6),"Outlier-Imputed","Original"))</f>
        <v>Original</v>
      </c>
      <c r="E356" s="25" t="str">
        <f>IF(OR(UPPER(TRIM(Raw_Data!D347))="M",UPPER(TRIM(Raw_Data!D347))="MALE"),"Male","Female")</f>
        <v>Female</v>
      </c>
      <c r="F356" s="25" t="str">
        <f>PROPER(TRIM(Raw_Data!E347))</f>
        <v>Hapur</v>
      </c>
      <c r="G356" s="25" t="str">
        <f>PROPER(TRIM(Raw_Data!F347))</f>
        <v>Delhi</v>
      </c>
      <c r="H356" s="25" t="str">
        <f>PROPER(TRIM(Raw_Data!G347))</f>
        <v>Jee Prep</v>
      </c>
      <c r="I356" s="25" t="str">
        <f>PROPER(TRIM(Raw_Data!H347))</f>
        <v>Mumbai West</v>
      </c>
      <c r="J356" s="26">
        <f>IF(LEN(TRIM(Raw_Data!I347))=4,VALUE(TRIM(Raw_Data!I347)),IF(ISNUMBER(IFERROR(VALUE(MID(TRIM(Raw_Data!I347),1,4)),"NA")),VALUE(MID(TRIM(Raw_Data!I347),1,4)),VALUE(RIGHT(TRIM(Raw_Data!I347),4))))</f>
        <v>2022</v>
      </c>
      <c r="K356" s="25" t="str">
        <f>PROPER(TRIM(Raw_Data!J347))</f>
        <v>Homemaker</v>
      </c>
      <c r="L356" s="25" t="str">
        <f t="shared" si="15"/>
        <v>20+</v>
      </c>
      <c r="M356" s="25" t="str">
        <f t="shared" si="16"/>
        <v>Adult Learners</v>
      </c>
      <c r="N356" s="25" t="str">
        <f>IF(ISNUMBER(SEARCH("NON",UPPER(Raw_Data!M347))),"Non-Premium Learner","Premium Learner")</f>
        <v>Premium Learner</v>
      </c>
      <c r="O356" s="25" t="str">
        <f>PROPER(TRIM(Raw_Data!N347))</f>
        <v>Both App &amp; Web</v>
      </c>
      <c r="P356" s="26">
        <f>IF(Raw_Data!O347="",$C$7,Raw_Data!O347)</f>
        <v>71867.39</v>
      </c>
      <c r="Q356" s="25" t="str">
        <f>IF(Raw_Data!O347="","Missing-Imputed","Original")</f>
        <v>Original</v>
      </c>
      <c r="R356" s="26">
        <f>Raw_Data!P347</f>
        <v>63.7</v>
      </c>
      <c r="S356" s="26">
        <f>Raw_Data!Q347</f>
        <v>50031.14</v>
      </c>
      <c r="T356" s="25" t="str">
        <f>IF(Raw_Data!R347="","Unknown",IF(ISNUMBER(SEARCH("ACT",UPPER(Raw_Data!R347))),"Active",IF(ISNUMBER(SEARCH("CLOS",UPPER(Raw_Data!R347))),"Closed","None")))</f>
        <v>Active</v>
      </c>
      <c r="U356" s="26">
        <f>IF(Raw_Data!S347="",$C$8,VALUE(Raw_Data!S347))</f>
        <v>839</v>
      </c>
      <c r="V356" s="25" t="str">
        <f>IF(Raw_Data!S347="","Missing-Imputed","Original")</f>
        <v>Original</v>
      </c>
      <c r="W356" s="26">
        <f>Raw_Data!T347</f>
        <v>80</v>
      </c>
      <c r="X356" s="25" t="str">
        <f>IF(ISNUMBER(SEARCH("Y",UPPER(TRIM(Raw_Data!U347)))),"Yes","No")</f>
        <v>No</v>
      </c>
      <c r="Y356" s="25" t="str">
        <f>IF(ISNUMBER(SEARCH("Y",UPPER(TRIM(Raw_Data!V347)))),"Yes","No")</f>
        <v>No</v>
      </c>
      <c r="Z356" s="26">
        <f>Raw_Data!W347</f>
        <v>4</v>
      </c>
      <c r="AA356" s="26">
        <f>Raw_Data!X347</f>
        <v>4.0999999999999996</v>
      </c>
      <c r="AB356" s="25" t="str">
        <f>IF(COUNTIFS(Raw_Data!$A$2:$A$616,Raw_Data!A347)&gt;1,"Duplicate","Unique")</f>
        <v>Unique</v>
      </c>
      <c r="AC356" s="25" t="str">
        <f t="shared" si="17"/>
        <v>Clean</v>
      </c>
    </row>
    <row r="357" spans="1:29" ht="15" customHeight="1">
      <c r="A357" s="23" t="str">
        <f>Raw_Data!A348</f>
        <v>BYJ1347</v>
      </c>
      <c r="B357" s="23" t="str">
        <f>Raw_Data!B348</f>
        <v>Kalpit Prabhakar</v>
      </c>
      <c r="C357" s="24">
        <f>IF(OR(Raw_Data!C348="",Raw_Data!C348&lt;$C$5,Raw_Data!C348&gt;$C$6),$C$4,Raw_Data!C348)</f>
        <v>24</v>
      </c>
      <c r="D357" s="23" t="str">
        <f>IF(Raw_Data!C348="","Missing-Imputed",IF(OR(Raw_Data!C348&lt;$C$5,Raw_Data!C348&gt;$C$6),"Outlier-Imputed","Original"))</f>
        <v>Missing-Imputed</v>
      </c>
      <c r="E357" s="23" t="str">
        <f>IF(OR(UPPER(TRIM(Raw_Data!D348))="M",UPPER(TRIM(Raw_Data!D348))="MALE"),"Male","Female")</f>
        <v>Male</v>
      </c>
      <c r="F357" s="23" t="str">
        <f>PROPER(TRIM(Raw_Data!E348))</f>
        <v>Imphal</v>
      </c>
      <c r="G357" s="23" t="str">
        <f>PROPER(TRIM(Raw_Data!F348))</f>
        <v>Maharashtra</v>
      </c>
      <c r="H357" s="23" t="str">
        <f>PROPER(TRIM(Raw_Data!G348))</f>
        <v>Jee Prep</v>
      </c>
      <c r="I357" s="23" t="str">
        <f>PROPER(TRIM(Raw_Data!H348))</f>
        <v>Delhi North</v>
      </c>
      <c r="J357" s="24">
        <f>IF(LEN(TRIM(Raw_Data!I348))=4,VALUE(TRIM(Raw_Data!I348)),IF(ISNUMBER(IFERROR(VALUE(MID(TRIM(Raw_Data!I348),1,4)),"NA")),VALUE(MID(TRIM(Raw_Data!I348),1,4)),VALUE(RIGHT(TRIM(Raw_Data!I348),4))))</f>
        <v>2025</v>
      </c>
      <c r="K357" s="23" t="str">
        <f>PROPER(TRIM(Raw_Data!J348))</f>
        <v>Government Employee</v>
      </c>
      <c r="L357" s="23" t="str">
        <f t="shared" si="15"/>
        <v>20+</v>
      </c>
      <c r="M357" s="23" t="str">
        <f t="shared" si="16"/>
        <v>Adult Learners</v>
      </c>
      <c r="N357" s="23" t="str">
        <f>IF(ISNUMBER(SEARCH("NON",UPPER(Raw_Data!M348))),"Non-Premium Learner","Premium Learner")</f>
        <v>Non-Premium Learner</v>
      </c>
      <c r="O357" s="23" t="str">
        <f>PROPER(TRIM(Raw_Data!N348))</f>
        <v>Web Only</v>
      </c>
      <c r="P357" s="24">
        <f>IF(Raw_Data!O348="",$C$7,Raw_Data!O348)</f>
        <v>12762.72</v>
      </c>
      <c r="Q357" s="23" t="str">
        <f>IF(Raw_Data!O348="","Missing-Imputed","Original")</f>
        <v>Original</v>
      </c>
      <c r="R357" s="24">
        <f>Raw_Data!P348</f>
        <v>14.4</v>
      </c>
      <c r="S357" s="24">
        <f>Raw_Data!Q348</f>
        <v>40204.75</v>
      </c>
      <c r="T357" s="23" t="str">
        <f>IF(Raw_Data!R348="","Unknown",IF(ISNUMBER(SEARCH("ACT",UPPER(Raw_Data!R348))),"Active",IF(ISNUMBER(SEARCH("CLOS",UPPER(Raw_Data!R348))),"Closed","None")))</f>
        <v>Closed</v>
      </c>
      <c r="U357" s="24">
        <f>IF(Raw_Data!S348="",$C$8,VALUE(Raw_Data!S348))</f>
        <v>771</v>
      </c>
      <c r="V357" s="23" t="str">
        <f>IF(Raw_Data!S348="","Missing-Imputed","Original")</f>
        <v>Original</v>
      </c>
      <c r="W357" s="24">
        <f>Raw_Data!T348</f>
        <v>21</v>
      </c>
      <c r="X357" s="23" t="str">
        <f>IF(ISNUMBER(SEARCH("Y",UPPER(TRIM(Raw_Data!U348)))),"Yes","No")</f>
        <v>Yes</v>
      </c>
      <c r="Y357" s="23" t="str">
        <f>IF(ISNUMBER(SEARCH("Y",UPPER(TRIM(Raw_Data!V348)))),"Yes","No")</f>
        <v>Yes</v>
      </c>
      <c r="Z357" s="24">
        <f>Raw_Data!W348</f>
        <v>5</v>
      </c>
      <c r="AA357" s="24">
        <f>Raw_Data!X348</f>
        <v>1.3</v>
      </c>
      <c r="AB357" s="23" t="str">
        <f>IF(COUNTIFS(Raw_Data!$A$2:$A$616,Raw_Data!A348)&gt;1,"Duplicate","Unique")</f>
        <v>Unique</v>
      </c>
      <c r="AC357" s="23" t="str">
        <f t="shared" si="17"/>
        <v>Imputed</v>
      </c>
    </row>
    <row r="358" spans="1:29" ht="15" customHeight="1">
      <c r="A358" s="25" t="str">
        <f>Raw_Data!A349</f>
        <v>BYJ1348</v>
      </c>
      <c r="B358" s="25" t="str">
        <f>Raw_Data!B349</f>
        <v>Unnati Das</v>
      </c>
      <c r="C358" s="26">
        <f>IF(OR(Raw_Data!C349="",Raw_Data!C349&lt;$C$5,Raw_Data!C349&gt;$C$6),$C$4,Raw_Data!C349)</f>
        <v>27</v>
      </c>
      <c r="D358" s="25" t="str">
        <f>IF(Raw_Data!C349="","Missing-Imputed",IF(OR(Raw_Data!C349&lt;$C$5,Raw_Data!C349&gt;$C$6),"Outlier-Imputed","Original"))</f>
        <v>Original</v>
      </c>
      <c r="E358" s="25" t="str">
        <f>IF(OR(UPPER(TRIM(Raw_Data!D349))="M",UPPER(TRIM(Raw_Data!D349))="MALE"),"Male","Female")</f>
        <v>Male</v>
      </c>
      <c r="F358" s="25" t="str">
        <f>PROPER(TRIM(Raw_Data!E349))</f>
        <v>Hospet</v>
      </c>
      <c r="G358" s="25" t="str">
        <f>PROPER(TRIM(Raw_Data!F349))</f>
        <v>Uttar Pradesh</v>
      </c>
      <c r="H358" s="25" t="str">
        <f>PROPER(TRIM(Raw_Data!G349))</f>
        <v>Coding</v>
      </c>
      <c r="I358" s="25" t="str">
        <f>PROPER(TRIM(Raw_Data!H349))</f>
        <v>Delhi North</v>
      </c>
      <c r="J358" s="26">
        <f>IF(LEN(TRIM(Raw_Data!I349))=4,VALUE(TRIM(Raw_Data!I349)),IF(ISNUMBER(IFERROR(VALUE(MID(TRIM(Raw_Data!I349),1,4)),"NA")),VALUE(MID(TRIM(Raw_Data!I349),1,4)),VALUE(RIGHT(TRIM(Raw_Data!I349),4))))</f>
        <v>2024</v>
      </c>
      <c r="K358" s="25" t="str">
        <f>PROPER(TRIM(Raw_Data!J349))</f>
        <v>Business</v>
      </c>
      <c r="L358" s="25" t="str">
        <f t="shared" si="15"/>
        <v>20+</v>
      </c>
      <c r="M358" s="25" t="str">
        <f t="shared" si="16"/>
        <v>Adult Learners</v>
      </c>
      <c r="N358" s="25" t="str">
        <f>IF(ISNUMBER(SEARCH("NON",UPPER(Raw_Data!M349))),"Non-Premium Learner","Premium Learner")</f>
        <v>Premium Learner</v>
      </c>
      <c r="O358" s="25" t="str">
        <f>PROPER(TRIM(Raw_Data!N349))</f>
        <v>App Only</v>
      </c>
      <c r="P358" s="26">
        <f>IF(Raw_Data!O349="",$C$7,Raw_Data!O349)</f>
        <v>48629.37</v>
      </c>
      <c r="Q358" s="25" t="str">
        <f>IF(Raw_Data!O349="","Missing-Imputed","Original")</f>
        <v>Original</v>
      </c>
      <c r="R358" s="26">
        <f>Raw_Data!P349</f>
        <v>79.2</v>
      </c>
      <c r="S358" s="26">
        <f>Raw_Data!Q349</f>
        <v>387.05</v>
      </c>
      <c r="T358" s="25" t="str">
        <f>IF(Raw_Data!R349="","Unknown",IF(ISNUMBER(SEARCH("ACT",UPPER(Raw_Data!R349))),"Active",IF(ISNUMBER(SEARCH("CLOS",UPPER(Raw_Data!R349))),"Closed","None")))</f>
        <v>Closed</v>
      </c>
      <c r="U358" s="26">
        <f>IF(Raw_Data!S349="",$C$8,VALUE(Raw_Data!S349))</f>
        <v>505</v>
      </c>
      <c r="V358" s="25" t="str">
        <f>IF(Raw_Data!S349="","Missing-Imputed","Original")</f>
        <v>Original</v>
      </c>
      <c r="W358" s="26">
        <f>Raw_Data!T349</f>
        <v>0</v>
      </c>
      <c r="X358" s="25" t="str">
        <f>IF(ISNUMBER(SEARCH("Y",UPPER(TRIM(Raw_Data!U349)))),"Yes","No")</f>
        <v>Yes</v>
      </c>
      <c r="Y358" s="25" t="str">
        <f>IF(ISNUMBER(SEARCH("Y",UPPER(TRIM(Raw_Data!V349)))),"Yes","No")</f>
        <v>Yes</v>
      </c>
      <c r="Z358" s="26">
        <f>Raw_Data!W349</f>
        <v>2</v>
      </c>
      <c r="AA358" s="26">
        <f>Raw_Data!X349</f>
        <v>1.4</v>
      </c>
      <c r="AB358" s="25" t="str">
        <f>IF(COUNTIFS(Raw_Data!$A$2:$A$616,Raw_Data!A349)&gt;1,"Duplicate","Unique")</f>
        <v>Unique</v>
      </c>
      <c r="AC358" s="25" t="str">
        <f t="shared" si="17"/>
        <v>Clean</v>
      </c>
    </row>
    <row r="359" spans="1:29" ht="15" customHeight="1">
      <c r="A359" s="23" t="str">
        <f>Raw_Data!A350</f>
        <v>BYJ1349</v>
      </c>
      <c r="B359" s="23" t="str">
        <f>Raw_Data!B350</f>
        <v xml:space="preserve">  Lohit Chatterjee  </v>
      </c>
      <c r="C359" s="24">
        <f>IF(OR(Raw_Data!C350="",Raw_Data!C350&lt;$C$5,Raw_Data!C350&gt;$C$6),$C$4,Raw_Data!C350)</f>
        <v>31</v>
      </c>
      <c r="D359" s="23" t="str">
        <f>IF(Raw_Data!C350="","Missing-Imputed",IF(OR(Raw_Data!C350&lt;$C$5,Raw_Data!C350&gt;$C$6),"Outlier-Imputed","Original"))</f>
        <v>Original</v>
      </c>
      <c r="E359" s="23" t="str">
        <f>IF(OR(UPPER(TRIM(Raw_Data!D350))="M",UPPER(TRIM(Raw_Data!D350))="MALE"),"Male","Female")</f>
        <v>Male</v>
      </c>
      <c r="F359" s="23" t="str">
        <f>PROPER(TRIM(Raw_Data!E350))</f>
        <v>Ramagundam</v>
      </c>
      <c r="G359" s="23" t="str">
        <f>PROPER(TRIM(Raw_Data!F350))</f>
        <v>Rajasthan</v>
      </c>
      <c r="H359" s="23" t="str">
        <f>PROPER(TRIM(Raw_Data!G350))</f>
        <v>Science</v>
      </c>
      <c r="I359" s="23" t="str">
        <f>PROPER(TRIM(Raw_Data!H350))</f>
        <v>Delhi North</v>
      </c>
      <c r="J359" s="24">
        <f>IF(LEN(TRIM(Raw_Data!I350))=4,VALUE(TRIM(Raw_Data!I350)),IF(ISNUMBER(IFERROR(VALUE(MID(TRIM(Raw_Data!I350),1,4)),"NA")),VALUE(MID(TRIM(Raw_Data!I350),1,4)),VALUE(RIGHT(TRIM(Raw_Data!I350),4))))</f>
        <v>2024</v>
      </c>
      <c r="K359" s="23" t="str">
        <f>PROPER(TRIM(Raw_Data!J350))</f>
        <v>Retired</v>
      </c>
      <c r="L359" s="23" t="str">
        <f t="shared" si="15"/>
        <v>20+</v>
      </c>
      <c r="M359" s="23" t="str">
        <f t="shared" si="16"/>
        <v>Adult Learners</v>
      </c>
      <c r="N359" s="23" t="str">
        <f>IF(ISNUMBER(SEARCH("NON",UPPER(Raw_Data!M350))),"Non-Premium Learner","Premium Learner")</f>
        <v>Non-Premium Learner</v>
      </c>
      <c r="O359" s="23" t="str">
        <f>PROPER(TRIM(Raw_Data!N350))</f>
        <v>Both App &amp; Web</v>
      </c>
      <c r="P359" s="24">
        <f>IF(Raw_Data!O350="",$C$7,Raw_Data!O350)</f>
        <v>8140.39</v>
      </c>
      <c r="Q359" s="23" t="str">
        <f>IF(Raw_Data!O350="","Missing-Imputed","Original")</f>
        <v>Original</v>
      </c>
      <c r="R359" s="24">
        <f>Raw_Data!P350</f>
        <v>60.8</v>
      </c>
      <c r="S359" s="24">
        <f>Raw_Data!Q350</f>
        <v>14440.91</v>
      </c>
      <c r="T359" s="23" t="str">
        <f>IF(Raw_Data!R350="","Unknown",IF(ISNUMBER(SEARCH("ACT",UPPER(Raw_Data!R350))),"Active",IF(ISNUMBER(SEARCH("CLOS",UPPER(Raw_Data!R350))),"Closed","None")))</f>
        <v>Unknown</v>
      </c>
      <c r="U359" s="24">
        <f>IF(Raw_Data!S350="",$C$8,VALUE(Raw_Data!S350))</f>
        <v>505</v>
      </c>
      <c r="V359" s="23" t="str">
        <f>IF(Raw_Data!S350="","Missing-Imputed","Original")</f>
        <v>Original</v>
      </c>
      <c r="W359" s="24">
        <f>Raw_Data!T350</f>
        <v>74</v>
      </c>
      <c r="X359" s="23" t="str">
        <f>IF(ISNUMBER(SEARCH("Y",UPPER(TRIM(Raw_Data!U350)))),"Yes","No")</f>
        <v>No</v>
      </c>
      <c r="Y359" s="23" t="str">
        <f>IF(ISNUMBER(SEARCH("Y",UPPER(TRIM(Raw_Data!V350)))),"Yes","No")</f>
        <v>No</v>
      </c>
      <c r="Z359" s="24">
        <f>Raw_Data!W350</f>
        <v>3</v>
      </c>
      <c r="AA359" s="24">
        <f>Raw_Data!X350</f>
        <v>3.8</v>
      </c>
      <c r="AB359" s="23" t="str">
        <f>IF(COUNTIFS(Raw_Data!$A$2:$A$616,Raw_Data!A350)&gt;1,"Duplicate","Unique")</f>
        <v>Unique</v>
      </c>
      <c r="AC359" s="23" t="str">
        <f t="shared" si="17"/>
        <v>Clean</v>
      </c>
    </row>
    <row r="360" spans="1:29" ht="15" customHeight="1">
      <c r="A360" s="25" t="str">
        <f>Raw_Data!A351</f>
        <v>BYJ1350</v>
      </c>
      <c r="B360" s="25" t="str">
        <f>Raw_Data!B351</f>
        <v>Omya Kothari</v>
      </c>
      <c r="C360" s="26">
        <f>IF(OR(Raw_Data!C351="",Raw_Data!C351&lt;$C$5,Raw_Data!C351&gt;$C$6),$C$4,Raw_Data!C351)</f>
        <v>32</v>
      </c>
      <c r="D360" s="25" t="str">
        <f>IF(Raw_Data!C351="","Missing-Imputed",IF(OR(Raw_Data!C351&lt;$C$5,Raw_Data!C351&gt;$C$6),"Outlier-Imputed","Original"))</f>
        <v>Original</v>
      </c>
      <c r="E360" s="25" t="str">
        <f>IF(OR(UPPER(TRIM(Raw_Data!D351))="M",UPPER(TRIM(Raw_Data!D351))="MALE"),"Male","Female")</f>
        <v>Female</v>
      </c>
      <c r="F360" s="25" t="str">
        <f>PROPER(TRIM(Raw_Data!E351))</f>
        <v>Khammam</v>
      </c>
      <c r="G360" s="25" t="str">
        <f>PROPER(TRIM(Raw_Data!F351))</f>
        <v>Rajasthan</v>
      </c>
      <c r="H360" s="25" t="str">
        <f>PROPER(TRIM(Raw_Data!G351))</f>
        <v>Mathematics</v>
      </c>
      <c r="I360" s="25" t="str">
        <f>PROPER(TRIM(Raw_Data!H351))</f>
        <v>Lucknow Hub</v>
      </c>
      <c r="J360" s="26">
        <f>IF(LEN(TRIM(Raw_Data!I351))=4,VALUE(TRIM(Raw_Data!I351)),IF(ISNUMBER(IFERROR(VALUE(MID(TRIM(Raw_Data!I351),1,4)),"NA")),VALUE(MID(TRIM(Raw_Data!I351),1,4)),VALUE(RIGHT(TRIM(Raw_Data!I351),4))))</f>
        <v>2022</v>
      </c>
      <c r="K360" s="25" t="str">
        <f>PROPER(TRIM(Raw_Data!J351))</f>
        <v>Salaried</v>
      </c>
      <c r="L360" s="25" t="str">
        <f t="shared" si="15"/>
        <v>20+</v>
      </c>
      <c r="M360" s="25" t="str">
        <f t="shared" si="16"/>
        <v>Adult Learners</v>
      </c>
      <c r="N360" s="25" t="str">
        <f>IF(ISNUMBER(SEARCH("NON",UPPER(Raw_Data!M351))),"Non-Premium Learner","Premium Learner")</f>
        <v>Non-Premium Learner</v>
      </c>
      <c r="O360" s="25" t="str">
        <f>PROPER(TRIM(Raw_Data!N351))</f>
        <v>Both App &amp; Web</v>
      </c>
      <c r="P360" s="26">
        <f>IF(Raw_Data!O351="",$C$7,Raw_Data!O351)</f>
        <v>69449.509999999995</v>
      </c>
      <c r="Q360" s="25" t="str">
        <f>IF(Raw_Data!O351="","Missing-Imputed","Original")</f>
        <v>Original</v>
      </c>
      <c r="R360" s="26">
        <f>Raw_Data!P351</f>
        <v>31.6</v>
      </c>
      <c r="S360" s="26">
        <f>Raw_Data!Q351</f>
        <v>8358.2099999999991</v>
      </c>
      <c r="T360" s="25" t="str">
        <f>IF(Raw_Data!R351="","Unknown",IF(ISNUMBER(SEARCH("ACT",UPPER(Raw_Data!R351))),"Active",IF(ISNUMBER(SEARCH("CLOS",UPPER(Raw_Data!R351))),"Closed","None")))</f>
        <v>None</v>
      </c>
      <c r="U360" s="26" t="e">
        <f>IF(Raw_Data!S351="",$C$8,VALUE(Raw_Data!S351))</f>
        <v>#VALUE!</v>
      </c>
      <c r="V360" s="25" t="str">
        <f>IF(Raw_Data!S351="","Missing-Imputed","Original")</f>
        <v>Original</v>
      </c>
      <c r="W360" s="26">
        <f>Raw_Data!T351</f>
        <v>40</v>
      </c>
      <c r="X360" s="25" t="str">
        <f>IF(ISNUMBER(SEARCH("Y",UPPER(TRIM(Raw_Data!U351)))),"Yes","No")</f>
        <v>No</v>
      </c>
      <c r="Y360" s="25" t="str">
        <f>IF(ISNUMBER(SEARCH("Y",UPPER(TRIM(Raw_Data!V351)))),"Yes","No")</f>
        <v>No</v>
      </c>
      <c r="Z360" s="26">
        <f>Raw_Data!W351</f>
        <v>5</v>
      </c>
      <c r="AA360" s="26">
        <f>Raw_Data!X351</f>
        <v>1</v>
      </c>
      <c r="AB360" s="25" t="str">
        <f>IF(COUNTIFS(Raw_Data!$A$2:$A$616,Raw_Data!A351)&gt;1,"Duplicate","Unique")</f>
        <v>Unique</v>
      </c>
      <c r="AC360" s="25" t="str">
        <f t="shared" si="17"/>
        <v>Clean</v>
      </c>
    </row>
    <row r="361" spans="1:29" ht="15" customHeight="1">
      <c r="A361" s="23" t="str">
        <f>Raw_Data!A352</f>
        <v>BYJ1351</v>
      </c>
      <c r="B361" s="23" t="str">
        <f>Raw_Data!B352</f>
        <v>Ranveer Dutta</v>
      </c>
      <c r="C361" s="24">
        <f>IF(OR(Raw_Data!C352="",Raw_Data!C352&lt;$C$5,Raw_Data!C352&gt;$C$6),$C$4,Raw_Data!C352)</f>
        <v>42</v>
      </c>
      <c r="D361" s="23" t="str">
        <f>IF(Raw_Data!C352="","Missing-Imputed",IF(OR(Raw_Data!C352&lt;$C$5,Raw_Data!C352&gt;$C$6),"Outlier-Imputed","Original"))</f>
        <v>Original</v>
      </c>
      <c r="E361" s="23" t="str">
        <f>IF(OR(UPPER(TRIM(Raw_Data!D352))="M",UPPER(TRIM(Raw_Data!D352))="MALE"),"Male","Female")</f>
        <v>Female</v>
      </c>
      <c r="F361" s="23" t="str">
        <f>PROPER(TRIM(Raw_Data!E352))</f>
        <v>Kottayam</v>
      </c>
      <c r="G361" s="23" t="str">
        <f>PROPER(TRIM(Raw_Data!F352))</f>
        <v>Maharashtra</v>
      </c>
      <c r="H361" s="23" t="str">
        <f>PROPER(TRIM(Raw_Data!G352))</f>
        <v>Jee Prep</v>
      </c>
      <c r="I361" s="23" t="str">
        <f>PROPER(TRIM(Raw_Data!H352))</f>
        <v>Hyderabad Hub</v>
      </c>
      <c r="J361" s="24">
        <f>IF(LEN(TRIM(Raw_Data!I352))=4,VALUE(TRIM(Raw_Data!I352)),IF(ISNUMBER(IFERROR(VALUE(MID(TRIM(Raw_Data!I352),1,4)),"NA")),VALUE(MID(TRIM(Raw_Data!I352),1,4)),VALUE(RIGHT(TRIM(Raw_Data!I352),4))))</f>
        <v>2022</v>
      </c>
      <c r="K361" s="23" t="str">
        <f>PROPER(TRIM(Raw_Data!J352))</f>
        <v>Self-Employed</v>
      </c>
      <c r="L361" s="23" t="str">
        <f t="shared" si="15"/>
        <v>20+</v>
      </c>
      <c r="M361" s="23" t="str">
        <f t="shared" si="16"/>
        <v>Adult Learners</v>
      </c>
      <c r="N361" s="23" t="str">
        <f>IF(ISNUMBER(SEARCH("NON",UPPER(Raw_Data!M352))),"Non-Premium Learner","Premium Learner")</f>
        <v>Non-Premium Learner</v>
      </c>
      <c r="O361" s="23" t="str">
        <f>PROPER(TRIM(Raw_Data!N352))</f>
        <v>App Only</v>
      </c>
      <c r="P361" s="24">
        <f>IF(Raw_Data!O352="",$C$7,Raw_Data!O352)</f>
        <v>88525.65</v>
      </c>
      <c r="Q361" s="23" t="str">
        <f>IF(Raw_Data!O352="","Missing-Imputed","Original")</f>
        <v>Original</v>
      </c>
      <c r="R361" s="24">
        <f>Raw_Data!P352</f>
        <v>63.2</v>
      </c>
      <c r="S361" s="24">
        <f>Raw_Data!Q352</f>
        <v>31526.03</v>
      </c>
      <c r="T361" s="23" t="str">
        <f>IF(Raw_Data!R352="","Unknown",IF(ISNUMBER(SEARCH("ACT",UPPER(Raw_Data!R352))),"Active",IF(ISNUMBER(SEARCH("CLOS",UPPER(Raw_Data!R352))),"Closed","None")))</f>
        <v>Active</v>
      </c>
      <c r="U361" s="24">
        <f>IF(Raw_Data!S352="",$C$8,VALUE(Raw_Data!S352))</f>
        <v>894</v>
      </c>
      <c r="V361" s="23" t="str">
        <f>IF(Raw_Data!S352="","Missing-Imputed","Original")</f>
        <v>Original</v>
      </c>
      <c r="W361" s="24">
        <f>Raw_Data!T352</f>
        <v>158</v>
      </c>
      <c r="X361" s="23" t="str">
        <f>IF(ISNUMBER(SEARCH("Y",UPPER(TRIM(Raw_Data!U352)))),"Yes","No")</f>
        <v>No</v>
      </c>
      <c r="Y361" s="23" t="str">
        <f>IF(ISNUMBER(SEARCH("Y",UPPER(TRIM(Raw_Data!V352)))),"Yes","No")</f>
        <v>Yes</v>
      </c>
      <c r="Z361" s="24">
        <f>Raw_Data!W352</f>
        <v>2</v>
      </c>
      <c r="AA361" s="24">
        <f>Raw_Data!X352</f>
        <v>2.5</v>
      </c>
      <c r="AB361" s="23" t="str">
        <f>IF(COUNTIFS(Raw_Data!$A$2:$A$616,Raw_Data!A352)&gt;1,"Duplicate","Unique")</f>
        <v>Unique</v>
      </c>
      <c r="AC361" s="23" t="str">
        <f t="shared" si="17"/>
        <v>Clean</v>
      </c>
    </row>
    <row r="362" spans="1:29" ht="15" customHeight="1">
      <c r="A362" s="25" t="str">
        <f>Raw_Data!A353</f>
        <v>BYJ1352</v>
      </c>
      <c r="B362" s="25" t="str">
        <f>Raw_Data!B353</f>
        <v>Wishi Morar</v>
      </c>
      <c r="C362" s="26">
        <f>IF(OR(Raw_Data!C353="",Raw_Data!C353&lt;$C$5,Raw_Data!C353&gt;$C$6),$C$4,Raw_Data!C353)</f>
        <v>36</v>
      </c>
      <c r="D362" s="25" t="str">
        <f>IF(Raw_Data!C353="","Missing-Imputed",IF(OR(Raw_Data!C353&lt;$C$5,Raw_Data!C353&gt;$C$6),"Outlier-Imputed","Original"))</f>
        <v>Original</v>
      </c>
      <c r="E362" s="25" t="str">
        <f>IF(OR(UPPER(TRIM(Raw_Data!D353))="M",UPPER(TRIM(Raw_Data!D353))="MALE"),"Male","Female")</f>
        <v>Female</v>
      </c>
      <c r="F362" s="25" t="str">
        <f>PROPER(TRIM(Raw_Data!E353))</f>
        <v>Lucknow</v>
      </c>
      <c r="G362" s="25" t="str">
        <f>PROPER(TRIM(Raw_Data!F353))</f>
        <v>Delhi</v>
      </c>
      <c r="H362" s="25" t="str">
        <f>PROPER(TRIM(Raw_Data!G353))</f>
        <v>Mathematics</v>
      </c>
      <c r="I362" s="25" t="str">
        <f>PROPER(TRIM(Raw_Data!H353))</f>
        <v>Mumbai West</v>
      </c>
      <c r="J362" s="26">
        <f>IF(LEN(TRIM(Raw_Data!I353))=4,VALUE(TRIM(Raw_Data!I353)),IF(ISNUMBER(IFERROR(VALUE(MID(TRIM(Raw_Data!I353),1,4)),"NA")),VALUE(MID(TRIM(Raw_Data!I353),1,4)),VALUE(RIGHT(TRIM(Raw_Data!I353),4))))</f>
        <v>2022</v>
      </c>
      <c r="K362" s="25" t="str">
        <f>PROPER(TRIM(Raw_Data!J353))</f>
        <v>Government Employee</v>
      </c>
      <c r="L362" s="25" t="str">
        <f t="shared" si="15"/>
        <v>20+</v>
      </c>
      <c r="M362" s="25" t="str">
        <f t="shared" si="16"/>
        <v>Adult Learners</v>
      </c>
      <c r="N362" s="25" t="str">
        <f>IF(ISNUMBER(SEARCH("NON",UPPER(Raw_Data!M353))),"Non-Premium Learner","Premium Learner")</f>
        <v>Premium Learner</v>
      </c>
      <c r="O362" s="25" t="str">
        <f>PROPER(TRIM(Raw_Data!N353))</f>
        <v>Both App &amp; Web</v>
      </c>
      <c r="P362" s="26">
        <f>IF(Raw_Data!O353="",$C$7,Raw_Data!O353)</f>
        <v>15567.85</v>
      </c>
      <c r="Q362" s="25" t="str">
        <f>IF(Raw_Data!O353="","Missing-Imputed","Original")</f>
        <v>Original</v>
      </c>
      <c r="R362" s="26">
        <f>Raw_Data!P353</f>
        <v>50.5</v>
      </c>
      <c r="S362" s="26">
        <f>Raw_Data!Q353</f>
        <v>50440.76</v>
      </c>
      <c r="T362" s="25" t="str">
        <f>IF(Raw_Data!R353="","Unknown",IF(ISNUMBER(SEARCH("ACT",UPPER(Raw_Data!R353))),"Active",IF(ISNUMBER(SEARCH("CLOS",UPPER(Raw_Data!R353))),"Closed","None")))</f>
        <v>Active</v>
      </c>
      <c r="U362" s="26">
        <f>IF(Raw_Data!S353="",$C$8,VALUE(Raw_Data!S353))</f>
        <v>410</v>
      </c>
      <c r="V362" s="25" t="str">
        <f>IF(Raw_Data!S353="","Missing-Imputed","Original")</f>
        <v>Original</v>
      </c>
      <c r="W362" s="26">
        <f>Raw_Data!T353</f>
        <v>96</v>
      </c>
      <c r="X362" s="25" t="str">
        <f>IF(ISNUMBER(SEARCH("Y",UPPER(TRIM(Raw_Data!U353)))),"Yes","No")</f>
        <v>Yes</v>
      </c>
      <c r="Y362" s="25" t="str">
        <f>IF(ISNUMBER(SEARCH("Y",UPPER(TRIM(Raw_Data!V353)))),"Yes","No")</f>
        <v>Yes</v>
      </c>
      <c r="Z362" s="26">
        <f>Raw_Data!W353</f>
        <v>4</v>
      </c>
      <c r="AA362" s="26">
        <f>Raw_Data!X353</f>
        <v>4.2</v>
      </c>
      <c r="AB362" s="25" t="str">
        <f>IF(COUNTIFS(Raw_Data!$A$2:$A$616,Raw_Data!A353)&gt;1,"Duplicate","Unique")</f>
        <v>Unique</v>
      </c>
      <c r="AC362" s="25" t="str">
        <f t="shared" si="17"/>
        <v>Clean</v>
      </c>
    </row>
    <row r="363" spans="1:29" ht="15" customHeight="1">
      <c r="A363" s="23" t="str">
        <f>Raw_Data!A354</f>
        <v>BYJ1353</v>
      </c>
      <c r="B363" s="23" t="str">
        <f>Raw_Data!B354</f>
        <v>Maya Tiwari</v>
      </c>
      <c r="C363" s="24">
        <f>IF(OR(Raw_Data!C354="",Raw_Data!C354&lt;$C$5,Raw_Data!C354&gt;$C$6),$C$4,Raw_Data!C354)</f>
        <v>16</v>
      </c>
      <c r="D363" s="23" t="str">
        <f>IF(Raw_Data!C354="","Missing-Imputed",IF(OR(Raw_Data!C354&lt;$C$5,Raw_Data!C354&gt;$C$6),"Outlier-Imputed","Original"))</f>
        <v>Original</v>
      </c>
      <c r="E363" s="23" t="str">
        <f>IF(OR(UPPER(TRIM(Raw_Data!D354))="M",UPPER(TRIM(Raw_Data!D354))="MALE"),"Male","Female")</f>
        <v>Female</v>
      </c>
      <c r="F363" s="23" t="str">
        <f>PROPER(TRIM(Raw_Data!E354))</f>
        <v>New Delhi</v>
      </c>
      <c r="G363" s="23" t="str">
        <f>PROPER(TRIM(Raw_Data!F354))</f>
        <v>Delhi</v>
      </c>
      <c r="H363" s="23" t="str">
        <f>PROPER(TRIM(Raw_Data!G354))</f>
        <v>Mathematics</v>
      </c>
      <c r="I363" s="23" t="str">
        <f>PROPER(TRIM(Raw_Data!H354))</f>
        <v>Lucknow Hub</v>
      </c>
      <c r="J363" s="24">
        <f>IF(LEN(TRIM(Raw_Data!I354))=4,VALUE(TRIM(Raw_Data!I354)),IF(ISNUMBER(IFERROR(VALUE(MID(TRIM(Raw_Data!I354),1,4)),"NA")),VALUE(MID(TRIM(Raw_Data!I354),1,4)),VALUE(RIGHT(TRIM(Raw_Data!I354),4))))</f>
        <v>2016</v>
      </c>
      <c r="K363" s="23" t="str">
        <f>PROPER(TRIM(Raw_Data!J354))</f>
        <v>Business</v>
      </c>
      <c r="L363" s="23" t="str">
        <f t="shared" si="15"/>
        <v>14-16</v>
      </c>
      <c r="M363" s="23" t="str">
        <f t="shared" si="16"/>
        <v>Teens</v>
      </c>
      <c r="N363" s="23" t="str">
        <f>IF(ISNUMBER(SEARCH("NON",UPPER(Raw_Data!M354))),"Non-Premium Learner","Premium Learner")</f>
        <v>Premium Learner</v>
      </c>
      <c r="O363" s="23" t="str">
        <f>PROPER(TRIM(Raw_Data!N354))</f>
        <v>App Only</v>
      </c>
      <c r="P363" s="24">
        <f>IF(Raw_Data!O354="",$C$7,Raw_Data!O354)</f>
        <v>57136.35</v>
      </c>
      <c r="Q363" s="23" t="str">
        <f>IF(Raw_Data!O354="","Missing-Imputed","Original")</f>
        <v>Original</v>
      </c>
      <c r="R363" s="24">
        <f>Raw_Data!P354</f>
        <v>46</v>
      </c>
      <c r="S363" s="24">
        <f>Raw_Data!Q354</f>
        <v>4317.91</v>
      </c>
      <c r="T363" s="23" t="str">
        <f>IF(Raw_Data!R354="","Unknown",IF(ISNUMBER(SEARCH("ACT",UPPER(Raw_Data!R354))),"Active",IF(ISNUMBER(SEARCH("CLOS",UPPER(Raw_Data!R354))),"Closed","None")))</f>
        <v>Active</v>
      </c>
      <c r="U363" s="24">
        <f>IF(Raw_Data!S354="",$C$8,VALUE(Raw_Data!S354))</f>
        <v>494</v>
      </c>
      <c r="V363" s="23" t="str">
        <f>IF(Raw_Data!S354="","Missing-Imputed","Original")</f>
        <v>Original</v>
      </c>
      <c r="W363" s="24">
        <f>Raw_Data!T354</f>
        <v>146</v>
      </c>
      <c r="X363" s="23" t="str">
        <f>IF(ISNUMBER(SEARCH("Y",UPPER(TRIM(Raw_Data!U354)))),"Yes","No")</f>
        <v>No</v>
      </c>
      <c r="Y363" s="23" t="str">
        <f>IF(ISNUMBER(SEARCH("Y",UPPER(TRIM(Raw_Data!V354)))),"Yes","No")</f>
        <v>No</v>
      </c>
      <c r="Z363" s="24">
        <f>Raw_Data!W354</f>
        <v>1</v>
      </c>
      <c r="AA363" s="24">
        <f>Raw_Data!X354</f>
        <v>4.2</v>
      </c>
      <c r="AB363" s="23" t="str">
        <f>IF(COUNTIFS(Raw_Data!$A$2:$A$616,Raw_Data!A354)&gt;1,"Duplicate","Unique")</f>
        <v>Unique</v>
      </c>
      <c r="AC363" s="23" t="str">
        <f t="shared" si="17"/>
        <v>Clean</v>
      </c>
    </row>
    <row r="364" spans="1:29" ht="15" customHeight="1">
      <c r="A364" s="25" t="str">
        <f>Raw_Data!A355</f>
        <v>BYJ1354</v>
      </c>
      <c r="B364" s="25" t="str">
        <f>Raw_Data!B355</f>
        <v>Ira Bava</v>
      </c>
      <c r="C364" s="26">
        <f>IF(OR(Raw_Data!C355="",Raw_Data!C355&lt;$C$5,Raw_Data!C355&gt;$C$6),$C$4,Raw_Data!C355)</f>
        <v>42</v>
      </c>
      <c r="D364" s="25" t="str">
        <f>IF(Raw_Data!C355="","Missing-Imputed",IF(OR(Raw_Data!C355&lt;$C$5,Raw_Data!C355&gt;$C$6),"Outlier-Imputed","Original"))</f>
        <v>Original</v>
      </c>
      <c r="E364" s="25" t="str">
        <f>IF(OR(UPPER(TRIM(Raw_Data!D355))="M",UPPER(TRIM(Raw_Data!D355))="MALE"),"Male","Female")</f>
        <v>Male</v>
      </c>
      <c r="F364" s="25" t="str">
        <f>PROPER(TRIM(Raw_Data!E355))</f>
        <v>Ichalkaranji</v>
      </c>
      <c r="G364" s="25" t="str">
        <f>PROPER(TRIM(Raw_Data!F355))</f>
        <v>Telangana</v>
      </c>
      <c r="H364" s="25" t="str">
        <f>PROPER(TRIM(Raw_Data!G355))</f>
        <v>Mathematics</v>
      </c>
      <c r="I364" s="25" t="str">
        <f>PROPER(TRIM(Raw_Data!H355))</f>
        <v>Bengaluru South</v>
      </c>
      <c r="J364" s="26">
        <f>IF(LEN(TRIM(Raw_Data!I355))=4,VALUE(TRIM(Raw_Data!I355)),IF(ISNUMBER(IFERROR(VALUE(MID(TRIM(Raw_Data!I355),1,4)),"NA")),VALUE(MID(TRIM(Raw_Data!I355),1,4)),VALUE(RIGHT(TRIM(Raw_Data!I355),4))))</f>
        <v>2023</v>
      </c>
      <c r="K364" s="25" t="str">
        <f>PROPER(TRIM(Raw_Data!J355))</f>
        <v>Salaried</v>
      </c>
      <c r="L364" s="25" t="str">
        <f t="shared" si="15"/>
        <v>20+</v>
      </c>
      <c r="M364" s="25" t="str">
        <f t="shared" si="16"/>
        <v>Adult Learners</v>
      </c>
      <c r="N364" s="25" t="str">
        <f>IF(ISNUMBER(SEARCH("NON",UPPER(Raw_Data!M355))),"Non-Premium Learner","Premium Learner")</f>
        <v>Premium Learner</v>
      </c>
      <c r="O364" s="25" t="str">
        <f>PROPER(TRIM(Raw_Data!N355))</f>
        <v>Web Only</v>
      </c>
      <c r="P364" s="26">
        <f>IF(Raw_Data!O355="",$C$7,Raw_Data!O355)</f>
        <v>61611.83</v>
      </c>
      <c r="Q364" s="25" t="str">
        <f>IF(Raw_Data!O355="","Missing-Imputed","Original")</f>
        <v>Original</v>
      </c>
      <c r="R364" s="26">
        <f>Raw_Data!P355</f>
        <v>70.400000000000006</v>
      </c>
      <c r="S364" s="26">
        <f>Raw_Data!Q355</f>
        <v>9471.7800000000007</v>
      </c>
      <c r="T364" s="25" t="str">
        <f>IF(Raw_Data!R355="","Unknown",IF(ISNUMBER(SEARCH("ACT",UPPER(Raw_Data!R355))),"Active",IF(ISNUMBER(SEARCH("CLOS",UPPER(Raw_Data!R355))),"Closed","None")))</f>
        <v>Closed</v>
      </c>
      <c r="U364" s="26">
        <f>IF(Raw_Data!S355="",$C$8,VALUE(Raw_Data!S355))</f>
        <v>847</v>
      </c>
      <c r="V364" s="25" t="str">
        <f>IF(Raw_Data!S355="","Missing-Imputed","Original")</f>
        <v>Original</v>
      </c>
      <c r="W364" s="26">
        <f>Raw_Data!T355</f>
        <v>132</v>
      </c>
      <c r="X364" s="25" t="str">
        <f>IF(ISNUMBER(SEARCH("Y",UPPER(TRIM(Raw_Data!U355)))),"Yes","No")</f>
        <v>No</v>
      </c>
      <c r="Y364" s="25" t="str">
        <f>IF(ISNUMBER(SEARCH("Y",UPPER(TRIM(Raw_Data!V355)))),"Yes","No")</f>
        <v>Yes</v>
      </c>
      <c r="Z364" s="26">
        <f>Raw_Data!W355</f>
        <v>5</v>
      </c>
      <c r="AA364" s="26">
        <f>Raw_Data!X355</f>
        <v>4.5</v>
      </c>
      <c r="AB364" s="25" t="str">
        <f>IF(COUNTIFS(Raw_Data!$A$2:$A$616,Raw_Data!A355)&gt;1,"Duplicate","Unique")</f>
        <v>Unique</v>
      </c>
      <c r="AC364" s="25" t="str">
        <f t="shared" si="17"/>
        <v>Clean</v>
      </c>
    </row>
    <row r="365" spans="1:29" ht="15" customHeight="1">
      <c r="A365" s="23" t="str">
        <f>Raw_Data!A356</f>
        <v>BYJ1355</v>
      </c>
      <c r="B365" s="23" t="str">
        <f>Raw_Data!B356</f>
        <v>Upma Mangal</v>
      </c>
      <c r="C365" s="24">
        <f>IF(OR(Raw_Data!C356="",Raw_Data!C356&lt;$C$5,Raw_Data!C356&gt;$C$6),$C$4,Raw_Data!C356)</f>
        <v>7</v>
      </c>
      <c r="D365" s="23" t="str">
        <f>IF(Raw_Data!C356="","Missing-Imputed",IF(OR(Raw_Data!C356&lt;$C$5,Raw_Data!C356&gt;$C$6),"Outlier-Imputed","Original"))</f>
        <v>Original</v>
      </c>
      <c r="E365" s="23" t="str">
        <f>IF(OR(UPPER(TRIM(Raw_Data!D356))="M",UPPER(TRIM(Raw_Data!D356))="MALE"),"Male","Female")</f>
        <v>Male</v>
      </c>
      <c r="F365" s="23" t="str">
        <f>PROPER(TRIM(Raw_Data!E356))</f>
        <v>Moradabad</v>
      </c>
      <c r="G365" s="23" t="str">
        <f>PROPER(TRIM(Raw_Data!F356))</f>
        <v>Delhi</v>
      </c>
      <c r="H365" s="23" t="str">
        <f>PROPER(TRIM(Raw_Data!G356))</f>
        <v>Neet Prep</v>
      </c>
      <c r="I365" s="23" t="str">
        <f>PROPER(TRIM(Raw_Data!H356))</f>
        <v>Chennai Central</v>
      </c>
      <c r="J365" s="24">
        <f>IF(LEN(TRIM(Raw_Data!I356))=4,VALUE(TRIM(Raw_Data!I356)),IF(ISNUMBER(IFERROR(VALUE(MID(TRIM(Raw_Data!I356),1,4)),"NA")),VALUE(MID(TRIM(Raw_Data!I356),1,4)),VALUE(RIGHT(TRIM(Raw_Data!I356),4))))</f>
        <v>2018</v>
      </c>
      <c r="K365" s="23" t="str">
        <f>PROPER(TRIM(Raw_Data!J356))</f>
        <v>Retired</v>
      </c>
      <c r="L365" s="23" t="str">
        <f t="shared" si="15"/>
        <v>Under 10</v>
      </c>
      <c r="M365" s="23" t="str">
        <f t="shared" si="16"/>
        <v>Kids</v>
      </c>
      <c r="N365" s="23" t="str">
        <f>IF(ISNUMBER(SEARCH("NON",UPPER(Raw_Data!M356))),"Non-Premium Learner","Premium Learner")</f>
        <v>Non-Premium Learner</v>
      </c>
      <c r="O365" s="23" t="str">
        <f>PROPER(TRIM(Raw_Data!N356))</f>
        <v>Web Only</v>
      </c>
      <c r="P365" s="24">
        <f>IF(Raw_Data!O356="",$C$7,Raw_Data!O356)</f>
        <v>15572.23</v>
      </c>
      <c r="Q365" s="23" t="str">
        <f>IF(Raw_Data!O356="","Missing-Imputed","Original")</f>
        <v>Original</v>
      </c>
      <c r="R365" s="24">
        <f>Raw_Data!P356</f>
        <v>72.8</v>
      </c>
      <c r="S365" s="24">
        <f>Raw_Data!Q356</f>
        <v>42185.45</v>
      </c>
      <c r="T365" s="23" t="str">
        <f>IF(Raw_Data!R356="","Unknown",IF(ISNUMBER(SEARCH("ACT",UPPER(Raw_Data!R356))),"Active",IF(ISNUMBER(SEARCH("CLOS",UPPER(Raw_Data!R356))),"Closed","None")))</f>
        <v>Active</v>
      </c>
      <c r="U365" s="24">
        <f>IF(Raw_Data!S356="",$C$8,VALUE(Raw_Data!S356))</f>
        <v>372</v>
      </c>
      <c r="V365" s="23" t="str">
        <f>IF(Raw_Data!S356="","Missing-Imputed","Original")</f>
        <v>Original</v>
      </c>
      <c r="W365" s="24">
        <f>Raw_Data!T356</f>
        <v>153</v>
      </c>
      <c r="X365" s="23" t="str">
        <f>IF(ISNUMBER(SEARCH("Y",UPPER(TRIM(Raw_Data!U356)))),"Yes","No")</f>
        <v>Yes</v>
      </c>
      <c r="Y365" s="23" t="str">
        <f>IF(ISNUMBER(SEARCH("Y",UPPER(TRIM(Raw_Data!V356)))),"Yes","No")</f>
        <v>Yes</v>
      </c>
      <c r="Z365" s="24">
        <f>Raw_Data!W356</f>
        <v>1</v>
      </c>
      <c r="AA365" s="24">
        <f>Raw_Data!X356</f>
        <v>1.4</v>
      </c>
      <c r="AB365" s="23" t="str">
        <f>IF(COUNTIFS(Raw_Data!$A$2:$A$616,Raw_Data!A356)&gt;1,"Duplicate","Unique")</f>
        <v>Unique</v>
      </c>
      <c r="AC365" s="23" t="str">
        <f t="shared" si="17"/>
        <v>Clean</v>
      </c>
    </row>
    <row r="366" spans="1:29" ht="15" customHeight="1">
      <c r="A366" s="25" t="str">
        <f>Raw_Data!A357</f>
        <v>BYJ1356</v>
      </c>
      <c r="B366" s="25" t="str">
        <f>Raw_Data!B357</f>
        <v>Krish Lalla</v>
      </c>
      <c r="C366" s="26">
        <f>IF(OR(Raw_Data!C357="",Raw_Data!C357&lt;$C$5,Raw_Data!C357&gt;$C$6),$C$4,Raw_Data!C357)</f>
        <v>28</v>
      </c>
      <c r="D366" s="25" t="str">
        <f>IF(Raw_Data!C357="","Missing-Imputed",IF(OR(Raw_Data!C357&lt;$C$5,Raw_Data!C357&gt;$C$6),"Outlier-Imputed","Original"))</f>
        <v>Original</v>
      </c>
      <c r="E366" s="25" t="str">
        <f>IF(OR(UPPER(TRIM(Raw_Data!D357))="M",UPPER(TRIM(Raw_Data!D357))="MALE"),"Male","Female")</f>
        <v>Female</v>
      </c>
      <c r="F366" s="25" t="str">
        <f>PROPER(TRIM(Raw_Data!E357))</f>
        <v>Sambhal</v>
      </c>
      <c r="G366" s="25" t="str">
        <f>PROPER(TRIM(Raw_Data!F357))</f>
        <v>Delhi</v>
      </c>
      <c r="H366" s="25" t="str">
        <f>PROPER(TRIM(Raw_Data!G357))</f>
        <v>Coding</v>
      </c>
      <c r="I366" s="25" t="str">
        <f>PROPER(TRIM(Raw_Data!H357))</f>
        <v>Chennai Central</v>
      </c>
      <c r="J366" s="26">
        <f>IF(LEN(TRIM(Raw_Data!I357))=4,VALUE(TRIM(Raw_Data!I357)),IF(ISNUMBER(IFERROR(VALUE(MID(TRIM(Raw_Data!I357),1,4)),"NA")),VALUE(MID(TRIM(Raw_Data!I357),1,4)),VALUE(RIGHT(TRIM(Raw_Data!I357),4))))</f>
        <v>2016</v>
      </c>
      <c r="K366" s="25" t="str">
        <f>PROPER(TRIM(Raw_Data!J357))</f>
        <v>Retired</v>
      </c>
      <c r="L366" s="25" t="str">
        <f t="shared" si="15"/>
        <v>20+</v>
      </c>
      <c r="M366" s="25" t="str">
        <f t="shared" si="16"/>
        <v>Adult Learners</v>
      </c>
      <c r="N366" s="25" t="str">
        <f>IF(ISNUMBER(SEARCH("NON",UPPER(Raw_Data!M357))),"Non-Premium Learner","Premium Learner")</f>
        <v>Non-Premium Learner</v>
      </c>
      <c r="O366" s="25" t="str">
        <f>PROPER(TRIM(Raw_Data!N357))</f>
        <v>Web Only</v>
      </c>
      <c r="P366" s="26">
        <f>IF(Raw_Data!O357="",$C$7,Raw_Data!O357)</f>
        <v>12560.36</v>
      </c>
      <c r="Q366" s="25" t="str">
        <f>IF(Raw_Data!O357="","Missing-Imputed","Original")</f>
        <v>Original</v>
      </c>
      <c r="R366" s="26">
        <f>Raw_Data!P357</f>
        <v>57.2</v>
      </c>
      <c r="S366" s="26">
        <f>Raw_Data!Q357</f>
        <v>25783.119999999999</v>
      </c>
      <c r="T366" s="25" t="str">
        <f>IF(Raw_Data!R357="","Unknown",IF(ISNUMBER(SEARCH("ACT",UPPER(Raw_Data!R357))),"Active",IF(ISNUMBER(SEARCH("CLOS",UPPER(Raw_Data!R357))),"Closed","None")))</f>
        <v>Closed</v>
      </c>
      <c r="U366" s="26">
        <f>IF(Raw_Data!S357="",$C$8,VALUE(Raw_Data!S357))</f>
        <v>441</v>
      </c>
      <c r="V366" s="25" t="str">
        <f>IF(Raw_Data!S357="","Missing-Imputed","Original")</f>
        <v>Original</v>
      </c>
      <c r="W366" s="26">
        <f>Raw_Data!T357</f>
        <v>30</v>
      </c>
      <c r="X366" s="25" t="str">
        <f>IF(ISNUMBER(SEARCH("Y",UPPER(TRIM(Raw_Data!U357)))),"Yes","No")</f>
        <v>No</v>
      </c>
      <c r="Y366" s="25" t="str">
        <f>IF(ISNUMBER(SEARCH("Y",UPPER(TRIM(Raw_Data!V357)))),"Yes","No")</f>
        <v>Yes</v>
      </c>
      <c r="Z366" s="26">
        <f>Raw_Data!W357</f>
        <v>4</v>
      </c>
      <c r="AA366" s="26">
        <f>Raw_Data!X357</f>
        <v>8.3000000000000007</v>
      </c>
      <c r="AB366" s="25" t="str">
        <f>IF(COUNTIFS(Raw_Data!$A$2:$A$616,Raw_Data!A357)&gt;1,"Duplicate","Unique")</f>
        <v>Unique</v>
      </c>
      <c r="AC366" s="25" t="str">
        <f t="shared" si="17"/>
        <v>Clean</v>
      </c>
    </row>
    <row r="367" spans="1:29" ht="15" customHeight="1">
      <c r="A367" s="23" t="str">
        <f>Raw_Data!A358</f>
        <v>BYJ1357</v>
      </c>
      <c r="B367" s="23" t="str">
        <f>Raw_Data!B358</f>
        <v>Chakradev Rattan</v>
      </c>
      <c r="C367" s="24">
        <f>IF(OR(Raw_Data!C358="",Raw_Data!C358&lt;$C$5,Raw_Data!C358&gt;$C$6),$C$4,Raw_Data!C358)</f>
        <v>6</v>
      </c>
      <c r="D367" s="23" t="str">
        <f>IF(Raw_Data!C358="","Missing-Imputed",IF(OR(Raw_Data!C358&lt;$C$5,Raw_Data!C358&gt;$C$6),"Outlier-Imputed","Original"))</f>
        <v>Original</v>
      </c>
      <c r="E367" s="23" t="str">
        <f>IF(OR(UPPER(TRIM(Raw_Data!D358))="M",UPPER(TRIM(Raw_Data!D358))="MALE"),"Male","Female")</f>
        <v>Male</v>
      </c>
      <c r="F367" s="23" t="str">
        <f>PROPER(TRIM(Raw_Data!E358))</f>
        <v>Jehanabad</v>
      </c>
      <c r="G367" s="23" t="str">
        <f>PROPER(TRIM(Raw_Data!F358))</f>
        <v>Uttar Pradesh</v>
      </c>
      <c r="H367" s="23" t="str">
        <f>PROPER(TRIM(Raw_Data!G358))</f>
        <v>Coding</v>
      </c>
      <c r="I367" s="23" t="str">
        <f>PROPER(TRIM(Raw_Data!H358))</f>
        <v>Chennai Central</v>
      </c>
      <c r="J367" s="24">
        <f>IF(LEN(TRIM(Raw_Data!I358))=4,VALUE(TRIM(Raw_Data!I358)),IF(ISNUMBER(IFERROR(VALUE(MID(TRIM(Raw_Data!I358),1,4)),"NA")),VALUE(MID(TRIM(Raw_Data!I358),1,4)),VALUE(RIGHT(TRIM(Raw_Data!I358),4))))</f>
        <v>2019</v>
      </c>
      <c r="K367" s="23" t="str">
        <f>PROPER(TRIM(Raw_Data!J358))</f>
        <v>Business</v>
      </c>
      <c r="L367" s="23" t="str">
        <f t="shared" si="15"/>
        <v>Under 10</v>
      </c>
      <c r="M367" s="23" t="str">
        <f t="shared" si="16"/>
        <v>Kids</v>
      </c>
      <c r="N367" s="23" t="str">
        <f>IF(ISNUMBER(SEARCH("NON",UPPER(Raw_Data!M358))),"Non-Premium Learner","Premium Learner")</f>
        <v>Non-Premium Learner</v>
      </c>
      <c r="O367" s="23" t="str">
        <f>PROPER(TRIM(Raw_Data!N358))</f>
        <v>Web Only</v>
      </c>
      <c r="P367" s="24">
        <f>IF(Raw_Data!O358="",$C$7,Raw_Data!O358)</f>
        <v>55701.78</v>
      </c>
      <c r="Q367" s="23" t="str">
        <f>IF(Raw_Data!O358="","Missing-Imputed","Original")</f>
        <v>Original</v>
      </c>
      <c r="R367" s="24">
        <f>Raw_Data!P358</f>
        <v>23.3</v>
      </c>
      <c r="S367" s="24">
        <f>Raw_Data!Q358</f>
        <v>17544.759999999998</v>
      </c>
      <c r="T367" s="23" t="str">
        <f>IF(Raw_Data!R358="","Unknown",IF(ISNUMBER(SEARCH("ACT",UPPER(Raw_Data!R358))),"Active",IF(ISNUMBER(SEARCH("CLOS",UPPER(Raw_Data!R358))),"Closed","None")))</f>
        <v>None</v>
      </c>
      <c r="U367" s="24">
        <f>IF(Raw_Data!S358="",$C$8,VALUE(Raw_Data!S358))</f>
        <v>790</v>
      </c>
      <c r="V367" s="23" t="str">
        <f>IF(Raw_Data!S358="","Missing-Imputed","Original")</f>
        <v>Original</v>
      </c>
      <c r="W367" s="24">
        <f>Raw_Data!T358</f>
        <v>168</v>
      </c>
      <c r="X367" s="23" t="str">
        <f>IF(ISNUMBER(SEARCH("Y",UPPER(TRIM(Raw_Data!U358)))),"Yes","No")</f>
        <v>Yes</v>
      </c>
      <c r="Y367" s="23" t="str">
        <f>IF(ISNUMBER(SEARCH("Y",UPPER(TRIM(Raw_Data!V358)))),"Yes","No")</f>
        <v>No</v>
      </c>
      <c r="Z367" s="24">
        <f>Raw_Data!W358</f>
        <v>4</v>
      </c>
      <c r="AA367" s="24">
        <f>Raw_Data!X358</f>
        <v>6.5</v>
      </c>
      <c r="AB367" s="23" t="str">
        <f>IF(COUNTIFS(Raw_Data!$A$2:$A$616,Raw_Data!A358)&gt;1,"Duplicate","Unique")</f>
        <v>Unique</v>
      </c>
      <c r="AC367" s="23" t="str">
        <f t="shared" si="17"/>
        <v>Clean</v>
      </c>
    </row>
    <row r="368" spans="1:29" ht="15" customHeight="1">
      <c r="A368" s="25" t="str">
        <f>Raw_Data!A359</f>
        <v>BYJ1358</v>
      </c>
      <c r="B368" s="25" t="str">
        <f>Raw_Data!B359</f>
        <v>Janani Mani</v>
      </c>
      <c r="C368" s="26">
        <f>IF(OR(Raw_Data!C359="",Raw_Data!C359&lt;$C$5,Raw_Data!C359&gt;$C$6),$C$4,Raw_Data!C359)</f>
        <v>20</v>
      </c>
      <c r="D368" s="25" t="str">
        <f>IF(Raw_Data!C359="","Missing-Imputed",IF(OR(Raw_Data!C359&lt;$C$5,Raw_Data!C359&gt;$C$6),"Outlier-Imputed","Original"))</f>
        <v>Original</v>
      </c>
      <c r="E368" s="25" t="str">
        <f>IF(OR(UPPER(TRIM(Raw_Data!D359))="M",UPPER(TRIM(Raw_Data!D359))="MALE"),"Male","Female")</f>
        <v>Female</v>
      </c>
      <c r="F368" s="25" t="str">
        <f>PROPER(TRIM(Raw_Data!E359))</f>
        <v>Kharagpur</v>
      </c>
      <c r="G368" s="25" t="str">
        <f>PROPER(TRIM(Raw_Data!F359))</f>
        <v>Uttar Pradesh</v>
      </c>
      <c r="H368" s="25" t="str">
        <f>PROPER(TRIM(Raw_Data!G359))</f>
        <v>Jee Prep</v>
      </c>
      <c r="I368" s="25" t="str">
        <f>PROPER(TRIM(Raw_Data!H359))</f>
        <v>Delhi North</v>
      </c>
      <c r="J368" s="26">
        <f>IF(LEN(TRIM(Raw_Data!I359))=4,VALUE(TRIM(Raw_Data!I359)),IF(ISNUMBER(IFERROR(VALUE(MID(TRIM(Raw_Data!I359),1,4)),"NA")),VALUE(MID(TRIM(Raw_Data!I359),1,4)),VALUE(RIGHT(TRIM(Raw_Data!I359),4))))</f>
        <v>2024</v>
      </c>
      <c r="K368" s="25" t="str">
        <f>PROPER(TRIM(Raw_Data!J359))</f>
        <v>Salaried</v>
      </c>
      <c r="L368" s="25" t="str">
        <f t="shared" si="15"/>
        <v>20+</v>
      </c>
      <c r="M368" s="25" t="str">
        <f t="shared" si="16"/>
        <v>Adult Learners</v>
      </c>
      <c r="N368" s="25" t="str">
        <f>IF(ISNUMBER(SEARCH("NON",UPPER(Raw_Data!M359))),"Non-Premium Learner","Premium Learner")</f>
        <v>Non-Premium Learner</v>
      </c>
      <c r="O368" s="25" t="str">
        <f>PROPER(TRIM(Raw_Data!N359))</f>
        <v>Both App &amp; Web</v>
      </c>
      <c r="P368" s="26">
        <f>IF(Raw_Data!O359="",$C$7,Raw_Data!O359)</f>
        <v>75500.12</v>
      </c>
      <c r="Q368" s="25" t="str">
        <f>IF(Raw_Data!O359="","Missing-Imputed","Original")</f>
        <v>Original</v>
      </c>
      <c r="R368" s="26">
        <f>Raw_Data!P359</f>
        <v>73.400000000000006</v>
      </c>
      <c r="S368" s="26">
        <f>Raw_Data!Q359</f>
        <v>50485.52</v>
      </c>
      <c r="T368" s="25" t="str">
        <f>IF(Raw_Data!R359="","Unknown",IF(ISNUMBER(SEARCH("ACT",UPPER(Raw_Data!R359))),"Active",IF(ISNUMBER(SEARCH("CLOS",UPPER(Raw_Data!R359))),"Closed","None")))</f>
        <v>None</v>
      </c>
      <c r="U368" s="26">
        <f>IF(Raw_Data!S359="",$C$8,VALUE(Raw_Data!S359))</f>
        <v>612</v>
      </c>
      <c r="V368" s="25" t="str">
        <f>IF(Raw_Data!S359="","Missing-Imputed","Original")</f>
        <v>Original</v>
      </c>
      <c r="W368" s="26">
        <f>Raw_Data!T359</f>
        <v>53</v>
      </c>
      <c r="X368" s="25" t="str">
        <f>IF(ISNUMBER(SEARCH("Y",UPPER(TRIM(Raw_Data!U359)))),"Yes","No")</f>
        <v>Yes</v>
      </c>
      <c r="Y368" s="25" t="str">
        <f>IF(ISNUMBER(SEARCH("Y",UPPER(TRIM(Raw_Data!V359)))),"Yes","No")</f>
        <v>Yes</v>
      </c>
      <c r="Z368" s="26">
        <f>Raw_Data!W359</f>
        <v>2</v>
      </c>
      <c r="AA368" s="26">
        <f>Raw_Data!X359</f>
        <v>6.4</v>
      </c>
      <c r="AB368" s="25" t="str">
        <f>IF(COUNTIFS(Raw_Data!$A$2:$A$616,Raw_Data!A359)&gt;1,"Duplicate","Unique")</f>
        <v>Unique</v>
      </c>
      <c r="AC368" s="25" t="str">
        <f t="shared" si="17"/>
        <v>Clean</v>
      </c>
    </row>
    <row r="369" spans="1:29" ht="15" customHeight="1">
      <c r="A369" s="23" t="str">
        <f>Raw_Data!A360</f>
        <v>BYJ1359</v>
      </c>
      <c r="B369" s="23" t="str">
        <f>Raw_Data!B360</f>
        <v>Ati Dani</v>
      </c>
      <c r="C369" s="24">
        <f>IF(OR(Raw_Data!C360="",Raw_Data!C360&lt;$C$5,Raw_Data!C360&gt;$C$6),$C$4,Raw_Data!C360)</f>
        <v>13</v>
      </c>
      <c r="D369" s="23" t="str">
        <f>IF(Raw_Data!C360="","Missing-Imputed",IF(OR(Raw_Data!C360&lt;$C$5,Raw_Data!C360&gt;$C$6),"Outlier-Imputed","Original"))</f>
        <v>Original</v>
      </c>
      <c r="E369" s="23" t="str">
        <f>IF(OR(UPPER(TRIM(Raw_Data!D360))="M",UPPER(TRIM(Raw_Data!D360))="MALE"),"Male","Female")</f>
        <v>Male</v>
      </c>
      <c r="F369" s="23" t="str">
        <f>PROPER(TRIM(Raw_Data!E360))</f>
        <v>Jalandhar</v>
      </c>
      <c r="G369" s="23" t="str">
        <f>PROPER(TRIM(Raw_Data!F360))</f>
        <v>Telangana</v>
      </c>
      <c r="H369" s="23" t="str">
        <f>PROPER(TRIM(Raw_Data!G360))</f>
        <v>Jee Prep</v>
      </c>
      <c r="I369" s="23" t="str">
        <f>PROPER(TRIM(Raw_Data!H360))</f>
        <v>Lucknow Hub</v>
      </c>
      <c r="J369" s="24">
        <f>IF(LEN(TRIM(Raw_Data!I360))=4,VALUE(TRIM(Raw_Data!I360)),IF(ISNUMBER(IFERROR(VALUE(MID(TRIM(Raw_Data!I360),1,4)),"NA")),VALUE(MID(TRIM(Raw_Data!I360),1,4)),VALUE(RIGHT(TRIM(Raw_Data!I360),4))))</f>
        <v>2022</v>
      </c>
      <c r="K369" s="23" t="str">
        <f>PROPER(TRIM(Raw_Data!J360))</f>
        <v>Salaried</v>
      </c>
      <c r="L369" s="23" t="str">
        <f t="shared" si="15"/>
        <v>10-13</v>
      </c>
      <c r="M369" s="23" t="str">
        <f t="shared" si="16"/>
        <v>Kids</v>
      </c>
      <c r="N369" s="23" t="str">
        <f>IF(ISNUMBER(SEARCH("NON",UPPER(Raw_Data!M360))),"Non-Premium Learner","Premium Learner")</f>
        <v>Premium Learner</v>
      </c>
      <c r="O369" s="23" t="str">
        <f>PROPER(TRIM(Raw_Data!N360))</f>
        <v>Web Only</v>
      </c>
      <c r="P369" s="24">
        <f>IF(Raw_Data!O360="",$C$7,Raw_Data!O360)</f>
        <v>7733.03</v>
      </c>
      <c r="Q369" s="23" t="str">
        <f>IF(Raw_Data!O360="","Missing-Imputed","Original")</f>
        <v>Original</v>
      </c>
      <c r="R369" s="24">
        <f>Raw_Data!P360</f>
        <v>38.299999999999997</v>
      </c>
      <c r="S369" s="24">
        <f>Raw_Data!Q360</f>
        <v>13466.91</v>
      </c>
      <c r="T369" s="23" t="str">
        <f>IF(Raw_Data!R360="","Unknown",IF(ISNUMBER(SEARCH("ACT",UPPER(Raw_Data!R360))),"Active",IF(ISNUMBER(SEARCH("CLOS",UPPER(Raw_Data!R360))),"Closed","None")))</f>
        <v>Closed</v>
      </c>
      <c r="U369" s="24">
        <f>IF(Raw_Data!S360="",$C$8,VALUE(Raw_Data!S360))</f>
        <v>741</v>
      </c>
      <c r="V369" s="23" t="str">
        <f>IF(Raw_Data!S360="","Missing-Imputed","Original")</f>
        <v>Original</v>
      </c>
      <c r="W369" s="24">
        <f>Raw_Data!T360</f>
        <v>169</v>
      </c>
      <c r="X369" s="23" t="str">
        <f>IF(ISNUMBER(SEARCH("Y",UPPER(TRIM(Raw_Data!U360)))),"Yes","No")</f>
        <v>No</v>
      </c>
      <c r="Y369" s="23" t="str">
        <f>IF(ISNUMBER(SEARCH("Y",UPPER(TRIM(Raw_Data!V360)))),"Yes","No")</f>
        <v>No</v>
      </c>
      <c r="Z369" s="24">
        <f>Raw_Data!W360</f>
        <v>5</v>
      </c>
      <c r="AA369" s="24">
        <f>Raw_Data!X360</f>
        <v>6.9</v>
      </c>
      <c r="AB369" s="23" t="str">
        <f>IF(COUNTIFS(Raw_Data!$A$2:$A$616,Raw_Data!A360)&gt;1,"Duplicate","Unique")</f>
        <v>Unique</v>
      </c>
      <c r="AC369" s="23" t="str">
        <f t="shared" si="17"/>
        <v>Clean</v>
      </c>
    </row>
    <row r="370" spans="1:29" ht="15" customHeight="1">
      <c r="A370" s="25" t="str">
        <f>Raw_Data!A361</f>
        <v>BYJ1360</v>
      </c>
      <c r="B370" s="25" t="str">
        <f>Raw_Data!B361</f>
        <v>Kashvi Nori</v>
      </c>
      <c r="C370" s="26">
        <f>IF(OR(Raw_Data!C361="",Raw_Data!C361&lt;$C$5,Raw_Data!C361&gt;$C$6),$C$4,Raw_Data!C361)</f>
        <v>22</v>
      </c>
      <c r="D370" s="25" t="str">
        <f>IF(Raw_Data!C361="","Missing-Imputed",IF(OR(Raw_Data!C361&lt;$C$5,Raw_Data!C361&gt;$C$6),"Outlier-Imputed","Original"))</f>
        <v>Original</v>
      </c>
      <c r="E370" s="25" t="str">
        <f>IF(OR(UPPER(TRIM(Raw_Data!D361))="M",UPPER(TRIM(Raw_Data!D361))="MALE"),"Male","Female")</f>
        <v>Male</v>
      </c>
      <c r="F370" s="25" t="str">
        <f>PROPER(TRIM(Raw_Data!E361))</f>
        <v>Asansol</v>
      </c>
      <c r="G370" s="25" t="str">
        <f>PROPER(TRIM(Raw_Data!F361))</f>
        <v>Kerala</v>
      </c>
      <c r="H370" s="25" t="str">
        <f>PROPER(TRIM(Raw_Data!G361))</f>
        <v>Robotics</v>
      </c>
      <c r="I370" s="25" t="str">
        <f>PROPER(TRIM(Raw_Data!H361))</f>
        <v>Kolkata Main</v>
      </c>
      <c r="J370" s="26">
        <f>IF(LEN(TRIM(Raw_Data!I361))=4,VALUE(TRIM(Raw_Data!I361)),IF(ISNUMBER(IFERROR(VALUE(MID(TRIM(Raw_Data!I361),1,4)),"NA")),VALUE(MID(TRIM(Raw_Data!I361),1,4)),VALUE(RIGHT(TRIM(Raw_Data!I361),4))))</f>
        <v>2016</v>
      </c>
      <c r="K370" s="25" t="str">
        <f>PROPER(TRIM(Raw_Data!J361))</f>
        <v>Retired</v>
      </c>
      <c r="L370" s="25" t="str">
        <f t="shared" si="15"/>
        <v>20+</v>
      </c>
      <c r="M370" s="25" t="str">
        <f t="shared" si="16"/>
        <v>Adult Learners</v>
      </c>
      <c r="N370" s="25" t="str">
        <f>IF(ISNUMBER(SEARCH("NON",UPPER(Raw_Data!M361))),"Non-Premium Learner","Premium Learner")</f>
        <v>Non-Premium Learner</v>
      </c>
      <c r="O370" s="25" t="str">
        <f>PROPER(TRIM(Raw_Data!N361))</f>
        <v>Both App &amp; Web</v>
      </c>
      <c r="P370" s="26">
        <f>IF(Raw_Data!O361="",$C$7,Raw_Data!O361)</f>
        <v>72207.87</v>
      </c>
      <c r="Q370" s="25" t="str">
        <f>IF(Raw_Data!O361="","Missing-Imputed","Original")</f>
        <v>Original</v>
      </c>
      <c r="R370" s="26">
        <f>Raw_Data!P361</f>
        <v>47.6</v>
      </c>
      <c r="S370" s="26">
        <f>Raw_Data!Q361</f>
        <v>31134.77</v>
      </c>
      <c r="T370" s="25" t="str">
        <f>IF(Raw_Data!R361="","Unknown",IF(ISNUMBER(SEARCH("ACT",UPPER(Raw_Data!R361))),"Active",IF(ISNUMBER(SEARCH("CLOS",UPPER(Raw_Data!R361))),"Closed","None")))</f>
        <v>Active</v>
      </c>
      <c r="U370" s="26">
        <f>IF(Raw_Data!S361="",$C$8,VALUE(Raw_Data!S361))</f>
        <v>778</v>
      </c>
      <c r="V370" s="25" t="str">
        <f>IF(Raw_Data!S361="","Missing-Imputed","Original")</f>
        <v>Original</v>
      </c>
      <c r="W370" s="26">
        <f>Raw_Data!T361</f>
        <v>60</v>
      </c>
      <c r="X370" s="25" t="str">
        <f>IF(ISNUMBER(SEARCH("Y",UPPER(TRIM(Raw_Data!U361)))),"Yes","No")</f>
        <v>Yes</v>
      </c>
      <c r="Y370" s="25" t="str">
        <f>IF(ISNUMBER(SEARCH("Y",UPPER(TRIM(Raw_Data!V361)))),"Yes","No")</f>
        <v>No</v>
      </c>
      <c r="Z370" s="26">
        <f>Raw_Data!W361</f>
        <v>1</v>
      </c>
      <c r="AA370" s="26">
        <f>Raw_Data!X361</f>
        <v>9</v>
      </c>
      <c r="AB370" s="25" t="str">
        <f>IF(COUNTIFS(Raw_Data!$A$2:$A$616,Raw_Data!A361)&gt;1,"Duplicate","Unique")</f>
        <v>Unique</v>
      </c>
      <c r="AC370" s="25" t="str">
        <f t="shared" si="17"/>
        <v>Clean</v>
      </c>
    </row>
    <row r="371" spans="1:29" ht="15" customHeight="1">
      <c r="A371" s="23" t="str">
        <f>Raw_Data!A362</f>
        <v>BYJ1361</v>
      </c>
      <c r="B371" s="23" t="str">
        <f>Raw_Data!B362</f>
        <v>Yashodhara Ratti</v>
      </c>
      <c r="C371" s="24">
        <f>IF(OR(Raw_Data!C362="",Raw_Data!C362&lt;$C$5,Raw_Data!C362&gt;$C$6),$C$4,Raw_Data!C362)</f>
        <v>42</v>
      </c>
      <c r="D371" s="23" t="str">
        <f>IF(Raw_Data!C362="","Missing-Imputed",IF(OR(Raw_Data!C362&lt;$C$5,Raw_Data!C362&gt;$C$6),"Outlier-Imputed","Original"))</f>
        <v>Original</v>
      </c>
      <c r="E371" s="23" t="str">
        <f>IF(OR(UPPER(TRIM(Raw_Data!D362))="M",UPPER(TRIM(Raw_Data!D362))="MALE"),"Male","Female")</f>
        <v>Female</v>
      </c>
      <c r="F371" s="23" t="str">
        <f>PROPER(TRIM(Raw_Data!E362))</f>
        <v>Ranchi</v>
      </c>
      <c r="G371" s="23" t="str">
        <f>PROPER(TRIM(Raw_Data!F362))</f>
        <v>Gujarat</v>
      </c>
      <c r="H371" s="23" t="str">
        <f>PROPER(TRIM(Raw_Data!G362))</f>
        <v>Jee Prep</v>
      </c>
      <c r="I371" s="23" t="str">
        <f>PROPER(TRIM(Raw_Data!H362))</f>
        <v>Hyderabad Hub</v>
      </c>
      <c r="J371" s="24">
        <f>IF(LEN(TRIM(Raw_Data!I362))=4,VALUE(TRIM(Raw_Data!I362)),IF(ISNUMBER(IFERROR(VALUE(MID(TRIM(Raw_Data!I362),1,4)),"NA")),VALUE(MID(TRIM(Raw_Data!I362),1,4)),VALUE(RIGHT(TRIM(Raw_Data!I362),4))))</f>
        <v>2025</v>
      </c>
      <c r="K371" s="23" t="str">
        <f>PROPER(TRIM(Raw_Data!J362))</f>
        <v>Government Employee</v>
      </c>
      <c r="L371" s="23" t="str">
        <f t="shared" si="15"/>
        <v>20+</v>
      </c>
      <c r="M371" s="23" t="str">
        <f t="shared" si="16"/>
        <v>Adult Learners</v>
      </c>
      <c r="N371" s="23" t="str">
        <f>IF(ISNUMBER(SEARCH("NON",UPPER(Raw_Data!M362))),"Non-Premium Learner","Premium Learner")</f>
        <v>Non-Premium Learner</v>
      </c>
      <c r="O371" s="23" t="str">
        <f>PROPER(TRIM(Raw_Data!N362))</f>
        <v>App Only</v>
      </c>
      <c r="P371" s="24">
        <f>IF(Raw_Data!O362="",$C$7,Raw_Data!O362)</f>
        <v>71742.19</v>
      </c>
      <c r="Q371" s="23" t="str">
        <f>IF(Raw_Data!O362="","Missing-Imputed","Original")</f>
        <v>Missing-Imputed</v>
      </c>
      <c r="R371" s="24">
        <f>Raw_Data!P362</f>
        <v>5.7</v>
      </c>
      <c r="S371" s="24">
        <f>Raw_Data!Q362</f>
        <v>2220.23</v>
      </c>
      <c r="T371" s="23" t="str">
        <f>IF(Raw_Data!R362="","Unknown",IF(ISNUMBER(SEARCH("ACT",UPPER(Raw_Data!R362))),"Active",IF(ISNUMBER(SEARCH("CLOS",UPPER(Raw_Data!R362))),"Closed","None")))</f>
        <v>Closed</v>
      </c>
      <c r="U371" s="24">
        <f>IF(Raw_Data!S362="",$C$8,VALUE(Raw_Data!S362))</f>
        <v>869</v>
      </c>
      <c r="V371" s="23" t="str">
        <f>IF(Raw_Data!S362="","Missing-Imputed","Original")</f>
        <v>Original</v>
      </c>
      <c r="W371" s="24">
        <f>Raw_Data!T362</f>
        <v>14</v>
      </c>
      <c r="X371" s="23" t="str">
        <f>IF(ISNUMBER(SEARCH("Y",UPPER(TRIM(Raw_Data!U362)))),"Yes","No")</f>
        <v>Yes</v>
      </c>
      <c r="Y371" s="23" t="str">
        <f>IF(ISNUMBER(SEARCH("Y",UPPER(TRIM(Raw_Data!V362)))),"Yes","No")</f>
        <v>No</v>
      </c>
      <c r="Z371" s="24">
        <f>Raw_Data!W362</f>
        <v>4</v>
      </c>
      <c r="AA371" s="24">
        <f>Raw_Data!X362</f>
        <v>2</v>
      </c>
      <c r="AB371" s="23" t="str">
        <f>IF(COUNTIFS(Raw_Data!$A$2:$A$616,Raw_Data!A362)&gt;1,"Duplicate","Unique")</f>
        <v>Unique</v>
      </c>
      <c r="AC371" s="23" t="str">
        <f t="shared" si="17"/>
        <v>Imputed</v>
      </c>
    </row>
    <row r="372" spans="1:29" ht="15" customHeight="1">
      <c r="A372" s="25" t="str">
        <f>Raw_Data!A363</f>
        <v>BYJ1362</v>
      </c>
      <c r="B372" s="25" t="str">
        <f>Raw_Data!B363</f>
        <v>Laksh Nath</v>
      </c>
      <c r="C372" s="26">
        <f>IF(OR(Raw_Data!C363="",Raw_Data!C363&lt;$C$5,Raw_Data!C363&gt;$C$6),$C$4,Raw_Data!C363)</f>
        <v>37</v>
      </c>
      <c r="D372" s="25" t="str">
        <f>IF(Raw_Data!C363="","Missing-Imputed",IF(OR(Raw_Data!C363&lt;$C$5,Raw_Data!C363&gt;$C$6),"Outlier-Imputed","Original"))</f>
        <v>Original</v>
      </c>
      <c r="E372" s="25" t="str">
        <f>IF(OR(UPPER(TRIM(Raw_Data!D363))="M",UPPER(TRIM(Raw_Data!D363))="MALE"),"Male","Female")</f>
        <v>Male</v>
      </c>
      <c r="F372" s="25" t="str">
        <f>PROPER(TRIM(Raw_Data!E363))</f>
        <v>Kadapa</v>
      </c>
      <c r="G372" s="25" t="str">
        <f>PROPER(TRIM(Raw_Data!F363))</f>
        <v>Maharashtra</v>
      </c>
      <c r="H372" s="25" t="str">
        <f>PROPER(TRIM(Raw_Data!G363))</f>
        <v>Coding</v>
      </c>
      <c r="I372" s="25" t="str">
        <f>PROPER(TRIM(Raw_Data!H363))</f>
        <v>Delhi North</v>
      </c>
      <c r="J372" s="26">
        <f>IF(LEN(TRIM(Raw_Data!I363))=4,VALUE(TRIM(Raw_Data!I363)),IF(ISNUMBER(IFERROR(VALUE(MID(TRIM(Raw_Data!I363),1,4)),"NA")),VALUE(MID(TRIM(Raw_Data!I363),1,4)),VALUE(RIGHT(TRIM(Raw_Data!I363),4))))</f>
        <v>2017</v>
      </c>
      <c r="K372" s="25" t="str">
        <f>PROPER(TRIM(Raw_Data!J363))</f>
        <v>Retired</v>
      </c>
      <c r="L372" s="25" t="str">
        <f t="shared" si="15"/>
        <v>20+</v>
      </c>
      <c r="M372" s="25" t="str">
        <f t="shared" si="16"/>
        <v>Adult Learners</v>
      </c>
      <c r="N372" s="25" t="str">
        <f>IF(ISNUMBER(SEARCH("NON",UPPER(Raw_Data!M363))),"Non-Premium Learner","Premium Learner")</f>
        <v>Non-Premium Learner</v>
      </c>
      <c r="O372" s="25" t="str">
        <f>PROPER(TRIM(Raw_Data!N363))</f>
        <v>Web Only</v>
      </c>
      <c r="P372" s="26">
        <f>IF(Raw_Data!O363="",$C$7,Raw_Data!O363)</f>
        <v>11083.56</v>
      </c>
      <c r="Q372" s="25" t="str">
        <f>IF(Raw_Data!O363="","Missing-Imputed","Original")</f>
        <v>Original</v>
      </c>
      <c r="R372" s="26">
        <f>Raw_Data!P363</f>
        <v>9.6</v>
      </c>
      <c r="S372" s="26">
        <f>Raw_Data!Q363</f>
        <v>42872.97</v>
      </c>
      <c r="T372" s="25" t="str">
        <f>IF(Raw_Data!R363="","Unknown",IF(ISNUMBER(SEARCH("ACT",UPPER(Raw_Data!R363))),"Active",IF(ISNUMBER(SEARCH("CLOS",UPPER(Raw_Data!R363))),"Closed","None")))</f>
        <v>Closed</v>
      </c>
      <c r="U372" s="26">
        <f>IF(Raw_Data!S363="",$C$8,VALUE(Raw_Data!S363))</f>
        <v>316</v>
      </c>
      <c r="V372" s="25" t="str">
        <f>IF(Raw_Data!S363="","Missing-Imputed","Original")</f>
        <v>Original</v>
      </c>
      <c r="W372" s="26">
        <f>Raw_Data!T363</f>
        <v>90</v>
      </c>
      <c r="X372" s="25" t="str">
        <f>IF(ISNUMBER(SEARCH("Y",UPPER(TRIM(Raw_Data!U363)))),"Yes","No")</f>
        <v>Yes</v>
      </c>
      <c r="Y372" s="25" t="str">
        <f>IF(ISNUMBER(SEARCH("Y",UPPER(TRIM(Raw_Data!V363)))),"Yes","No")</f>
        <v>No</v>
      </c>
      <c r="Z372" s="26">
        <f>Raw_Data!W363</f>
        <v>1</v>
      </c>
      <c r="AA372" s="26">
        <f>Raw_Data!X363</f>
        <v>4.8</v>
      </c>
      <c r="AB372" s="25" t="str">
        <f>IF(COUNTIFS(Raw_Data!$A$2:$A$616,Raw_Data!A363)&gt;1,"Duplicate","Unique")</f>
        <v>Unique</v>
      </c>
      <c r="AC372" s="25" t="str">
        <f t="shared" si="17"/>
        <v>Clean</v>
      </c>
    </row>
    <row r="373" spans="1:29" ht="15" customHeight="1">
      <c r="A373" s="23" t="str">
        <f>Raw_Data!A364</f>
        <v>BYJ1363</v>
      </c>
      <c r="B373" s="23" t="str">
        <f>Raw_Data!B364</f>
        <v>Manthan Varma</v>
      </c>
      <c r="C373" s="24">
        <f>IF(OR(Raw_Data!C364="",Raw_Data!C364&lt;$C$5,Raw_Data!C364&gt;$C$6),$C$4,Raw_Data!C364)</f>
        <v>19</v>
      </c>
      <c r="D373" s="23" t="str">
        <f>IF(Raw_Data!C364="","Missing-Imputed",IF(OR(Raw_Data!C364&lt;$C$5,Raw_Data!C364&gt;$C$6),"Outlier-Imputed","Original"))</f>
        <v>Original</v>
      </c>
      <c r="E373" s="23" t="str">
        <f>IF(OR(UPPER(TRIM(Raw_Data!D364))="M",UPPER(TRIM(Raw_Data!D364))="MALE"),"Male","Female")</f>
        <v>Female</v>
      </c>
      <c r="F373" s="23" t="str">
        <f>PROPER(TRIM(Raw_Data!E364))</f>
        <v>Khammam</v>
      </c>
      <c r="G373" s="23" t="str">
        <f>PROPER(TRIM(Raw_Data!F364))</f>
        <v>West Bengal</v>
      </c>
      <c r="H373" s="23" t="str">
        <f>PROPER(TRIM(Raw_Data!G364))</f>
        <v>Mathematics</v>
      </c>
      <c r="I373" s="23" t="str">
        <f>PROPER(TRIM(Raw_Data!H364))</f>
        <v>Kolkata Main</v>
      </c>
      <c r="J373" s="24">
        <f>IF(LEN(TRIM(Raw_Data!I364))=4,VALUE(TRIM(Raw_Data!I364)),IF(ISNUMBER(IFERROR(VALUE(MID(TRIM(Raw_Data!I364),1,4)),"NA")),VALUE(MID(TRIM(Raw_Data!I364),1,4)),VALUE(RIGHT(TRIM(Raw_Data!I364),4))))</f>
        <v>2020</v>
      </c>
      <c r="K373" s="23" t="str">
        <f>PROPER(TRIM(Raw_Data!J364))</f>
        <v>Government Employee</v>
      </c>
      <c r="L373" s="23" t="str">
        <f t="shared" si="15"/>
        <v>17-19</v>
      </c>
      <c r="M373" s="23" t="str">
        <f t="shared" si="16"/>
        <v>Teens</v>
      </c>
      <c r="N373" s="23" t="str">
        <f>IF(ISNUMBER(SEARCH("NON",UPPER(Raw_Data!M364))),"Non-Premium Learner","Premium Learner")</f>
        <v>Non-Premium Learner</v>
      </c>
      <c r="O373" s="23" t="str">
        <f>PROPER(TRIM(Raw_Data!N364))</f>
        <v>Web Only</v>
      </c>
      <c r="P373" s="24">
        <f>IF(Raw_Data!O364="",$C$7,Raw_Data!O364)</f>
        <v>135121.87</v>
      </c>
      <c r="Q373" s="23" t="str">
        <f>IF(Raw_Data!O364="","Missing-Imputed","Original")</f>
        <v>Original</v>
      </c>
      <c r="R373" s="24">
        <f>Raw_Data!P364</f>
        <v>75.7</v>
      </c>
      <c r="S373" s="24">
        <f>Raw_Data!Q364</f>
        <v>17643.78</v>
      </c>
      <c r="T373" s="23" t="str">
        <f>IF(Raw_Data!R364="","Unknown",IF(ISNUMBER(SEARCH("ACT",UPPER(Raw_Data!R364))),"Active",IF(ISNUMBER(SEARCH("CLOS",UPPER(Raw_Data!R364))),"Closed","None")))</f>
        <v>Active</v>
      </c>
      <c r="U373" s="24">
        <f>IF(Raw_Data!S364="",$C$8,VALUE(Raw_Data!S364))</f>
        <v>677</v>
      </c>
      <c r="V373" s="23" t="str">
        <f>IF(Raw_Data!S364="","Missing-Imputed","Original")</f>
        <v>Original</v>
      </c>
      <c r="W373" s="24">
        <f>Raw_Data!T364</f>
        <v>38</v>
      </c>
      <c r="X373" s="23" t="str">
        <f>IF(ISNUMBER(SEARCH("Y",UPPER(TRIM(Raw_Data!U364)))),"Yes","No")</f>
        <v>Yes</v>
      </c>
      <c r="Y373" s="23" t="str">
        <f>IF(ISNUMBER(SEARCH("Y",UPPER(TRIM(Raw_Data!V364)))),"Yes","No")</f>
        <v>Yes</v>
      </c>
      <c r="Z373" s="24">
        <f>Raw_Data!W364</f>
        <v>5</v>
      </c>
      <c r="AA373" s="24">
        <f>Raw_Data!X364</f>
        <v>6.6</v>
      </c>
      <c r="AB373" s="23" t="str">
        <f>IF(COUNTIFS(Raw_Data!$A$2:$A$616,Raw_Data!A364)&gt;1,"Duplicate","Unique")</f>
        <v>Unique</v>
      </c>
      <c r="AC373" s="23" t="str">
        <f t="shared" si="17"/>
        <v>Clean</v>
      </c>
    </row>
    <row r="374" spans="1:29" ht="15" customHeight="1">
      <c r="A374" s="25" t="str">
        <f>Raw_Data!A365</f>
        <v>BYJ1364</v>
      </c>
      <c r="B374" s="25" t="str">
        <f>Raw_Data!B365</f>
        <v>Nicholas Ramaswamy</v>
      </c>
      <c r="C374" s="26">
        <f>IF(OR(Raw_Data!C365="",Raw_Data!C365&lt;$C$5,Raw_Data!C365&gt;$C$6),$C$4,Raw_Data!C365)</f>
        <v>28</v>
      </c>
      <c r="D374" s="25" t="str">
        <f>IF(Raw_Data!C365="","Missing-Imputed",IF(OR(Raw_Data!C365&lt;$C$5,Raw_Data!C365&gt;$C$6),"Outlier-Imputed","Original"))</f>
        <v>Original</v>
      </c>
      <c r="E374" s="25" t="str">
        <f>IF(OR(UPPER(TRIM(Raw_Data!D365))="M",UPPER(TRIM(Raw_Data!D365))="MALE"),"Male","Female")</f>
        <v>Male</v>
      </c>
      <c r="F374" s="25" t="str">
        <f>PROPER(TRIM(Raw_Data!E365))</f>
        <v>Guntakal</v>
      </c>
      <c r="G374" s="25" t="str">
        <f>PROPER(TRIM(Raw_Data!F365))</f>
        <v>Tamil Nadu</v>
      </c>
      <c r="H374" s="25" t="str">
        <f>PROPER(TRIM(Raw_Data!G365))</f>
        <v>Science</v>
      </c>
      <c r="I374" s="25" t="str">
        <f>PROPER(TRIM(Raw_Data!H365))</f>
        <v>Kolkata Main</v>
      </c>
      <c r="J374" s="26">
        <f>IF(LEN(TRIM(Raw_Data!I365))=4,VALUE(TRIM(Raw_Data!I365)),IF(ISNUMBER(IFERROR(VALUE(MID(TRIM(Raw_Data!I365),1,4)),"NA")),VALUE(MID(TRIM(Raw_Data!I365),1,4)),VALUE(RIGHT(TRIM(Raw_Data!I365),4))))</f>
        <v>2017</v>
      </c>
      <c r="K374" s="25" t="str">
        <f>PROPER(TRIM(Raw_Data!J365))</f>
        <v>Government Employee</v>
      </c>
      <c r="L374" s="25" t="str">
        <f t="shared" si="15"/>
        <v>20+</v>
      </c>
      <c r="M374" s="25" t="str">
        <f t="shared" si="16"/>
        <v>Adult Learners</v>
      </c>
      <c r="N374" s="25" t="str">
        <f>IF(ISNUMBER(SEARCH("NON",UPPER(Raw_Data!M365))),"Non-Premium Learner","Premium Learner")</f>
        <v>Non-Premium Learner</v>
      </c>
      <c r="O374" s="25" t="str">
        <f>PROPER(TRIM(Raw_Data!N365))</f>
        <v>Both App &amp; Web</v>
      </c>
      <c r="P374" s="26">
        <f>IF(Raw_Data!O365="",$C$7,Raw_Data!O365)</f>
        <v>120739.8</v>
      </c>
      <c r="Q374" s="25" t="str">
        <f>IF(Raw_Data!O365="","Missing-Imputed","Original")</f>
        <v>Original</v>
      </c>
      <c r="R374" s="26">
        <f>Raw_Data!P365</f>
        <v>54.4</v>
      </c>
      <c r="S374" s="26">
        <f>Raw_Data!Q365</f>
        <v>31220.16</v>
      </c>
      <c r="T374" s="25" t="str">
        <f>IF(Raw_Data!R365="","Unknown",IF(ISNUMBER(SEARCH("ACT",UPPER(Raw_Data!R365))),"Active",IF(ISNUMBER(SEARCH("CLOS",UPPER(Raw_Data!R365))),"Closed","None")))</f>
        <v>Closed</v>
      </c>
      <c r="U374" s="26">
        <f>IF(Raw_Data!S365="",$C$8,VALUE(Raw_Data!S365))</f>
        <v>499</v>
      </c>
      <c r="V374" s="25" t="str">
        <f>IF(Raw_Data!S365="","Missing-Imputed","Original")</f>
        <v>Original</v>
      </c>
      <c r="W374" s="26">
        <f>Raw_Data!T365</f>
        <v>75</v>
      </c>
      <c r="X374" s="25" t="str">
        <f>IF(ISNUMBER(SEARCH("Y",UPPER(TRIM(Raw_Data!U365)))),"Yes","No")</f>
        <v>Yes</v>
      </c>
      <c r="Y374" s="25" t="str">
        <f>IF(ISNUMBER(SEARCH("Y",UPPER(TRIM(Raw_Data!V365)))),"Yes","No")</f>
        <v>Yes</v>
      </c>
      <c r="Z374" s="26">
        <f>Raw_Data!W365</f>
        <v>2</v>
      </c>
      <c r="AA374" s="26">
        <f>Raw_Data!X365</f>
        <v>4.4000000000000004</v>
      </c>
      <c r="AB374" s="25" t="str">
        <f>IF(COUNTIFS(Raw_Data!$A$2:$A$616,Raw_Data!A365)&gt;1,"Duplicate","Unique")</f>
        <v>Unique</v>
      </c>
      <c r="AC374" s="25" t="str">
        <f t="shared" si="17"/>
        <v>Clean</v>
      </c>
    </row>
    <row r="375" spans="1:29" ht="15" customHeight="1">
      <c r="A375" s="23" t="str">
        <f>Raw_Data!A366</f>
        <v>BYJ1365</v>
      </c>
      <c r="B375" s="23" t="str">
        <f>Raw_Data!B366</f>
        <v>Yashica Upadhyay</v>
      </c>
      <c r="C375" s="24">
        <f>IF(OR(Raw_Data!C366="",Raw_Data!C366&lt;$C$5,Raw_Data!C366&gt;$C$6),$C$4,Raw_Data!C366)</f>
        <v>21</v>
      </c>
      <c r="D375" s="23" t="str">
        <f>IF(Raw_Data!C366="","Missing-Imputed",IF(OR(Raw_Data!C366&lt;$C$5,Raw_Data!C366&gt;$C$6),"Outlier-Imputed","Original"))</f>
        <v>Original</v>
      </c>
      <c r="E375" s="23" t="str">
        <f>IF(OR(UPPER(TRIM(Raw_Data!D366))="M",UPPER(TRIM(Raw_Data!D366))="MALE"),"Male","Female")</f>
        <v>Female</v>
      </c>
      <c r="F375" s="23" t="str">
        <f>PROPER(TRIM(Raw_Data!E366))</f>
        <v>Phusro</v>
      </c>
      <c r="G375" s="23" t="str">
        <f>PROPER(TRIM(Raw_Data!F366))</f>
        <v>Gujarat</v>
      </c>
      <c r="H375" s="23" t="str">
        <f>PROPER(TRIM(Raw_Data!G366))</f>
        <v>Mathematics</v>
      </c>
      <c r="I375" s="23" t="str">
        <f>PROPER(TRIM(Raw_Data!H366))</f>
        <v>Pune East</v>
      </c>
      <c r="J375" s="24">
        <f>IF(LEN(TRIM(Raw_Data!I366))=4,VALUE(TRIM(Raw_Data!I366)),IF(ISNUMBER(IFERROR(VALUE(MID(TRIM(Raw_Data!I366),1,4)),"NA")),VALUE(MID(TRIM(Raw_Data!I366),1,4)),VALUE(RIGHT(TRIM(Raw_Data!I366),4))))</f>
        <v>2023</v>
      </c>
      <c r="K375" s="23" t="str">
        <f>PROPER(TRIM(Raw_Data!J366))</f>
        <v>Self-Employed</v>
      </c>
      <c r="L375" s="23" t="str">
        <f t="shared" si="15"/>
        <v>20+</v>
      </c>
      <c r="M375" s="23" t="str">
        <f t="shared" si="16"/>
        <v>Adult Learners</v>
      </c>
      <c r="N375" s="23" t="str">
        <f>IF(ISNUMBER(SEARCH("NON",UPPER(Raw_Data!M366))),"Non-Premium Learner","Premium Learner")</f>
        <v>Premium Learner</v>
      </c>
      <c r="O375" s="23" t="str">
        <f>PROPER(TRIM(Raw_Data!N366))</f>
        <v>App Only</v>
      </c>
      <c r="P375" s="24">
        <f>IF(Raw_Data!O366="",$C$7,Raw_Data!O366)</f>
        <v>139228.96</v>
      </c>
      <c r="Q375" s="23" t="str">
        <f>IF(Raw_Data!O366="","Missing-Imputed","Original")</f>
        <v>Original</v>
      </c>
      <c r="R375" s="24">
        <f>Raw_Data!P366</f>
        <v>73.2</v>
      </c>
      <c r="S375" s="24">
        <f>Raw_Data!Q366</f>
        <v>40446.31</v>
      </c>
      <c r="T375" s="23" t="str">
        <f>IF(Raw_Data!R366="","Unknown",IF(ISNUMBER(SEARCH("ACT",UPPER(Raw_Data!R366))),"Active",IF(ISNUMBER(SEARCH("CLOS",UPPER(Raw_Data!R366))),"Closed","None")))</f>
        <v>None</v>
      </c>
      <c r="U375" s="24">
        <f>IF(Raw_Data!S366="",$C$8,VALUE(Raw_Data!S366))</f>
        <v>566</v>
      </c>
      <c r="V375" s="23" t="str">
        <f>IF(Raw_Data!S366="","Missing-Imputed","Original")</f>
        <v>Original</v>
      </c>
      <c r="W375" s="24">
        <f>Raw_Data!T366</f>
        <v>87</v>
      </c>
      <c r="X375" s="23" t="str">
        <f>IF(ISNUMBER(SEARCH("Y",UPPER(TRIM(Raw_Data!U366)))),"Yes","No")</f>
        <v>No</v>
      </c>
      <c r="Y375" s="23" t="str">
        <f>IF(ISNUMBER(SEARCH("Y",UPPER(TRIM(Raw_Data!V366)))),"Yes","No")</f>
        <v>Yes</v>
      </c>
      <c r="Z375" s="24">
        <f>Raw_Data!W366</f>
        <v>4</v>
      </c>
      <c r="AA375" s="24">
        <f>Raw_Data!X366</f>
        <v>4.8</v>
      </c>
      <c r="AB375" s="23" t="str">
        <f>IF(COUNTIFS(Raw_Data!$A$2:$A$616,Raw_Data!A366)&gt;1,"Duplicate","Unique")</f>
        <v>Unique</v>
      </c>
      <c r="AC375" s="23" t="str">
        <f t="shared" si="17"/>
        <v>Clean</v>
      </c>
    </row>
    <row r="376" spans="1:29" ht="15" customHeight="1">
      <c r="A376" s="25" t="str">
        <f>Raw_Data!A367</f>
        <v>BYJ1366</v>
      </c>
      <c r="B376" s="25" t="str">
        <f>Raw_Data!B367</f>
        <v>Vaishnavi Badal</v>
      </c>
      <c r="C376" s="26">
        <f>IF(OR(Raw_Data!C367="",Raw_Data!C367&lt;$C$5,Raw_Data!C367&gt;$C$6),$C$4,Raw_Data!C367)</f>
        <v>18</v>
      </c>
      <c r="D376" s="25" t="str">
        <f>IF(Raw_Data!C367="","Missing-Imputed",IF(OR(Raw_Data!C367&lt;$C$5,Raw_Data!C367&gt;$C$6),"Outlier-Imputed","Original"))</f>
        <v>Original</v>
      </c>
      <c r="E376" s="25" t="str">
        <f>IF(OR(UPPER(TRIM(Raw_Data!D367))="M",UPPER(TRIM(Raw_Data!D367))="MALE"),"Male","Female")</f>
        <v>Male</v>
      </c>
      <c r="F376" s="25" t="str">
        <f>PROPER(TRIM(Raw_Data!E367))</f>
        <v>Bathinda</v>
      </c>
      <c r="G376" s="25" t="str">
        <f>PROPER(TRIM(Raw_Data!F367))</f>
        <v>Karnataka</v>
      </c>
      <c r="H376" s="25" t="str">
        <f>PROPER(TRIM(Raw_Data!G367))</f>
        <v>Robotics</v>
      </c>
      <c r="I376" s="25" t="str">
        <f>PROPER(TRIM(Raw_Data!H367))</f>
        <v>Hyderabad Hub</v>
      </c>
      <c r="J376" s="26">
        <f>IF(LEN(TRIM(Raw_Data!I367))=4,VALUE(TRIM(Raw_Data!I367)),IF(ISNUMBER(IFERROR(VALUE(MID(TRIM(Raw_Data!I367),1,4)),"NA")),VALUE(MID(TRIM(Raw_Data!I367),1,4)),VALUE(RIGHT(TRIM(Raw_Data!I367),4))))</f>
        <v>2024</v>
      </c>
      <c r="K376" s="25" t="str">
        <f>PROPER(TRIM(Raw_Data!J367))</f>
        <v>Business</v>
      </c>
      <c r="L376" s="25" t="str">
        <f t="shared" si="15"/>
        <v>17-19</v>
      </c>
      <c r="M376" s="25" t="str">
        <f t="shared" si="16"/>
        <v>Teens</v>
      </c>
      <c r="N376" s="25" t="str">
        <f>IF(ISNUMBER(SEARCH("NON",UPPER(Raw_Data!M367))),"Non-Premium Learner","Premium Learner")</f>
        <v>Non-Premium Learner</v>
      </c>
      <c r="O376" s="25" t="str">
        <f>PROPER(TRIM(Raw_Data!N367))</f>
        <v>App Only</v>
      </c>
      <c r="P376" s="26">
        <f>IF(Raw_Data!O367="",$C$7,Raw_Data!O367)</f>
        <v>105056.75</v>
      </c>
      <c r="Q376" s="25" t="str">
        <f>IF(Raw_Data!O367="","Missing-Imputed","Original")</f>
        <v>Original</v>
      </c>
      <c r="R376" s="26">
        <f>Raw_Data!P367</f>
        <v>14.9</v>
      </c>
      <c r="S376" s="26">
        <f>Raw_Data!Q367</f>
        <v>52012.800000000003</v>
      </c>
      <c r="T376" s="25" t="str">
        <f>IF(Raw_Data!R367="","Unknown",IF(ISNUMBER(SEARCH("ACT",UPPER(Raw_Data!R367))),"Active",IF(ISNUMBER(SEARCH("CLOS",UPPER(Raw_Data!R367))),"Closed","None")))</f>
        <v>Closed</v>
      </c>
      <c r="U376" s="26">
        <f>IF(Raw_Data!S367="",$C$8,VALUE(Raw_Data!S367))</f>
        <v>662</v>
      </c>
      <c r="V376" s="25" t="str">
        <f>IF(Raw_Data!S367="","Missing-Imputed","Original")</f>
        <v>Original</v>
      </c>
      <c r="W376" s="26">
        <f>Raw_Data!T367</f>
        <v>178</v>
      </c>
      <c r="X376" s="25" t="str">
        <f>IF(ISNUMBER(SEARCH("Y",UPPER(TRIM(Raw_Data!U367)))),"Yes","No")</f>
        <v>Yes</v>
      </c>
      <c r="Y376" s="25" t="str">
        <f>IF(ISNUMBER(SEARCH("Y",UPPER(TRIM(Raw_Data!V367)))),"Yes","No")</f>
        <v>Yes</v>
      </c>
      <c r="Z376" s="26">
        <f>Raw_Data!W367</f>
        <v>3</v>
      </c>
      <c r="AA376" s="26">
        <f>Raw_Data!X367</f>
        <v>5.5</v>
      </c>
      <c r="AB376" s="25" t="str">
        <f>IF(COUNTIFS(Raw_Data!$A$2:$A$616,Raw_Data!A367)&gt;1,"Duplicate","Unique")</f>
        <v>Unique</v>
      </c>
      <c r="AC376" s="25" t="str">
        <f t="shared" si="17"/>
        <v>Clean</v>
      </c>
    </row>
    <row r="377" spans="1:29" ht="15" customHeight="1">
      <c r="A377" s="23" t="str">
        <f>Raw_Data!A368</f>
        <v>BYJ1367</v>
      </c>
      <c r="B377" s="23" t="str">
        <f>Raw_Data!B368</f>
        <v>Omaja Morar</v>
      </c>
      <c r="C377" s="24">
        <f>IF(OR(Raw_Data!C368="",Raw_Data!C368&lt;$C$5,Raw_Data!C368&gt;$C$6),$C$4,Raw_Data!C368)</f>
        <v>8</v>
      </c>
      <c r="D377" s="23" t="str">
        <f>IF(Raw_Data!C368="","Missing-Imputed",IF(OR(Raw_Data!C368&lt;$C$5,Raw_Data!C368&gt;$C$6),"Outlier-Imputed","Original"))</f>
        <v>Original</v>
      </c>
      <c r="E377" s="23" t="str">
        <f>IF(OR(UPPER(TRIM(Raw_Data!D368))="M",UPPER(TRIM(Raw_Data!D368))="MALE"),"Male","Female")</f>
        <v>Male</v>
      </c>
      <c r="F377" s="23" t="str">
        <f>PROPER(TRIM(Raw_Data!E368))</f>
        <v>Kavali</v>
      </c>
      <c r="G377" s="23" t="str">
        <f>PROPER(TRIM(Raw_Data!F368))</f>
        <v>West Bengal</v>
      </c>
      <c r="H377" s="23" t="str">
        <f>PROPER(TRIM(Raw_Data!G368))</f>
        <v>Spoken English</v>
      </c>
      <c r="I377" s="23" t="str">
        <f>PROPER(TRIM(Raw_Data!H368))</f>
        <v>Kolkata Main</v>
      </c>
      <c r="J377" s="24">
        <f>IF(LEN(TRIM(Raw_Data!I368))=4,VALUE(TRIM(Raw_Data!I368)),IF(ISNUMBER(IFERROR(VALUE(MID(TRIM(Raw_Data!I368),1,4)),"NA")),VALUE(MID(TRIM(Raw_Data!I368),1,4)),VALUE(RIGHT(TRIM(Raw_Data!I368),4))))</f>
        <v>2020</v>
      </c>
      <c r="K377" s="23" t="str">
        <f>PROPER(TRIM(Raw_Data!J368))</f>
        <v>Retired</v>
      </c>
      <c r="L377" s="23" t="str">
        <f t="shared" si="15"/>
        <v>Under 10</v>
      </c>
      <c r="M377" s="23" t="str">
        <f t="shared" si="16"/>
        <v>Kids</v>
      </c>
      <c r="N377" s="23" t="str">
        <f>IF(ISNUMBER(SEARCH("NON",UPPER(Raw_Data!M368))),"Non-Premium Learner","Premium Learner")</f>
        <v>Premium Learner</v>
      </c>
      <c r="O377" s="23" t="str">
        <f>PROPER(TRIM(Raw_Data!N368))</f>
        <v>Both App &amp; Web</v>
      </c>
      <c r="P377" s="24">
        <f>IF(Raw_Data!O368="",$C$7,Raw_Data!O368)</f>
        <v>17149.48</v>
      </c>
      <c r="Q377" s="23" t="str">
        <f>IF(Raw_Data!O368="","Missing-Imputed","Original")</f>
        <v>Original</v>
      </c>
      <c r="R377" s="24">
        <f>Raw_Data!P368</f>
        <v>49.5</v>
      </c>
      <c r="S377" s="24">
        <f>Raw_Data!Q368</f>
        <v>22192.43</v>
      </c>
      <c r="T377" s="23" t="str">
        <f>IF(Raw_Data!R368="","Unknown",IF(ISNUMBER(SEARCH("ACT",UPPER(Raw_Data!R368))),"Active",IF(ISNUMBER(SEARCH("CLOS",UPPER(Raw_Data!R368))),"Closed","None")))</f>
        <v>None</v>
      </c>
      <c r="U377" s="24">
        <f>IF(Raw_Data!S368="",$C$8,VALUE(Raw_Data!S368))</f>
        <v>688</v>
      </c>
      <c r="V377" s="23" t="str">
        <f>IF(Raw_Data!S368="","Missing-Imputed","Original")</f>
        <v>Original</v>
      </c>
      <c r="W377" s="24">
        <f>Raw_Data!T368</f>
        <v>45</v>
      </c>
      <c r="X377" s="23" t="str">
        <f>IF(ISNUMBER(SEARCH("Y",UPPER(TRIM(Raw_Data!U368)))),"Yes","No")</f>
        <v>No</v>
      </c>
      <c r="Y377" s="23" t="str">
        <f>IF(ISNUMBER(SEARCH("Y",UPPER(TRIM(Raw_Data!V368)))),"Yes","No")</f>
        <v>Yes</v>
      </c>
      <c r="Z377" s="24">
        <f>Raw_Data!W368</f>
        <v>4</v>
      </c>
      <c r="AA377" s="24">
        <f>Raw_Data!X368</f>
        <v>3.4</v>
      </c>
      <c r="AB377" s="23" t="str">
        <f>IF(COUNTIFS(Raw_Data!$A$2:$A$616,Raw_Data!A368)&gt;1,"Duplicate","Unique")</f>
        <v>Unique</v>
      </c>
      <c r="AC377" s="23" t="str">
        <f t="shared" si="17"/>
        <v>Clean</v>
      </c>
    </row>
    <row r="378" spans="1:29" ht="15" customHeight="1">
      <c r="A378" s="25" t="str">
        <f>Raw_Data!A369</f>
        <v>BYJ1368</v>
      </c>
      <c r="B378" s="25" t="str">
        <f>Raw_Data!B369</f>
        <v>Alka Kari</v>
      </c>
      <c r="C378" s="26">
        <f>IF(OR(Raw_Data!C369="",Raw_Data!C369&lt;$C$5,Raw_Data!C369&gt;$C$6),$C$4,Raw_Data!C369)</f>
        <v>43</v>
      </c>
      <c r="D378" s="25" t="str">
        <f>IF(Raw_Data!C369="","Missing-Imputed",IF(OR(Raw_Data!C369&lt;$C$5,Raw_Data!C369&gt;$C$6),"Outlier-Imputed","Original"))</f>
        <v>Original</v>
      </c>
      <c r="E378" s="25" t="str">
        <f>IF(OR(UPPER(TRIM(Raw_Data!D369))="M",UPPER(TRIM(Raw_Data!D369))="MALE"),"Male","Female")</f>
        <v>Female</v>
      </c>
      <c r="F378" s="25" t="str">
        <f>PROPER(TRIM(Raw_Data!E369))</f>
        <v>Ballia</v>
      </c>
      <c r="G378" s="25" t="str">
        <f>PROPER(TRIM(Raw_Data!F369))</f>
        <v>Gujarat</v>
      </c>
      <c r="H378" s="25" t="str">
        <f>PROPER(TRIM(Raw_Data!G369))</f>
        <v>Science</v>
      </c>
      <c r="I378" s="25" t="str">
        <f>PROPER(TRIM(Raw_Data!H369))</f>
        <v>Mumbai West</v>
      </c>
      <c r="J378" s="26">
        <f>IF(LEN(TRIM(Raw_Data!I369))=4,VALUE(TRIM(Raw_Data!I369)),IF(ISNUMBER(IFERROR(VALUE(MID(TRIM(Raw_Data!I369),1,4)),"NA")),VALUE(MID(TRIM(Raw_Data!I369),1,4)),VALUE(RIGHT(TRIM(Raw_Data!I369),4))))</f>
        <v>2016</v>
      </c>
      <c r="K378" s="25" t="str">
        <f>PROPER(TRIM(Raw_Data!J369))</f>
        <v>Self-Employed</v>
      </c>
      <c r="L378" s="25" t="str">
        <f t="shared" si="15"/>
        <v>20+</v>
      </c>
      <c r="M378" s="25" t="str">
        <f t="shared" si="16"/>
        <v>Adult Learners</v>
      </c>
      <c r="N378" s="25" t="str">
        <f>IF(ISNUMBER(SEARCH("NON",UPPER(Raw_Data!M369))),"Non-Premium Learner","Premium Learner")</f>
        <v>Non-Premium Learner</v>
      </c>
      <c r="O378" s="25" t="str">
        <f>PROPER(TRIM(Raw_Data!N369))</f>
        <v>Both App &amp; Web</v>
      </c>
      <c r="P378" s="26">
        <f>IF(Raw_Data!O369="",$C$7,Raw_Data!O369)</f>
        <v>50583.27</v>
      </c>
      <c r="Q378" s="25" t="str">
        <f>IF(Raw_Data!O369="","Missing-Imputed","Original")</f>
        <v>Original</v>
      </c>
      <c r="R378" s="26">
        <f>Raw_Data!P369</f>
        <v>17.399999999999999</v>
      </c>
      <c r="S378" s="26">
        <f>Raw_Data!Q369</f>
        <v>17270.59</v>
      </c>
      <c r="T378" s="25" t="str">
        <f>IF(Raw_Data!R369="","Unknown",IF(ISNUMBER(SEARCH("ACT",UPPER(Raw_Data!R369))),"Active",IF(ISNUMBER(SEARCH("CLOS",UPPER(Raw_Data!R369))),"Closed","None")))</f>
        <v>Closed</v>
      </c>
      <c r="U378" s="26">
        <f>IF(Raw_Data!S369="",$C$8,VALUE(Raw_Data!S369))</f>
        <v>529</v>
      </c>
      <c r="V378" s="25" t="str">
        <f>IF(Raw_Data!S369="","Missing-Imputed","Original")</f>
        <v>Original</v>
      </c>
      <c r="W378" s="26">
        <f>Raw_Data!T369</f>
        <v>73</v>
      </c>
      <c r="X378" s="25" t="str">
        <f>IF(ISNUMBER(SEARCH("Y",UPPER(TRIM(Raw_Data!U369)))),"Yes","No")</f>
        <v>No</v>
      </c>
      <c r="Y378" s="25" t="str">
        <f>IF(ISNUMBER(SEARCH("Y",UPPER(TRIM(Raw_Data!V369)))),"Yes","No")</f>
        <v>Yes</v>
      </c>
      <c r="Z378" s="26">
        <f>Raw_Data!W369</f>
        <v>2</v>
      </c>
      <c r="AA378" s="26">
        <f>Raw_Data!X369</f>
        <v>1.3</v>
      </c>
      <c r="AB378" s="25" t="str">
        <f>IF(COUNTIFS(Raw_Data!$A$2:$A$616,Raw_Data!A369)&gt;1,"Duplicate","Unique")</f>
        <v>Unique</v>
      </c>
      <c r="AC378" s="25" t="str">
        <f t="shared" si="17"/>
        <v>Clean</v>
      </c>
    </row>
    <row r="379" spans="1:29" ht="15" customHeight="1">
      <c r="A379" s="23" t="str">
        <f>Raw_Data!A370</f>
        <v>BYJ1369</v>
      </c>
      <c r="B379" s="23" t="str">
        <f>Raw_Data!B370</f>
        <v>Onkar Viswanathan</v>
      </c>
      <c r="C379" s="24">
        <f>IF(OR(Raw_Data!C370="",Raw_Data!C370&lt;$C$5,Raw_Data!C370&gt;$C$6),$C$4,Raw_Data!C370)</f>
        <v>16</v>
      </c>
      <c r="D379" s="23" t="str">
        <f>IF(Raw_Data!C370="","Missing-Imputed",IF(OR(Raw_Data!C370&lt;$C$5,Raw_Data!C370&gt;$C$6),"Outlier-Imputed","Original"))</f>
        <v>Original</v>
      </c>
      <c r="E379" s="23" t="str">
        <f>IF(OR(UPPER(TRIM(Raw_Data!D370))="M",UPPER(TRIM(Raw_Data!D370))="MALE"),"Male","Female")</f>
        <v>Male</v>
      </c>
      <c r="F379" s="23" t="str">
        <f>PROPER(TRIM(Raw_Data!E370))</f>
        <v>Siliguri</v>
      </c>
      <c r="G379" s="23" t="str">
        <f>PROPER(TRIM(Raw_Data!F370))</f>
        <v>Uttar Pradesh</v>
      </c>
      <c r="H379" s="23" t="str">
        <f>PROPER(TRIM(Raw_Data!G370))</f>
        <v>English</v>
      </c>
      <c r="I379" s="23" t="str">
        <f>PROPER(TRIM(Raw_Data!H370))</f>
        <v>Chennai Central</v>
      </c>
      <c r="J379" s="24">
        <f>IF(LEN(TRIM(Raw_Data!I370))=4,VALUE(TRIM(Raw_Data!I370)),IF(ISNUMBER(IFERROR(VALUE(MID(TRIM(Raw_Data!I370),1,4)),"NA")),VALUE(MID(TRIM(Raw_Data!I370),1,4)),VALUE(RIGHT(TRIM(Raw_Data!I370),4))))</f>
        <v>2023</v>
      </c>
      <c r="K379" s="23" t="str">
        <f>PROPER(TRIM(Raw_Data!J370))</f>
        <v>Homemaker</v>
      </c>
      <c r="L379" s="23" t="str">
        <f t="shared" si="15"/>
        <v>14-16</v>
      </c>
      <c r="M379" s="23" t="str">
        <f t="shared" si="16"/>
        <v>Teens</v>
      </c>
      <c r="N379" s="23" t="str">
        <f>IF(ISNUMBER(SEARCH("NON",UPPER(Raw_Data!M370))),"Non-Premium Learner","Premium Learner")</f>
        <v>Non-Premium Learner</v>
      </c>
      <c r="O379" s="23" t="str">
        <f>PROPER(TRIM(Raw_Data!N370))</f>
        <v>Both App &amp; Web</v>
      </c>
      <c r="P379" s="24">
        <f>IF(Raw_Data!O370="",$C$7,Raw_Data!O370)</f>
        <v>69499.58</v>
      </c>
      <c r="Q379" s="23" t="str">
        <f>IF(Raw_Data!O370="","Missing-Imputed","Original")</f>
        <v>Original</v>
      </c>
      <c r="R379" s="24">
        <f>Raw_Data!P370</f>
        <v>39</v>
      </c>
      <c r="S379" s="24">
        <f>Raw_Data!Q370</f>
        <v>55079.71</v>
      </c>
      <c r="T379" s="23" t="str">
        <f>IF(Raw_Data!R370="","Unknown",IF(ISNUMBER(SEARCH("ACT",UPPER(Raw_Data!R370))),"Active",IF(ISNUMBER(SEARCH("CLOS",UPPER(Raw_Data!R370))),"Closed","None")))</f>
        <v>None</v>
      </c>
      <c r="U379" s="24">
        <f>IF(Raw_Data!S370="",$C$8,VALUE(Raw_Data!S370))</f>
        <v>755</v>
      </c>
      <c r="V379" s="23" t="str">
        <f>IF(Raw_Data!S370="","Missing-Imputed","Original")</f>
        <v>Original</v>
      </c>
      <c r="W379" s="24">
        <f>Raw_Data!T370</f>
        <v>126</v>
      </c>
      <c r="X379" s="23" t="str">
        <f>IF(ISNUMBER(SEARCH("Y",UPPER(TRIM(Raw_Data!U370)))),"Yes","No")</f>
        <v>No</v>
      </c>
      <c r="Y379" s="23" t="str">
        <f>IF(ISNUMBER(SEARCH("Y",UPPER(TRIM(Raw_Data!V370)))),"Yes","No")</f>
        <v>Yes</v>
      </c>
      <c r="Z379" s="24">
        <f>Raw_Data!W370</f>
        <v>1</v>
      </c>
      <c r="AA379" s="24">
        <f>Raw_Data!X370</f>
        <v>8.6999999999999993</v>
      </c>
      <c r="AB379" s="23" t="str">
        <f>IF(COUNTIFS(Raw_Data!$A$2:$A$616,Raw_Data!A370)&gt;1,"Duplicate","Unique")</f>
        <v>Unique</v>
      </c>
      <c r="AC379" s="23" t="str">
        <f t="shared" si="17"/>
        <v>Clean</v>
      </c>
    </row>
    <row r="380" spans="1:29" ht="15" customHeight="1">
      <c r="A380" s="25" t="str">
        <f>Raw_Data!A371</f>
        <v>BYJ1370</v>
      </c>
      <c r="B380" s="25" t="str">
        <f>Raw_Data!B371</f>
        <v>Azad Choudhary</v>
      </c>
      <c r="C380" s="26">
        <f>IF(OR(Raw_Data!C371="",Raw_Data!C371&lt;$C$5,Raw_Data!C371&gt;$C$6),$C$4,Raw_Data!C371)</f>
        <v>20</v>
      </c>
      <c r="D380" s="25" t="str">
        <f>IF(Raw_Data!C371="","Missing-Imputed",IF(OR(Raw_Data!C371&lt;$C$5,Raw_Data!C371&gt;$C$6),"Outlier-Imputed","Original"))</f>
        <v>Original</v>
      </c>
      <c r="E380" s="25" t="str">
        <f>IF(OR(UPPER(TRIM(Raw_Data!D371))="M",UPPER(TRIM(Raw_Data!D371))="MALE"),"Male","Female")</f>
        <v>Male</v>
      </c>
      <c r="F380" s="25" t="str">
        <f>PROPER(TRIM(Raw_Data!E371))</f>
        <v>Surat</v>
      </c>
      <c r="G380" s="25" t="str">
        <f>PROPER(TRIM(Raw_Data!F371))</f>
        <v>Gujarat</v>
      </c>
      <c r="H380" s="25" t="str">
        <f>PROPER(TRIM(Raw_Data!G371))</f>
        <v>Jee Prep</v>
      </c>
      <c r="I380" s="25" t="str">
        <f>PROPER(TRIM(Raw_Data!H371))</f>
        <v>Ahmedabad Center</v>
      </c>
      <c r="J380" s="26">
        <f>IF(LEN(TRIM(Raw_Data!I371))=4,VALUE(TRIM(Raw_Data!I371)),IF(ISNUMBER(IFERROR(VALUE(MID(TRIM(Raw_Data!I371),1,4)),"NA")),VALUE(MID(TRIM(Raw_Data!I371),1,4)),VALUE(RIGHT(TRIM(Raw_Data!I371),4))))</f>
        <v>2024</v>
      </c>
      <c r="K380" s="25" t="str">
        <f>PROPER(TRIM(Raw_Data!J371))</f>
        <v>Retired</v>
      </c>
      <c r="L380" s="25" t="str">
        <f t="shared" si="15"/>
        <v>20+</v>
      </c>
      <c r="M380" s="25" t="str">
        <f t="shared" si="16"/>
        <v>Adult Learners</v>
      </c>
      <c r="N380" s="25" t="str">
        <f>IF(ISNUMBER(SEARCH("NON",UPPER(Raw_Data!M371))),"Non-Premium Learner","Premium Learner")</f>
        <v>Non-Premium Learner</v>
      </c>
      <c r="O380" s="25" t="str">
        <f>PROPER(TRIM(Raw_Data!N371))</f>
        <v>App Only</v>
      </c>
      <c r="P380" s="26">
        <f>IF(Raw_Data!O371="",$C$7,Raw_Data!O371)</f>
        <v>67839.759999999995</v>
      </c>
      <c r="Q380" s="25" t="str">
        <f>IF(Raw_Data!O371="","Missing-Imputed","Original")</f>
        <v>Original</v>
      </c>
      <c r="R380" s="26">
        <f>Raw_Data!P371</f>
        <v>64.599999999999994</v>
      </c>
      <c r="S380" s="26">
        <f>Raw_Data!Q371</f>
        <v>19051.63</v>
      </c>
      <c r="T380" s="25" t="str">
        <f>IF(Raw_Data!R371="","Unknown",IF(ISNUMBER(SEARCH("ACT",UPPER(Raw_Data!R371))),"Active",IF(ISNUMBER(SEARCH("CLOS",UPPER(Raw_Data!R371))),"Closed","None")))</f>
        <v>None</v>
      </c>
      <c r="U380" s="26">
        <f>IF(Raw_Data!S371="",$C$8,VALUE(Raw_Data!S371))</f>
        <v>308</v>
      </c>
      <c r="V380" s="25" t="str">
        <f>IF(Raw_Data!S371="","Missing-Imputed","Original")</f>
        <v>Original</v>
      </c>
      <c r="W380" s="26">
        <f>Raw_Data!T371</f>
        <v>150</v>
      </c>
      <c r="X380" s="25" t="str">
        <f>IF(ISNUMBER(SEARCH("Y",UPPER(TRIM(Raw_Data!U371)))),"Yes","No")</f>
        <v>No</v>
      </c>
      <c r="Y380" s="25" t="str">
        <f>IF(ISNUMBER(SEARCH("Y",UPPER(TRIM(Raw_Data!V371)))),"Yes","No")</f>
        <v>Yes</v>
      </c>
      <c r="Z380" s="26">
        <f>Raw_Data!W371</f>
        <v>4</v>
      </c>
      <c r="AA380" s="26">
        <f>Raw_Data!X371</f>
        <v>1.8</v>
      </c>
      <c r="AB380" s="25" t="str">
        <f>IF(COUNTIFS(Raw_Data!$A$2:$A$616,Raw_Data!A371)&gt;1,"Duplicate","Unique")</f>
        <v>Unique</v>
      </c>
      <c r="AC380" s="25" t="str">
        <f t="shared" si="17"/>
        <v>Clean</v>
      </c>
    </row>
    <row r="381" spans="1:29" ht="15" customHeight="1">
      <c r="A381" s="23" t="str">
        <f>Raw_Data!A372</f>
        <v>BYJ1371</v>
      </c>
      <c r="B381" s="23" t="str">
        <f>Raw_Data!B372</f>
        <v>Dipta Sahota</v>
      </c>
      <c r="C381" s="24">
        <f>IF(OR(Raw_Data!C372="",Raw_Data!C372&lt;$C$5,Raw_Data!C372&gt;$C$6),$C$4,Raw_Data!C372)</f>
        <v>24</v>
      </c>
      <c r="D381" s="23" t="str">
        <f>IF(Raw_Data!C372="","Missing-Imputed",IF(OR(Raw_Data!C372&lt;$C$5,Raw_Data!C372&gt;$C$6),"Outlier-Imputed","Original"))</f>
        <v>Original</v>
      </c>
      <c r="E381" s="23" t="str">
        <f>IF(OR(UPPER(TRIM(Raw_Data!D372))="M",UPPER(TRIM(Raw_Data!D372))="MALE"),"Male","Female")</f>
        <v>Male</v>
      </c>
      <c r="F381" s="23" t="str">
        <f>PROPER(TRIM(Raw_Data!E372))</f>
        <v>Haridwar</v>
      </c>
      <c r="G381" s="23" t="str">
        <f>PROPER(TRIM(Raw_Data!F372))</f>
        <v>Karnataka</v>
      </c>
      <c r="H381" s="23" t="str">
        <f>PROPER(TRIM(Raw_Data!G372))</f>
        <v>English</v>
      </c>
      <c r="I381" s="23" t="str">
        <f>PROPER(TRIM(Raw_Data!H372))</f>
        <v>Chennai Central</v>
      </c>
      <c r="J381" s="24">
        <f>IF(LEN(TRIM(Raw_Data!I372))=4,VALUE(TRIM(Raw_Data!I372)),IF(ISNUMBER(IFERROR(VALUE(MID(TRIM(Raw_Data!I372),1,4)),"NA")),VALUE(MID(TRIM(Raw_Data!I372),1,4)),VALUE(RIGHT(TRIM(Raw_Data!I372),4))))</f>
        <v>2022</v>
      </c>
      <c r="K381" s="23" t="str">
        <f>PROPER(TRIM(Raw_Data!J372))</f>
        <v>Retired</v>
      </c>
      <c r="L381" s="23" t="str">
        <f t="shared" si="15"/>
        <v>20+</v>
      </c>
      <c r="M381" s="23" t="str">
        <f t="shared" si="16"/>
        <v>Adult Learners</v>
      </c>
      <c r="N381" s="23" t="str">
        <f>IF(ISNUMBER(SEARCH("NON",UPPER(Raw_Data!M372))),"Non-Premium Learner","Premium Learner")</f>
        <v>Premium Learner</v>
      </c>
      <c r="O381" s="23" t="str">
        <f>PROPER(TRIM(Raw_Data!N372))</f>
        <v>Web Only</v>
      </c>
      <c r="P381" s="24">
        <f>IF(Raw_Data!O372="",$C$7,Raw_Data!O372)</f>
        <v>93939.839999999997</v>
      </c>
      <c r="Q381" s="23" t="str">
        <f>IF(Raw_Data!O372="","Missing-Imputed","Original")</f>
        <v>Original</v>
      </c>
      <c r="R381" s="24">
        <f>Raw_Data!P372</f>
        <v>22.6</v>
      </c>
      <c r="S381" s="24">
        <f>Raw_Data!Q372</f>
        <v>20922.23</v>
      </c>
      <c r="T381" s="23" t="str">
        <f>IF(Raw_Data!R372="","Unknown",IF(ISNUMBER(SEARCH("ACT",UPPER(Raw_Data!R372))),"Active",IF(ISNUMBER(SEARCH("CLOS",UPPER(Raw_Data!R372))),"Closed","None")))</f>
        <v>None</v>
      </c>
      <c r="U381" s="24">
        <f>IF(Raw_Data!S372="",$C$8,VALUE(Raw_Data!S372))</f>
        <v>607</v>
      </c>
      <c r="V381" s="23" t="str">
        <f>IF(Raw_Data!S372="","Missing-Imputed","Original")</f>
        <v>Original</v>
      </c>
      <c r="W381" s="24">
        <f>Raw_Data!T372</f>
        <v>74</v>
      </c>
      <c r="X381" s="23" t="str">
        <f>IF(ISNUMBER(SEARCH("Y",UPPER(TRIM(Raw_Data!U372)))),"Yes","No")</f>
        <v>No</v>
      </c>
      <c r="Y381" s="23" t="str">
        <f>IF(ISNUMBER(SEARCH("Y",UPPER(TRIM(Raw_Data!V372)))),"Yes","No")</f>
        <v>No</v>
      </c>
      <c r="Z381" s="24">
        <f>Raw_Data!W372</f>
        <v>5</v>
      </c>
      <c r="AA381" s="24">
        <f>Raw_Data!X372</f>
        <v>4.5999999999999996</v>
      </c>
      <c r="AB381" s="23" t="str">
        <f>IF(COUNTIFS(Raw_Data!$A$2:$A$616,Raw_Data!A372)&gt;1,"Duplicate","Unique")</f>
        <v>Unique</v>
      </c>
      <c r="AC381" s="23" t="str">
        <f t="shared" si="17"/>
        <v>Clean</v>
      </c>
    </row>
    <row r="382" spans="1:29" ht="15" customHeight="1">
      <c r="A382" s="25" t="str">
        <f>Raw_Data!A373</f>
        <v>BYJ1372</v>
      </c>
      <c r="B382" s="25" t="str">
        <f>Raw_Data!B373</f>
        <v>Nirja Thaker</v>
      </c>
      <c r="C382" s="26">
        <f>IF(OR(Raw_Data!C373="",Raw_Data!C373&lt;$C$5,Raw_Data!C373&gt;$C$6),$C$4,Raw_Data!C373)</f>
        <v>24</v>
      </c>
      <c r="D382" s="25" t="str">
        <f>IF(Raw_Data!C373="","Missing-Imputed",IF(OR(Raw_Data!C373&lt;$C$5,Raw_Data!C373&gt;$C$6),"Outlier-Imputed","Original"))</f>
        <v>Original</v>
      </c>
      <c r="E382" s="25" t="str">
        <f>IF(OR(UPPER(TRIM(Raw_Data!D373))="M",UPPER(TRIM(Raw_Data!D373))="MALE"),"Male","Female")</f>
        <v>Female</v>
      </c>
      <c r="F382" s="25" t="str">
        <f>PROPER(TRIM(Raw_Data!E373))</f>
        <v>Ghaziabad</v>
      </c>
      <c r="G382" s="25" t="str">
        <f>PROPER(TRIM(Raw_Data!F373))</f>
        <v>West Bengal</v>
      </c>
      <c r="H382" s="25" t="str">
        <f>PROPER(TRIM(Raw_Data!G373))</f>
        <v>Mathematics</v>
      </c>
      <c r="I382" s="25" t="str">
        <f>PROPER(TRIM(Raw_Data!H373))</f>
        <v>Mumbai West</v>
      </c>
      <c r="J382" s="26">
        <f>IF(LEN(TRIM(Raw_Data!I373))=4,VALUE(TRIM(Raw_Data!I373)),IF(ISNUMBER(IFERROR(VALUE(MID(TRIM(Raw_Data!I373),1,4)),"NA")),VALUE(MID(TRIM(Raw_Data!I373),1,4)),VALUE(RIGHT(TRIM(Raw_Data!I373),4))))</f>
        <v>2023</v>
      </c>
      <c r="K382" s="25" t="str">
        <f>PROPER(TRIM(Raw_Data!J373))</f>
        <v>Homemaker</v>
      </c>
      <c r="L382" s="25" t="str">
        <f t="shared" si="15"/>
        <v>20+</v>
      </c>
      <c r="M382" s="25" t="str">
        <f t="shared" si="16"/>
        <v>Adult Learners</v>
      </c>
      <c r="N382" s="25" t="str">
        <f>IF(ISNUMBER(SEARCH("NON",UPPER(Raw_Data!M373))),"Non-Premium Learner","Premium Learner")</f>
        <v>Non-Premium Learner</v>
      </c>
      <c r="O382" s="25" t="str">
        <f>PROPER(TRIM(Raw_Data!N373))</f>
        <v>Web Only</v>
      </c>
      <c r="P382" s="26">
        <f>IF(Raw_Data!O373="",$C$7,Raw_Data!O373)</f>
        <v>126817.52</v>
      </c>
      <c r="Q382" s="25" t="str">
        <f>IF(Raw_Data!O373="","Missing-Imputed","Original")</f>
        <v>Original</v>
      </c>
      <c r="R382" s="26">
        <f>Raw_Data!P373</f>
        <v>50.1</v>
      </c>
      <c r="S382" s="26">
        <f>Raw_Data!Q373</f>
        <v>41233.32</v>
      </c>
      <c r="T382" s="25" t="str">
        <f>IF(Raw_Data!R373="","Unknown",IF(ISNUMBER(SEARCH("ACT",UPPER(Raw_Data!R373))),"Active",IF(ISNUMBER(SEARCH("CLOS",UPPER(Raw_Data!R373))),"Closed","None")))</f>
        <v>Active</v>
      </c>
      <c r="U382" s="26">
        <f>IF(Raw_Data!S373="",$C$8,VALUE(Raw_Data!S373))</f>
        <v>574</v>
      </c>
      <c r="V382" s="25" t="str">
        <f>IF(Raw_Data!S373="","Missing-Imputed","Original")</f>
        <v>Original</v>
      </c>
      <c r="W382" s="26">
        <f>Raw_Data!T373</f>
        <v>200</v>
      </c>
      <c r="X382" s="25" t="str">
        <f>IF(ISNUMBER(SEARCH("Y",UPPER(TRIM(Raw_Data!U373)))),"Yes","No")</f>
        <v>No</v>
      </c>
      <c r="Y382" s="25" t="str">
        <f>IF(ISNUMBER(SEARCH("Y",UPPER(TRIM(Raw_Data!V373)))),"Yes","No")</f>
        <v>No</v>
      </c>
      <c r="Z382" s="26">
        <f>Raw_Data!W373</f>
        <v>3</v>
      </c>
      <c r="AA382" s="26">
        <f>Raw_Data!X373</f>
        <v>4</v>
      </c>
      <c r="AB382" s="25" t="str">
        <f>IF(COUNTIFS(Raw_Data!$A$2:$A$616,Raw_Data!A373)&gt;1,"Duplicate","Unique")</f>
        <v>Unique</v>
      </c>
      <c r="AC382" s="25" t="str">
        <f t="shared" si="17"/>
        <v>Clean</v>
      </c>
    </row>
    <row r="383" spans="1:29" ht="15" customHeight="1">
      <c r="A383" s="23" t="str">
        <f>Raw_Data!A374</f>
        <v>BYJ1373</v>
      </c>
      <c r="B383" s="23" t="str">
        <f>Raw_Data!B374</f>
        <v>Zilmil Johal</v>
      </c>
      <c r="C383" s="24">
        <f>IF(OR(Raw_Data!C374="",Raw_Data!C374&lt;$C$5,Raw_Data!C374&gt;$C$6),$C$4,Raw_Data!C374)</f>
        <v>22</v>
      </c>
      <c r="D383" s="23" t="str">
        <f>IF(Raw_Data!C374="","Missing-Imputed",IF(OR(Raw_Data!C374&lt;$C$5,Raw_Data!C374&gt;$C$6),"Outlier-Imputed","Original"))</f>
        <v>Original</v>
      </c>
      <c r="E383" s="23" t="str">
        <f>IF(OR(UPPER(TRIM(Raw_Data!D374))="M",UPPER(TRIM(Raw_Data!D374))="MALE"),"Male","Female")</f>
        <v>Male</v>
      </c>
      <c r="F383" s="23" t="str">
        <f>PROPER(TRIM(Raw_Data!E374))</f>
        <v>Morena</v>
      </c>
      <c r="G383" s="23" t="str">
        <f>PROPER(TRIM(Raw_Data!F374))</f>
        <v>Delhi</v>
      </c>
      <c r="H383" s="23" t="str">
        <f>PROPER(TRIM(Raw_Data!G374))</f>
        <v>Neet Prep</v>
      </c>
      <c r="I383" s="23" t="str">
        <f>PROPER(TRIM(Raw_Data!H374))</f>
        <v>Chennai Central</v>
      </c>
      <c r="J383" s="24">
        <f>IF(LEN(TRIM(Raw_Data!I374))=4,VALUE(TRIM(Raw_Data!I374)),IF(ISNUMBER(IFERROR(VALUE(MID(TRIM(Raw_Data!I374),1,4)),"NA")),VALUE(MID(TRIM(Raw_Data!I374),1,4)),VALUE(RIGHT(TRIM(Raw_Data!I374),4))))</f>
        <v>2020</v>
      </c>
      <c r="K383" s="23" t="str">
        <f>PROPER(TRIM(Raw_Data!J374))</f>
        <v>Government Employee</v>
      </c>
      <c r="L383" s="23" t="str">
        <f t="shared" si="15"/>
        <v>20+</v>
      </c>
      <c r="M383" s="23" t="str">
        <f t="shared" si="16"/>
        <v>Adult Learners</v>
      </c>
      <c r="N383" s="23" t="str">
        <f>IF(ISNUMBER(SEARCH("NON",UPPER(Raw_Data!M374))),"Non-Premium Learner","Premium Learner")</f>
        <v>Non-Premium Learner</v>
      </c>
      <c r="O383" s="23" t="str">
        <f>PROPER(TRIM(Raw_Data!N374))</f>
        <v>Both App &amp; Web</v>
      </c>
      <c r="P383" s="24">
        <f>IF(Raw_Data!O374="",$C$7,Raw_Data!O374)</f>
        <v>20995.759999999998</v>
      </c>
      <c r="Q383" s="23" t="str">
        <f>IF(Raw_Data!O374="","Missing-Imputed","Original")</f>
        <v>Original</v>
      </c>
      <c r="R383" s="24">
        <f>Raw_Data!P374</f>
        <v>50.8</v>
      </c>
      <c r="S383" s="24">
        <f>Raw_Data!Q374</f>
        <v>7752.92</v>
      </c>
      <c r="T383" s="23" t="str">
        <f>IF(Raw_Data!R374="","Unknown",IF(ISNUMBER(SEARCH("ACT",UPPER(Raw_Data!R374))),"Active",IF(ISNUMBER(SEARCH("CLOS",UPPER(Raw_Data!R374))),"Closed","None")))</f>
        <v>None</v>
      </c>
      <c r="U383" s="24">
        <f>IF(Raw_Data!S374="",$C$8,VALUE(Raw_Data!S374))</f>
        <v>321</v>
      </c>
      <c r="V383" s="23" t="str">
        <f>IF(Raw_Data!S374="","Missing-Imputed","Original")</f>
        <v>Original</v>
      </c>
      <c r="W383" s="24">
        <f>Raw_Data!T374</f>
        <v>23</v>
      </c>
      <c r="X383" s="23" t="str">
        <f>IF(ISNUMBER(SEARCH("Y",UPPER(TRIM(Raw_Data!U374)))),"Yes","No")</f>
        <v>No</v>
      </c>
      <c r="Y383" s="23" t="str">
        <f>IF(ISNUMBER(SEARCH("Y",UPPER(TRIM(Raw_Data!V374)))),"Yes","No")</f>
        <v>Yes</v>
      </c>
      <c r="Z383" s="24">
        <f>Raw_Data!W374</f>
        <v>5</v>
      </c>
      <c r="AA383" s="24">
        <f>Raw_Data!X374</f>
        <v>2.2999999999999998</v>
      </c>
      <c r="AB383" s="23" t="str">
        <f>IF(COUNTIFS(Raw_Data!$A$2:$A$616,Raw_Data!A374)&gt;1,"Duplicate","Unique")</f>
        <v>Unique</v>
      </c>
      <c r="AC383" s="23" t="str">
        <f t="shared" si="17"/>
        <v>Clean</v>
      </c>
    </row>
    <row r="384" spans="1:29" ht="15" customHeight="1">
      <c r="A384" s="25" t="str">
        <f>Raw_Data!A375</f>
        <v>BYJ1374</v>
      </c>
      <c r="B384" s="25" t="str">
        <f>Raw_Data!B375</f>
        <v>Dipta Ghose</v>
      </c>
      <c r="C384" s="26">
        <f>IF(OR(Raw_Data!C375="",Raw_Data!C375&lt;$C$5,Raw_Data!C375&gt;$C$6),$C$4,Raw_Data!C375)</f>
        <v>40</v>
      </c>
      <c r="D384" s="25" t="str">
        <f>IF(Raw_Data!C375="","Missing-Imputed",IF(OR(Raw_Data!C375&lt;$C$5,Raw_Data!C375&gt;$C$6),"Outlier-Imputed","Original"))</f>
        <v>Original</v>
      </c>
      <c r="E384" s="25" t="str">
        <f>IF(OR(UPPER(TRIM(Raw_Data!D375))="M",UPPER(TRIM(Raw_Data!D375))="MALE"),"Male","Female")</f>
        <v>Female</v>
      </c>
      <c r="F384" s="25" t="str">
        <f>PROPER(TRIM(Raw_Data!E375))</f>
        <v>Katihar</v>
      </c>
      <c r="G384" s="25" t="str">
        <f>PROPER(TRIM(Raw_Data!F375))</f>
        <v>Maharashtra</v>
      </c>
      <c r="H384" s="25" t="str">
        <f>PROPER(TRIM(Raw_Data!G375))</f>
        <v>Neet Prep</v>
      </c>
      <c r="I384" s="25" t="str">
        <f>PROPER(TRIM(Raw_Data!H375))</f>
        <v>Pune East</v>
      </c>
      <c r="J384" s="26">
        <f>IF(LEN(TRIM(Raw_Data!I375))=4,VALUE(TRIM(Raw_Data!I375)),IF(ISNUMBER(IFERROR(VALUE(MID(TRIM(Raw_Data!I375),1,4)),"NA")),VALUE(MID(TRIM(Raw_Data!I375),1,4)),VALUE(RIGHT(TRIM(Raw_Data!I375),4))))</f>
        <v>2022</v>
      </c>
      <c r="K384" s="25" t="str">
        <f>PROPER(TRIM(Raw_Data!J375))</f>
        <v>Salaried</v>
      </c>
      <c r="L384" s="25" t="str">
        <f t="shared" si="15"/>
        <v>20+</v>
      </c>
      <c r="M384" s="25" t="str">
        <f t="shared" si="16"/>
        <v>Adult Learners</v>
      </c>
      <c r="N384" s="25" t="str">
        <f>IF(ISNUMBER(SEARCH("NON",UPPER(Raw_Data!M375))),"Non-Premium Learner","Premium Learner")</f>
        <v>Premium Learner</v>
      </c>
      <c r="O384" s="25" t="str">
        <f>PROPER(TRIM(Raw_Data!N375))</f>
        <v>Both App &amp; Web</v>
      </c>
      <c r="P384" s="26">
        <f>IF(Raw_Data!O375="",$C$7,Raw_Data!O375)</f>
        <v>19865.509999999998</v>
      </c>
      <c r="Q384" s="25" t="str">
        <f>IF(Raw_Data!O375="","Missing-Imputed","Original")</f>
        <v>Original</v>
      </c>
      <c r="R384" s="26">
        <f>Raw_Data!P375</f>
        <v>41.4</v>
      </c>
      <c r="S384" s="26">
        <f>Raw_Data!Q375</f>
        <v>9416.73</v>
      </c>
      <c r="T384" s="25" t="str">
        <f>IF(Raw_Data!R375="","Unknown",IF(ISNUMBER(SEARCH("ACT",UPPER(Raw_Data!R375))),"Active",IF(ISNUMBER(SEARCH("CLOS",UPPER(Raw_Data!R375))),"Closed","None")))</f>
        <v>Closed</v>
      </c>
      <c r="U384" s="26">
        <f>IF(Raw_Data!S375="",$C$8,VALUE(Raw_Data!S375))</f>
        <v>535</v>
      </c>
      <c r="V384" s="25" t="str">
        <f>IF(Raw_Data!S375="","Missing-Imputed","Original")</f>
        <v>Original</v>
      </c>
      <c r="W384" s="26">
        <f>Raw_Data!T375</f>
        <v>176</v>
      </c>
      <c r="X384" s="25" t="str">
        <f>IF(ISNUMBER(SEARCH("Y",UPPER(TRIM(Raw_Data!U375)))),"Yes","No")</f>
        <v>Yes</v>
      </c>
      <c r="Y384" s="25" t="str">
        <f>IF(ISNUMBER(SEARCH("Y",UPPER(TRIM(Raw_Data!V375)))),"Yes","No")</f>
        <v>No</v>
      </c>
      <c r="Z384" s="26">
        <f>Raw_Data!W375</f>
        <v>4</v>
      </c>
      <c r="AA384" s="26">
        <f>Raw_Data!X375</f>
        <v>6.1</v>
      </c>
      <c r="AB384" s="25" t="str">
        <f>IF(COUNTIFS(Raw_Data!$A$2:$A$616,Raw_Data!A375)&gt;1,"Duplicate","Unique")</f>
        <v>Unique</v>
      </c>
      <c r="AC384" s="25" t="str">
        <f t="shared" si="17"/>
        <v>Clean</v>
      </c>
    </row>
    <row r="385" spans="1:29" ht="15" customHeight="1">
      <c r="A385" s="23" t="str">
        <f>Raw_Data!A376</f>
        <v>BYJ1375</v>
      </c>
      <c r="B385" s="23" t="str">
        <f>Raw_Data!B376</f>
        <v>Irya Lalla</v>
      </c>
      <c r="C385" s="24">
        <f>IF(OR(Raw_Data!C376="",Raw_Data!C376&lt;$C$5,Raw_Data!C376&gt;$C$6),$C$4,Raw_Data!C376)</f>
        <v>23</v>
      </c>
      <c r="D385" s="23" t="str">
        <f>IF(Raw_Data!C376="","Missing-Imputed",IF(OR(Raw_Data!C376&lt;$C$5,Raw_Data!C376&gt;$C$6),"Outlier-Imputed","Original"))</f>
        <v>Original</v>
      </c>
      <c r="E385" s="23" t="str">
        <f>IF(OR(UPPER(TRIM(Raw_Data!D376))="M",UPPER(TRIM(Raw_Data!D376))="MALE"),"Male","Female")</f>
        <v>Male</v>
      </c>
      <c r="F385" s="23" t="str">
        <f>PROPER(TRIM(Raw_Data!E376))</f>
        <v>Nellore</v>
      </c>
      <c r="G385" s="23" t="str">
        <f>PROPER(TRIM(Raw_Data!F376))</f>
        <v>West Bengal</v>
      </c>
      <c r="H385" s="23" t="str">
        <f>PROPER(TRIM(Raw_Data!G376))</f>
        <v>Coding</v>
      </c>
      <c r="I385" s="23" t="str">
        <f>PROPER(TRIM(Raw_Data!H376))</f>
        <v>Chennai Central</v>
      </c>
      <c r="J385" s="24">
        <f>IF(LEN(TRIM(Raw_Data!I376))=4,VALUE(TRIM(Raw_Data!I376)),IF(ISNUMBER(IFERROR(VALUE(MID(TRIM(Raw_Data!I376),1,4)),"NA")),VALUE(MID(TRIM(Raw_Data!I376),1,4)),VALUE(RIGHT(TRIM(Raw_Data!I376),4))))</f>
        <v>2024</v>
      </c>
      <c r="K385" s="23" t="str">
        <f>PROPER(TRIM(Raw_Data!J376))</f>
        <v>Retired</v>
      </c>
      <c r="L385" s="23" t="str">
        <f t="shared" si="15"/>
        <v>20+</v>
      </c>
      <c r="M385" s="23" t="str">
        <f t="shared" si="16"/>
        <v>Adult Learners</v>
      </c>
      <c r="N385" s="23" t="str">
        <f>IF(ISNUMBER(SEARCH("NON",UPPER(Raw_Data!M376))),"Non-Premium Learner","Premium Learner")</f>
        <v>Non-Premium Learner</v>
      </c>
      <c r="O385" s="23" t="str">
        <f>PROPER(TRIM(Raw_Data!N376))</f>
        <v>Both App &amp; Web</v>
      </c>
      <c r="P385" s="24">
        <f>IF(Raw_Data!O376="",$C$7,Raw_Data!O376)</f>
        <v>129598.94</v>
      </c>
      <c r="Q385" s="23" t="str">
        <f>IF(Raw_Data!O376="","Missing-Imputed","Original")</f>
        <v>Original</v>
      </c>
      <c r="R385" s="24">
        <f>Raw_Data!P376</f>
        <v>36.9</v>
      </c>
      <c r="S385" s="24">
        <f>Raw_Data!Q376</f>
        <v>44609</v>
      </c>
      <c r="T385" s="23" t="str">
        <f>IF(Raw_Data!R376="","Unknown",IF(ISNUMBER(SEARCH("ACT",UPPER(Raw_Data!R376))),"Active",IF(ISNUMBER(SEARCH("CLOS",UPPER(Raw_Data!R376))),"Closed","None")))</f>
        <v>Closed</v>
      </c>
      <c r="U385" s="24">
        <f>IF(Raw_Data!S376="",$C$8,VALUE(Raw_Data!S376))</f>
        <v>769</v>
      </c>
      <c r="V385" s="23" t="str">
        <f>IF(Raw_Data!S376="","Missing-Imputed","Original")</f>
        <v>Original</v>
      </c>
      <c r="W385" s="24">
        <f>Raw_Data!T376</f>
        <v>67</v>
      </c>
      <c r="X385" s="23" t="str">
        <f>IF(ISNUMBER(SEARCH("Y",UPPER(TRIM(Raw_Data!U376)))),"Yes","No")</f>
        <v>No</v>
      </c>
      <c r="Y385" s="23" t="str">
        <f>IF(ISNUMBER(SEARCH("Y",UPPER(TRIM(Raw_Data!V376)))),"Yes","No")</f>
        <v>No</v>
      </c>
      <c r="Z385" s="24">
        <f>Raw_Data!W376</f>
        <v>1</v>
      </c>
      <c r="AA385" s="24">
        <f>Raw_Data!X376</f>
        <v>2.4</v>
      </c>
      <c r="AB385" s="23" t="str">
        <f>IF(COUNTIFS(Raw_Data!$A$2:$A$616,Raw_Data!A376)&gt;1,"Duplicate","Unique")</f>
        <v>Unique</v>
      </c>
      <c r="AC385" s="23" t="str">
        <f t="shared" si="17"/>
        <v>Clean</v>
      </c>
    </row>
    <row r="386" spans="1:29" ht="15" customHeight="1">
      <c r="A386" s="25" t="str">
        <f>Raw_Data!A377</f>
        <v>BYJ1376</v>
      </c>
      <c r="B386" s="25" t="str">
        <f>Raw_Data!B377</f>
        <v>Arya Misra</v>
      </c>
      <c r="C386" s="26">
        <f>IF(OR(Raw_Data!C377="",Raw_Data!C377&lt;$C$5,Raw_Data!C377&gt;$C$6),$C$4,Raw_Data!C377)</f>
        <v>24</v>
      </c>
      <c r="D386" s="25" t="str">
        <f>IF(Raw_Data!C377="","Missing-Imputed",IF(OR(Raw_Data!C377&lt;$C$5,Raw_Data!C377&gt;$C$6),"Outlier-Imputed","Original"))</f>
        <v>Original</v>
      </c>
      <c r="E386" s="25" t="str">
        <f>IF(OR(UPPER(TRIM(Raw_Data!D377))="M",UPPER(TRIM(Raw_Data!D377))="MALE"),"Male","Female")</f>
        <v>Male</v>
      </c>
      <c r="F386" s="25" t="str">
        <f>PROPER(TRIM(Raw_Data!E377))</f>
        <v>Bihar Sharif</v>
      </c>
      <c r="G386" s="25" t="str">
        <f>PROPER(TRIM(Raw_Data!F377))</f>
        <v>Rajasthan</v>
      </c>
      <c r="H386" s="25" t="str">
        <f>PROPER(TRIM(Raw_Data!G377))</f>
        <v>Robotics</v>
      </c>
      <c r="I386" s="25" t="str">
        <f>PROPER(TRIM(Raw_Data!H377))</f>
        <v>Pune East</v>
      </c>
      <c r="J386" s="26">
        <f>IF(LEN(TRIM(Raw_Data!I377))=4,VALUE(TRIM(Raw_Data!I377)),IF(ISNUMBER(IFERROR(VALUE(MID(TRIM(Raw_Data!I377),1,4)),"NA")),VALUE(MID(TRIM(Raw_Data!I377),1,4)),VALUE(RIGHT(TRIM(Raw_Data!I377),4))))</f>
        <v>2024</v>
      </c>
      <c r="K386" s="25" t="str">
        <f>PROPER(TRIM(Raw_Data!J377))</f>
        <v>Business</v>
      </c>
      <c r="L386" s="25" t="str">
        <f t="shared" si="15"/>
        <v>20+</v>
      </c>
      <c r="M386" s="25" t="str">
        <f t="shared" si="16"/>
        <v>Adult Learners</v>
      </c>
      <c r="N386" s="25" t="str">
        <f>IF(ISNUMBER(SEARCH("NON",UPPER(Raw_Data!M377))),"Non-Premium Learner","Premium Learner")</f>
        <v>Non-Premium Learner</v>
      </c>
      <c r="O386" s="25" t="str">
        <f>PROPER(TRIM(Raw_Data!N377))</f>
        <v>App Only</v>
      </c>
      <c r="P386" s="26">
        <f>IF(Raw_Data!O377="",$C$7,Raw_Data!O377)</f>
        <v>69827.37</v>
      </c>
      <c r="Q386" s="25" t="str">
        <f>IF(Raw_Data!O377="","Missing-Imputed","Original")</f>
        <v>Original</v>
      </c>
      <c r="R386" s="26">
        <f>Raw_Data!P377</f>
        <v>13.2</v>
      </c>
      <c r="S386" s="26">
        <f>Raw_Data!Q377</f>
        <v>18636.59</v>
      </c>
      <c r="T386" s="25" t="str">
        <f>IF(Raw_Data!R377="","Unknown",IF(ISNUMBER(SEARCH("ACT",UPPER(Raw_Data!R377))),"Active",IF(ISNUMBER(SEARCH("CLOS",UPPER(Raw_Data!R377))),"Closed","None")))</f>
        <v>Active</v>
      </c>
      <c r="U386" s="26">
        <f>IF(Raw_Data!S377="",$C$8,VALUE(Raw_Data!S377))</f>
        <v>397</v>
      </c>
      <c r="V386" s="25" t="str">
        <f>IF(Raw_Data!S377="","Missing-Imputed","Original")</f>
        <v>Original</v>
      </c>
      <c r="W386" s="26">
        <f>Raw_Data!T377</f>
        <v>53</v>
      </c>
      <c r="X386" s="25" t="str">
        <f>IF(ISNUMBER(SEARCH("Y",UPPER(TRIM(Raw_Data!U377)))),"Yes","No")</f>
        <v>No</v>
      </c>
      <c r="Y386" s="25" t="str">
        <f>IF(ISNUMBER(SEARCH("Y",UPPER(TRIM(Raw_Data!V377)))),"Yes","No")</f>
        <v>Yes</v>
      </c>
      <c r="Z386" s="26">
        <f>Raw_Data!W377</f>
        <v>4</v>
      </c>
      <c r="AA386" s="26">
        <f>Raw_Data!X377</f>
        <v>5.7</v>
      </c>
      <c r="AB386" s="25" t="str">
        <f>IF(COUNTIFS(Raw_Data!$A$2:$A$616,Raw_Data!A377)&gt;1,"Duplicate","Unique")</f>
        <v>Unique</v>
      </c>
      <c r="AC386" s="25" t="str">
        <f t="shared" si="17"/>
        <v>Clean</v>
      </c>
    </row>
    <row r="387" spans="1:29" ht="15" customHeight="1">
      <c r="A387" s="23" t="str">
        <f>Raw_Data!A378</f>
        <v>BYJ1377</v>
      </c>
      <c r="B387" s="23" t="str">
        <f>Raw_Data!B378</f>
        <v>Sarthak Suresh</v>
      </c>
      <c r="C387" s="24">
        <f>IF(OR(Raw_Data!C378="",Raw_Data!C378&lt;$C$5,Raw_Data!C378&gt;$C$6),$C$4,Raw_Data!C378)</f>
        <v>42</v>
      </c>
      <c r="D387" s="23" t="str">
        <f>IF(Raw_Data!C378="","Missing-Imputed",IF(OR(Raw_Data!C378&lt;$C$5,Raw_Data!C378&gt;$C$6),"Outlier-Imputed","Original"))</f>
        <v>Original</v>
      </c>
      <c r="E387" s="23" t="str">
        <f>IF(OR(UPPER(TRIM(Raw_Data!D378))="M",UPPER(TRIM(Raw_Data!D378))="MALE"),"Male","Female")</f>
        <v>Male</v>
      </c>
      <c r="F387" s="23" t="str">
        <f>PROPER(TRIM(Raw_Data!E378))</f>
        <v>Nangloi Jat</v>
      </c>
      <c r="G387" s="23" t="str">
        <f>PROPER(TRIM(Raw_Data!F378))</f>
        <v>Telangana</v>
      </c>
      <c r="H387" s="23" t="str">
        <f>PROPER(TRIM(Raw_Data!G378))</f>
        <v>Robotics</v>
      </c>
      <c r="I387" s="23" t="str">
        <f>PROPER(TRIM(Raw_Data!H378))</f>
        <v>Hyderabad Hub</v>
      </c>
      <c r="J387" s="24">
        <f>IF(LEN(TRIM(Raw_Data!I378))=4,VALUE(TRIM(Raw_Data!I378)),IF(ISNUMBER(IFERROR(VALUE(MID(TRIM(Raw_Data!I378),1,4)),"NA")),VALUE(MID(TRIM(Raw_Data!I378),1,4)),VALUE(RIGHT(TRIM(Raw_Data!I378),4))))</f>
        <v>2021</v>
      </c>
      <c r="K387" s="23" t="str">
        <f>PROPER(TRIM(Raw_Data!J378))</f>
        <v>Retired</v>
      </c>
      <c r="L387" s="23" t="str">
        <f t="shared" si="15"/>
        <v>20+</v>
      </c>
      <c r="M387" s="23" t="str">
        <f t="shared" si="16"/>
        <v>Adult Learners</v>
      </c>
      <c r="N387" s="23" t="str">
        <f>IF(ISNUMBER(SEARCH("NON",UPPER(Raw_Data!M378))),"Non-Premium Learner","Premium Learner")</f>
        <v>Non-Premium Learner</v>
      </c>
      <c r="O387" s="23" t="str">
        <f>PROPER(TRIM(Raw_Data!N378))</f>
        <v>App Only</v>
      </c>
      <c r="P387" s="24">
        <f>IF(Raw_Data!O378="",$C$7,Raw_Data!O378)</f>
        <v>43881.01</v>
      </c>
      <c r="Q387" s="23" t="str">
        <f>IF(Raw_Data!O378="","Missing-Imputed","Original")</f>
        <v>Original</v>
      </c>
      <c r="R387" s="24">
        <f>Raw_Data!P378</f>
        <v>47.2</v>
      </c>
      <c r="S387" s="24">
        <f>Raw_Data!Q378</f>
        <v>29323.61</v>
      </c>
      <c r="T387" s="23" t="str">
        <f>IF(Raw_Data!R378="","Unknown",IF(ISNUMBER(SEARCH("ACT",UPPER(Raw_Data!R378))),"Active",IF(ISNUMBER(SEARCH("CLOS",UPPER(Raw_Data!R378))),"Closed","None")))</f>
        <v>Closed</v>
      </c>
      <c r="U387" s="24">
        <f>IF(Raw_Data!S378="",$C$8,VALUE(Raw_Data!S378))</f>
        <v>541</v>
      </c>
      <c r="V387" s="23" t="str">
        <f>IF(Raw_Data!S378="","Missing-Imputed","Original")</f>
        <v>Original</v>
      </c>
      <c r="W387" s="24">
        <f>Raw_Data!T378</f>
        <v>181</v>
      </c>
      <c r="X387" s="23" t="str">
        <f>IF(ISNUMBER(SEARCH("Y",UPPER(TRIM(Raw_Data!U378)))),"Yes","No")</f>
        <v>No</v>
      </c>
      <c r="Y387" s="23" t="str">
        <f>IF(ISNUMBER(SEARCH("Y",UPPER(TRIM(Raw_Data!V378)))),"Yes","No")</f>
        <v>Yes</v>
      </c>
      <c r="Z387" s="24">
        <f>Raw_Data!W378</f>
        <v>1</v>
      </c>
      <c r="AA387" s="24">
        <f>Raw_Data!X378</f>
        <v>3.7</v>
      </c>
      <c r="AB387" s="23" t="str">
        <f>IF(COUNTIFS(Raw_Data!$A$2:$A$616,Raw_Data!A378)&gt;1,"Duplicate","Unique")</f>
        <v>Unique</v>
      </c>
      <c r="AC387" s="23" t="str">
        <f t="shared" si="17"/>
        <v>Clean</v>
      </c>
    </row>
    <row r="388" spans="1:29" ht="15" customHeight="1">
      <c r="A388" s="25" t="str">
        <f>Raw_Data!A379</f>
        <v>BYJ1378</v>
      </c>
      <c r="B388" s="25" t="str">
        <f>Raw_Data!B379</f>
        <v>Anusha Mani</v>
      </c>
      <c r="C388" s="26">
        <f>IF(OR(Raw_Data!C379="",Raw_Data!C379&lt;$C$5,Raw_Data!C379&gt;$C$6),$C$4,Raw_Data!C379)</f>
        <v>13</v>
      </c>
      <c r="D388" s="25" t="str">
        <f>IF(Raw_Data!C379="","Missing-Imputed",IF(OR(Raw_Data!C379&lt;$C$5,Raw_Data!C379&gt;$C$6),"Outlier-Imputed","Original"))</f>
        <v>Original</v>
      </c>
      <c r="E388" s="25" t="str">
        <f>IF(OR(UPPER(TRIM(Raw_Data!D379))="M",UPPER(TRIM(Raw_Data!D379))="MALE"),"Male","Female")</f>
        <v>Male</v>
      </c>
      <c r="F388" s="25" t="str">
        <f>PROPER(TRIM(Raw_Data!E379))</f>
        <v>Chapra</v>
      </c>
      <c r="G388" s="25" t="str">
        <f>PROPER(TRIM(Raw_Data!F379))</f>
        <v>Karnataka</v>
      </c>
      <c r="H388" s="25" t="str">
        <f>PROPER(TRIM(Raw_Data!G379))</f>
        <v>Coding</v>
      </c>
      <c r="I388" s="25" t="str">
        <f>PROPER(TRIM(Raw_Data!H379))</f>
        <v>Kolkata Main</v>
      </c>
      <c r="J388" s="26">
        <f>IF(LEN(TRIM(Raw_Data!I379))=4,VALUE(TRIM(Raw_Data!I379)),IF(ISNUMBER(IFERROR(VALUE(MID(TRIM(Raw_Data!I379),1,4)),"NA")),VALUE(MID(TRIM(Raw_Data!I379),1,4)),VALUE(RIGHT(TRIM(Raw_Data!I379),4))))</f>
        <v>2023</v>
      </c>
      <c r="K388" s="25" t="str">
        <f>PROPER(TRIM(Raw_Data!J379))</f>
        <v>Business</v>
      </c>
      <c r="L388" s="25" t="str">
        <f t="shared" si="15"/>
        <v>10-13</v>
      </c>
      <c r="M388" s="25" t="str">
        <f t="shared" si="16"/>
        <v>Kids</v>
      </c>
      <c r="N388" s="25" t="str">
        <f>IF(ISNUMBER(SEARCH("NON",UPPER(Raw_Data!M379))),"Non-Premium Learner","Premium Learner")</f>
        <v>Non-Premium Learner</v>
      </c>
      <c r="O388" s="25" t="str">
        <f>PROPER(TRIM(Raw_Data!N379))</f>
        <v>Web Only</v>
      </c>
      <c r="P388" s="26">
        <f>IF(Raw_Data!O379="",$C$7,Raw_Data!O379)</f>
        <v>6342.49</v>
      </c>
      <c r="Q388" s="25" t="str">
        <f>IF(Raw_Data!O379="","Missing-Imputed","Original")</f>
        <v>Original</v>
      </c>
      <c r="R388" s="26">
        <f>Raw_Data!P379</f>
        <v>79.7</v>
      </c>
      <c r="S388" s="26">
        <f>Raw_Data!Q379</f>
        <v>43196.58</v>
      </c>
      <c r="T388" s="25" t="str">
        <f>IF(Raw_Data!R379="","Unknown",IF(ISNUMBER(SEARCH("ACT",UPPER(Raw_Data!R379))),"Active",IF(ISNUMBER(SEARCH("CLOS",UPPER(Raw_Data!R379))),"Closed","None")))</f>
        <v>None</v>
      </c>
      <c r="U388" s="26">
        <f>IF(Raw_Data!S379="",$C$8,VALUE(Raw_Data!S379))</f>
        <v>835</v>
      </c>
      <c r="V388" s="25" t="str">
        <f>IF(Raw_Data!S379="","Missing-Imputed","Original")</f>
        <v>Original</v>
      </c>
      <c r="W388" s="26">
        <f>Raw_Data!T379</f>
        <v>95</v>
      </c>
      <c r="X388" s="25" t="str">
        <f>IF(ISNUMBER(SEARCH("Y",UPPER(TRIM(Raw_Data!U379)))),"Yes","No")</f>
        <v>Yes</v>
      </c>
      <c r="Y388" s="25" t="str">
        <f>IF(ISNUMBER(SEARCH("Y",UPPER(TRIM(Raw_Data!V379)))),"Yes","No")</f>
        <v>No</v>
      </c>
      <c r="Z388" s="26">
        <f>Raw_Data!W379</f>
        <v>5</v>
      </c>
      <c r="AA388" s="26">
        <f>Raw_Data!X379</f>
        <v>8.6</v>
      </c>
      <c r="AB388" s="25" t="str">
        <f>IF(COUNTIFS(Raw_Data!$A$2:$A$616,Raw_Data!A379)&gt;1,"Duplicate","Unique")</f>
        <v>Unique</v>
      </c>
      <c r="AC388" s="25" t="str">
        <f t="shared" si="17"/>
        <v>Clean</v>
      </c>
    </row>
    <row r="389" spans="1:29" ht="15" customHeight="1">
      <c r="A389" s="23" t="str">
        <f>Raw_Data!A380</f>
        <v>BYJ1379</v>
      </c>
      <c r="B389" s="23" t="str">
        <f>Raw_Data!B380</f>
        <v>Megha Pai</v>
      </c>
      <c r="C389" s="24">
        <f>IF(OR(Raw_Data!C380="",Raw_Data!C380&lt;$C$5,Raw_Data!C380&gt;$C$6),$C$4,Raw_Data!C380)</f>
        <v>36</v>
      </c>
      <c r="D389" s="23" t="str">
        <f>IF(Raw_Data!C380="","Missing-Imputed",IF(OR(Raw_Data!C380&lt;$C$5,Raw_Data!C380&gt;$C$6),"Outlier-Imputed","Original"))</f>
        <v>Original</v>
      </c>
      <c r="E389" s="23" t="str">
        <f>IF(OR(UPPER(TRIM(Raw_Data!D380))="M",UPPER(TRIM(Raw_Data!D380))="MALE"),"Male","Female")</f>
        <v>Female</v>
      </c>
      <c r="F389" s="23" t="str">
        <f>PROPER(TRIM(Raw_Data!E380))</f>
        <v>Ramagundam</v>
      </c>
      <c r="G389" s="23" t="str">
        <f>PROPER(TRIM(Raw_Data!F380))</f>
        <v>Maharashtra</v>
      </c>
      <c r="H389" s="23" t="str">
        <f>PROPER(TRIM(Raw_Data!G380))</f>
        <v>Science</v>
      </c>
      <c r="I389" s="23" t="str">
        <f>PROPER(TRIM(Raw_Data!H380))</f>
        <v>Jaipur Center</v>
      </c>
      <c r="J389" s="24">
        <f>IF(LEN(TRIM(Raw_Data!I380))=4,VALUE(TRIM(Raw_Data!I380)),IF(ISNUMBER(IFERROR(VALUE(MID(TRIM(Raw_Data!I380),1,4)),"NA")),VALUE(MID(TRIM(Raw_Data!I380),1,4)),VALUE(RIGHT(TRIM(Raw_Data!I380),4))))</f>
        <v>2023</v>
      </c>
      <c r="K389" s="23" t="str">
        <f>PROPER(TRIM(Raw_Data!J380))</f>
        <v>Business</v>
      </c>
      <c r="L389" s="23" t="str">
        <f t="shared" si="15"/>
        <v>20+</v>
      </c>
      <c r="M389" s="23" t="str">
        <f t="shared" si="16"/>
        <v>Adult Learners</v>
      </c>
      <c r="N389" s="23" t="str">
        <f>IF(ISNUMBER(SEARCH("NON",UPPER(Raw_Data!M380))),"Non-Premium Learner","Premium Learner")</f>
        <v>Premium Learner</v>
      </c>
      <c r="O389" s="23" t="str">
        <f>PROPER(TRIM(Raw_Data!N380))</f>
        <v>App Only</v>
      </c>
      <c r="P389" s="24">
        <f>IF(Raw_Data!O380="",$C$7,Raw_Data!O380)</f>
        <v>50216.87</v>
      </c>
      <c r="Q389" s="23" t="str">
        <f>IF(Raw_Data!O380="","Missing-Imputed","Original")</f>
        <v>Original</v>
      </c>
      <c r="R389" s="24">
        <f>Raw_Data!P380</f>
        <v>57.1</v>
      </c>
      <c r="S389" s="24">
        <f>Raw_Data!Q380</f>
        <v>32263.89</v>
      </c>
      <c r="T389" s="23" t="str">
        <f>IF(Raw_Data!R380="","Unknown",IF(ISNUMBER(SEARCH("ACT",UPPER(Raw_Data!R380))),"Active",IF(ISNUMBER(SEARCH("CLOS",UPPER(Raw_Data!R380))),"Closed","None")))</f>
        <v>Closed</v>
      </c>
      <c r="U389" s="24">
        <f>IF(Raw_Data!S380="",$C$8,VALUE(Raw_Data!S380))</f>
        <v>362</v>
      </c>
      <c r="V389" s="23" t="str">
        <f>IF(Raw_Data!S380="","Missing-Imputed","Original")</f>
        <v>Original</v>
      </c>
      <c r="W389" s="24">
        <f>Raw_Data!T380</f>
        <v>152</v>
      </c>
      <c r="X389" s="23" t="str">
        <f>IF(ISNUMBER(SEARCH("Y",UPPER(TRIM(Raw_Data!U380)))),"Yes","No")</f>
        <v>Yes</v>
      </c>
      <c r="Y389" s="23" t="str">
        <f>IF(ISNUMBER(SEARCH("Y",UPPER(TRIM(Raw_Data!V380)))),"Yes","No")</f>
        <v>No</v>
      </c>
      <c r="Z389" s="24">
        <f>Raw_Data!W380</f>
        <v>3</v>
      </c>
      <c r="AA389" s="24">
        <f>Raw_Data!X380</f>
        <v>5.8</v>
      </c>
      <c r="AB389" s="23" t="str">
        <f>IF(COUNTIFS(Raw_Data!$A$2:$A$616,Raw_Data!A380)&gt;1,"Duplicate","Unique")</f>
        <v>Unique</v>
      </c>
      <c r="AC389" s="23" t="str">
        <f t="shared" si="17"/>
        <v>Clean</v>
      </c>
    </row>
    <row r="390" spans="1:29" ht="15" customHeight="1">
      <c r="A390" s="25" t="str">
        <f>Raw_Data!A381</f>
        <v>BYJ1380</v>
      </c>
      <c r="B390" s="25" t="str">
        <f>Raw_Data!B381</f>
        <v>Bhavna Brar</v>
      </c>
      <c r="C390" s="26">
        <f>IF(OR(Raw_Data!C381="",Raw_Data!C381&lt;$C$5,Raw_Data!C381&gt;$C$6),$C$4,Raw_Data!C381)</f>
        <v>33</v>
      </c>
      <c r="D390" s="25" t="str">
        <f>IF(Raw_Data!C381="","Missing-Imputed",IF(OR(Raw_Data!C381&lt;$C$5,Raw_Data!C381&gt;$C$6),"Outlier-Imputed","Original"))</f>
        <v>Original</v>
      </c>
      <c r="E390" s="25" t="str">
        <f>IF(OR(UPPER(TRIM(Raw_Data!D381))="M",UPPER(TRIM(Raw_Data!D381))="MALE"),"Male","Female")</f>
        <v>Female</v>
      </c>
      <c r="F390" s="25" t="str">
        <f>PROPER(TRIM(Raw_Data!E381))</f>
        <v>Mango</v>
      </c>
      <c r="G390" s="25" t="str">
        <f>PROPER(TRIM(Raw_Data!F381))</f>
        <v>West Bengal</v>
      </c>
      <c r="H390" s="25" t="str">
        <f>PROPER(TRIM(Raw_Data!G381))</f>
        <v>Jee Prep</v>
      </c>
      <c r="I390" s="25" t="str">
        <f>PROPER(TRIM(Raw_Data!H381))</f>
        <v>Jaipur Center</v>
      </c>
      <c r="J390" s="26">
        <f>IF(LEN(TRIM(Raw_Data!I381))=4,VALUE(TRIM(Raw_Data!I381)),IF(ISNUMBER(IFERROR(VALUE(MID(TRIM(Raw_Data!I381),1,4)),"NA")),VALUE(MID(TRIM(Raw_Data!I381),1,4)),VALUE(RIGHT(TRIM(Raw_Data!I381),4))))</f>
        <v>2024</v>
      </c>
      <c r="K390" s="25" t="str">
        <f>PROPER(TRIM(Raw_Data!J381))</f>
        <v>Salaried</v>
      </c>
      <c r="L390" s="25" t="str">
        <f t="shared" si="15"/>
        <v>20+</v>
      </c>
      <c r="M390" s="25" t="str">
        <f t="shared" si="16"/>
        <v>Adult Learners</v>
      </c>
      <c r="N390" s="25" t="str">
        <f>IF(ISNUMBER(SEARCH("NON",UPPER(Raw_Data!M381))),"Non-Premium Learner","Premium Learner")</f>
        <v>Non-Premium Learner</v>
      </c>
      <c r="O390" s="25" t="str">
        <f>PROPER(TRIM(Raw_Data!N381))</f>
        <v>App Only</v>
      </c>
      <c r="P390" s="26">
        <f>IF(Raw_Data!O381="",$C$7,Raw_Data!O381)</f>
        <v>45597.9</v>
      </c>
      <c r="Q390" s="25" t="str">
        <f>IF(Raw_Data!O381="","Missing-Imputed","Original")</f>
        <v>Original</v>
      </c>
      <c r="R390" s="26">
        <f>Raw_Data!P381</f>
        <v>12.7</v>
      </c>
      <c r="S390" s="26">
        <f>Raw_Data!Q381</f>
        <v>47813.07</v>
      </c>
      <c r="T390" s="25" t="str">
        <f>IF(Raw_Data!R381="","Unknown",IF(ISNUMBER(SEARCH("ACT",UPPER(Raw_Data!R381))),"Active",IF(ISNUMBER(SEARCH("CLOS",UPPER(Raw_Data!R381))),"Closed","None")))</f>
        <v>None</v>
      </c>
      <c r="U390" s="26">
        <f>IF(Raw_Data!S381="",$C$8,VALUE(Raw_Data!S381))</f>
        <v>638</v>
      </c>
      <c r="V390" s="25" t="str">
        <f>IF(Raw_Data!S381="","Missing-Imputed","Original")</f>
        <v>Original</v>
      </c>
      <c r="W390" s="26">
        <f>Raw_Data!T381</f>
        <v>151</v>
      </c>
      <c r="X390" s="25" t="str">
        <f>IF(ISNUMBER(SEARCH("Y",UPPER(TRIM(Raw_Data!U381)))),"Yes","No")</f>
        <v>No</v>
      </c>
      <c r="Y390" s="25" t="str">
        <f>IF(ISNUMBER(SEARCH("Y",UPPER(TRIM(Raw_Data!V381)))),"Yes","No")</f>
        <v>Yes</v>
      </c>
      <c r="Z390" s="26">
        <f>Raw_Data!W381</f>
        <v>1</v>
      </c>
      <c r="AA390" s="26">
        <f>Raw_Data!X381</f>
        <v>7.2</v>
      </c>
      <c r="AB390" s="25" t="str">
        <f>IF(COUNTIFS(Raw_Data!$A$2:$A$616,Raw_Data!A381)&gt;1,"Duplicate","Unique")</f>
        <v>Unique</v>
      </c>
      <c r="AC390" s="25" t="str">
        <f t="shared" si="17"/>
        <v>Clean</v>
      </c>
    </row>
    <row r="391" spans="1:29" ht="15" customHeight="1">
      <c r="A391" s="23" t="str">
        <f>Raw_Data!A382</f>
        <v>BYJ1381</v>
      </c>
      <c r="B391" s="23" t="str">
        <f>Raw_Data!B382</f>
        <v>Varenya Kala</v>
      </c>
      <c r="C391" s="24">
        <f>IF(OR(Raw_Data!C382="",Raw_Data!C382&lt;$C$5,Raw_Data!C382&gt;$C$6),$C$4,Raw_Data!C382)</f>
        <v>45</v>
      </c>
      <c r="D391" s="23" t="str">
        <f>IF(Raw_Data!C382="","Missing-Imputed",IF(OR(Raw_Data!C382&lt;$C$5,Raw_Data!C382&gt;$C$6),"Outlier-Imputed","Original"))</f>
        <v>Original</v>
      </c>
      <c r="E391" s="23" t="str">
        <f>IF(OR(UPPER(TRIM(Raw_Data!D382))="M",UPPER(TRIM(Raw_Data!D382))="MALE"),"Male","Female")</f>
        <v>Male</v>
      </c>
      <c r="F391" s="23" t="str">
        <f>PROPER(TRIM(Raw_Data!E382))</f>
        <v>Siwan</v>
      </c>
      <c r="G391" s="23" t="str">
        <f>PROPER(TRIM(Raw_Data!F382))</f>
        <v>Tamil Nadu</v>
      </c>
      <c r="H391" s="23" t="str">
        <f>PROPER(TRIM(Raw_Data!G382))</f>
        <v>Neet Prep</v>
      </c>
      <c r="I391" s="23" t="str">
        <f>PROPER(TRIM(Raw_Data!H382))</f>
        <v>Bengaluru South</v>
      </c>
      <c r="J391" s="24">
        <f>IF(LEN(TRIM(Raw_Data!I382))=4,VALUE(TRIM(Raw_Data!I382)),IF(ISNUMBER(IFERROR(VALUE(MID(TRIM(Raw_Data!I382),1,4)),"NA")),VALUE(MID(TRIM(Raw_Data!I382),1,4)),VALUE(RIGHT(TRIM(Raw_Data!I382),4))))</f>
        <v>2016</v>
      </c>
      <c r="K391" s="23" t="str">
        <f>PROPER(TRIM(Raw_Data!J382))</f>
        <v>Self-Employed</v>
      </c>
      <c r="L391" s="23" t="str">
        <f t="shared" si="15"/>
        <v>20+</v>
      </c>
      <c r="M391" s="23" t="str">
        <f t="shared" si="16"/>
        <v>Adult Learners</v>
      </c>
      <c r="N391" s="23" t="str">
        <f>IF(ISNUMBER(SEARCH("NON",UPPER(Raw_Data!M382))),"Non-Premium Learner","Premium Learner")</f>
        <v>Non-Premium Learner</v>
      </c>
      <c r="O391" s="23" t="str">
        <f>PROPER(TRIM(Raw_Data!N382))</f>
        <v>Both App &amp; Web</v>
      </c>
      <c r="P391" s="24">
        <f>IF(Raw_Data!O382="",$C$7,Raw_Data!O382)</f>
        <v>115201.08</v>
      </c>
      <c r="Q391" s="23" t="str">
        <f>IF(Raw_Data!O382="","Missing-Imputed","Original")</f>
        <v>Original</v>
      </c>
      <c r="R391" s="24">
        <f>Raw_Data!P382</f>
        <v>34.5</v>
      </c>
      <c r="S391" s="24">
        <f>Raw_Data!Q382</f>
        <v>46435.18</v>
      </c>
      <c r="T391" s="23" t="str">
        <f>IF(Raw_Data!R382="","Unknown",IF(ISNUMBER(SEARCH("ACT",UPPER(Raw_Data!R382))),"Active",IF(ISNUMBER(SEARCH("CLOS",UPPER(Raw_Data!R382))),"Closed","None")))</f>
        <v>None</v>
      </c>
      <c r="U391" s="24">
        <f>IF(Raw_Data!S382="",$C$8,VALUE(Raw_Data!S382))</f>
        <v>663</v>
      </c>
      <c r="V391" s="23" t="str">
        <f>IF(Raw_Data!S382="","Missing-Imputed","Original")</f>
        <v>Original</v>
      </c>
      <c r="W391" s="24">
        <f>Raw_Data!T382</f>
        <v>133</v>
      </c>
      <c r="X391" s="23" t="str">
        <f>IF(ISNUMBER(SEARCH("Y",UPPER(TRIM(Raw_Data!U382)))),"Yes","No")</f>
        <v>No</v>
      </c>
      <c r="Y391" s="23" t="str">
        <f>IF(ISNUMBER(SEARCH("Y",UPPER(TRIM(Raw_Data!V382)))),"Yes","No")</f>
        <v>Yes</v>
      </c>
      <c r="Z391" s="24">
        <f>Raw_Data!W382</f>
        <v>3</v>
      </c>
      <c r="AA391" s="24">
        <f>Raw_Data!X382</f>
        <v>6.5</v>
      </c>
      <c r="AB391" s="23" t="str">
        <f>IF(COUNTIFS(Raw_Data!$A$2:$A$616,Raw_Data!A382)&gt;1,"Duplicate","Unique")</f>
        <v>Unique</v>
      </c>
      <c r="AC391" s="23" t="str">
        <f t="shared" si="17"/>
        <v>Clean</v>
      </c>
    </row>
    <row r="392" spans="1:29" ht="15" customHeight="1">
      <c r="A392" s="25" t="str">
        <f>Raw_Data!A383</f>
        <v>BYJ1382</v>
      </c>
      <c r="B392" s="25" t="str">
        <f>Raw_Data!B383</f>
        <v>Anita Devan</v>
      </c>
      <c r="C392" s="26">
        <f>IF(OR(Raw_Data!C383="",Raw_Data!C383&lt;$C$5,Raw_Data!C383&gt;$C$6),$C$4,Raw_Data!C383)</f>
        <v>37</v>
      </c>
      <c r="D392" s="25" t="str">
        <f>IF(Raw_Data!C383="","Missing-Imputed",IF(OR(Raw_Data!C383&lt;$C$5,Raw_Data!C383&gt;$C$6),"Outlier-Imputed","Original"))</f>
        <v>Original</v>
      </c>
      <c r="E392" s="25" t="str">
        <f>IF(OR(UPPER(TRIM(Raw_Data!D383))="M",UPPER(TRIM(Raw_Data!D383))="MALE"),"Male","Female")</f>
        <v>Female</v>
      </c>
      <c r="F392" s="25" t="str">
        <f>PROPER(TRIM(Raw_Data!E383))</f>
        <v>Tadepalligudem</v>
      </c>
      <c r="G392" s="25" t="str">
        <f>PROPER(TRIM(Raw_Data!F383))</f>
        <v>West Bengal</v>
      </c>
      <c r="H392" s="25" t="str">
        <f>PROPER(TRIM(Raw_Data!G383))</f>
        <v>Neet Prep</v>
      </c>
      <c r="I392" s="25" t="str">
        <f>PROPER(TRIM(Raw_Data!H383))</f>
        <v>Mumbai West</v>
      </c>
      <c r="J392" s="26">
        <f>IF(LEN(TRIM(Raw_Data!I383))=4,VALUE(TRIM(Raw_Data!I383)),IF(ISNUMBER(IFERROR(VALUE(MID(TRIM(Raw_Data!I383),1,4)),"NA")),VALUE(MID(TRIM(Raw_Data!I383),1,4)),VALUE(RIGHT(TRIM(Raw_Data!I383),4))))</f>
        <v>2016</v>
      </c>
      <c r="K392" s="25" t="str">
        <f>PROPER(TRIM(Raw_Data!J383))</f>
        <v>Retired</v>
      </c>
      <c r="L392" s="25" t="str">
        <f t="shared" si="15"/>
        <v>20+</v>
      </c>
      <c r="M392" s="25" t="str">
        <f t="shared" si="16"/>
        <v>Adult Learners</v>
      </c>
      <c r="N392" s="25" t="str">
        <f>IF(ISNUMBER(SEARCH("NON",UPPER(Raw_Data!M383))),"Non-Premium Learner","Premium Learner")</f>
        <v>Non-Premium Learner</v>
      </c>
      <c r="O392" s="25" t="str">
        <f>PROPER(TRIM(Raw_Data!N383))</f>
        <v>Both App &amp; Web</v>
      </c>
      <c r="P392" s="26">
        <f>IF(Raw_Data!O383="",$C$7,Raw_Data!O383)</f>
        <v>86170.13</v>
      </c>
      <c r="Q392" s="25" t="str">
        <f>IF(Raw_Data!O383="","Missing-Imputed","Original")</f>
        <v>Original</v>
      </c>
      <c r="R392" s="26">
        <f>Raw_Data!P383</f>
        <v>75.5</v>
      </c>
      <c r="S392" s="26">
        <f>Raw_Data!Q383</f>
        <v>22947.439999999999</v>
      </c>
      <c r="T392" s="25" t="str">
        <f>IF(Raw_Data!R383="","Unknown",IF(ISNUMBER(SEARCH("ACT",UPPER(Raw_Data!R383))),"Active",IF(ISNUMBER(SEARCH("CLOS",UPPER(Raw_Data!R383))),"Closed","None")))</f>
        <v>Active</v>
      </c>
      <c r="U392" s="26">
        <f>IF(Raw_Data!S383="",$C$8,VALUE(Raw_Data!S383))</f>
        <v>500</v>
      </c>
      <c r="V392" s="25" t="str">
        <f>IF(Raw_Data!S383="","Missing-Imputed","Original")</f>
        <v>Original</v>
      </c>
      <c r="W392" s="26">
        <f>Raw_Data!T383</f>
        <v>134</v>
      </c>
      <c r="X392" s="25" t="str">
        <f>IF(ISNUMBER(SEARCH("Y",UPPER(TRIM(Raw_Data!U383)))),"Yes","No")</f>
        <v>Yes</v>
      </c>
      <c r="Y392" s="25" t="str">
        <f>IF(ISNUMBER(SEARCH("Y",UPPER(TRIM(Raw_Data!V383)))),"Yes","No")</f>
        <v>No</v>
      </c>
      <c r="Z392" s="26">
        <f>Raw_Data!W383</f>
        <v>1</v>
      </c>
      <c r="AA392" s="26">
        <f>Raw_Data!X383</f>
        <v>8.1999999999999993</v>
      </c>
      <c r="AB392" s="25" t="str">
        <f>IF(COUNTIFS(Raw_Data!$A$2:$A$616,Raw_Data!A383)&gt;1,"Duplicate","Unique")</f>
        <v>Unique</v>
      </c>
      <c r="AC392" s="25" t="str">
        <f t="shared" si="17"/>
        <v>Clean</v>
      </c>
    </row>
    <row r="393" spans="1:29" ht="15" customHeight="1">
      <c r="A393" s="23" t="str">
        <f>Raw_Data!A384</f>
        <v>BYJ1383</v>
      </c>
      <c r="B393" s="23" t="str">
        <f>Raw_Data!B384</f>
        <v>Xavier Bedi</v>
      </c>
      <c r="C393" s="24">
        <f>IF(OR(Raw_Data!C384="",Raw_Data!C384&lt;$C$5,Raw_Data!C384&gt;$C$6),$C$4,Raw_Data!C384)</f>
        <v>6</v>
      </c>
      <c r="D393" s="23" t="str">
        <f>IF(Raw_Data!C384="","Missing-Imputed",IF(OR(Raw_Data!C384&lt;$C$5,Raw_Data!C384&gt;$C$6),"Outlier-Imputed","Original"))</f>
        <v>Original</v>
      </c>
      <c r="E393" s="23" t="str">
        <f>IF(OR(UPPER(TRIM(Raw_Data!D384))="M",UPPER(TRIM(Raw_Data!D384))="MALE"),"Male","Female")</f>
        <v>Female</v>
      </c>
      <c r="F393" s="23" t="str">
        <f>PROPER(TRIM(Raw_Data!E384))</f>
        <v>Muzaffarpur</v>
      </c>
      <c r="G393" s="23" t="str">
        <f>PROPER(TRIM(Raw_Data!F384))</f>
        <v>Rajasthan</v>
      </c>
      <c r="H393" s="23" t="str">
        <f>PROPER(TRIM(Raw_Data!G384))</f>
        <v>Robotics</v>
      </c>
      <c r="I393" s="23" t="str">
        <f>PROPER(TRIM(Raw_Data!H384))</f>
        <v>Chennai Central</v>
      </c>
      <c r="J393" s="24">
        <f>IF(LEN(TRIM(Raw_Data!I384))=4,VALUE(TRIM(Raw_Data!I384)),IF(ISNUMBER(IFERROR(VALUE(MID(TRIM(Raw_Data!I384),1,4)),"NA")),VALUE(MID(TRIM(Raw_Data!I384),1,4)),VALUE(RIGHT(TRIM(Raw_Data!I384),4))))</f>
        <v>2020</v>
      </c>
      <c r="K393" s="23" t="str">
        <f>PROPER(TRIM(Raw_Data!J384))</f>
        <v>Government Employee</v>
      </c>
      <c r="L393" s="23" t="str">
        <f t="shared" si="15"/>
        <v>Under 10</v>
      </c>
      <c r="M393" s="23" t="str">
        <f t="shared" si="16"/>
        <v>Kids</v>
      </c>
      <c r="N393" s="23" t="str">
        <f>IF(ISNUMBER(SEARCH("NON",UPPER(Raw_Data!M384))),"Non-Premium Learner","Premium Learner")</f>
        <v>Non-Premium Learner</v>
      </c>
      <c r="O393" s="23" t="str">
        <f>PROPER(TRIM(Raw_Data!N384))</f>
        <v>Web Only</v>
      </c>
      <c r="P393" s="24">
        <f>IF(Raw_Data!O384="",$C$7,Raw_Data!O384)</f>
        <v>149598.57999999999</v>
      </c>
      <c r="Q393" s="23" t="str">
        <f>IF(Raw_Data!O384="","Missing-Imputed","Original")</f>
        <v>Original</v>
      </c>
      <c r="R393" s="24">
        <f>Raw_Data!P384</f>
        <v>41.8</v>
      </c>
      <c r="S393" s="24">
        <f>Raw_Data!Q384</f>
        <v>28406.9</v>
      </c>
      <c r="T393" s="23" t="str">
        <f>IF(Raw_Data!R384="","Unknown",IF(ISNUMBER(SEARCH("ACT",UPPER(Raw_Data!R384))),"Active",IF(ISNUMBER(SEARCH("CLOS",UPPER(Raw_Data!R384))),"Closed","None")))</f>
        <v>Unknown</v>
      </c>
      <c r="U393" s="24">
        <f>IF(Raw_Data!S384="",$C$8,VALUE(Raw_Data!S384))</f>
        <v>406</v>
      </c>
      <c r="V393" s="23" t="str">
        <f>IF(Raw_Data!S384="","Missing-Imputed","Original")</f>
        <v>Original</v>
      </c>
      <c r="W393" s="24">
        <f>Raw_Data!T384</f>
        <v>7</v>
      </c>
      <c r="X393" s="23" t="str">
        <f>IF(ISNUMBER(SEARCH("Y",UPPER(TRIM(Raw_Data!U384)))),"Yes","No")</f>
        <v>Yes</v>
      </c>
      <c r="Y393" s="23" t="str">
        <f>IF(ISNUMBER(SEARCH("Y",UPPER(TRIM(Raw_Data!V384)))),"Yes","No")</f>
        <v>Yes</v>
      </c>
      <c r="Z393" s="24">
        <f>Raw_Data!W384</f>
        <v>4</v>
      </c>
      <c r="AA393" s="24">
        <f>Raw_Data!X384</f>
        <v>7.6</v>
      </c>
      <c r="AB393" s="23" t="str">
        <f>IF(COUNTIFS(Raw_Data!$A$2:$A$616,Raw_Data!A384)&gt;1,"Duplicate","Unique")</f>
        <v>Unique</v>
      </c>
      <c r="AC393" s="23" t="str">
        <f t="shared" si="17"/>
        <v>Clean</v>
      </c>
    </row>
    <row r="394" spans="1:29" ht="15" customHeight="1">
      <c r="A394" s="25" t="str">
        <f>Raw_Data!A385</f>
        <v>BYJ1384</v>
      </c>
      <c r="B394" s="25" t="str">
        <f>Raw_Data!B385</f>
        <v>Harish Sachdev</v>
      </c>
      <c r="C394" s="26">
        <f>IF(OR(Raw_Data!C385="",Raw_Data!C385&lt;$C$5,Raw_Data!C385&gt;$C$6),$C$4,Raw_Data!C385)</f>
        <v>9</v>
      </c>
      <c r="D394" s="25" t="str">
        <f>IF(Raw_Data!C385="","Missing-Imputed",IF(OR(Raw_Data!C385&lt;$C$5,Raw_Data!C385&gt;$C$6),"Outlier-Imputed","Original"))</f>
        <v>Original</v>
      </c>
      <c r="E394" s="25" t="str">
        <f>IF(OR(UPPER(TRIM(Raw_Data!D385))="M",UPPER(TRIM(Raw_Data!D385))="MALE"),"Male","Female")</f>
        <v>Female</v>
      </c>
      <c r="F394" s="25" t="str">
        <f>PROPER(TRIM(Raw_Data!E385))</f>
        <v>Chittoor</v>
      </c>
      <c r="G394" s="25" t="str">
        <f>PROPER(TRIM(Raw_Data!F385))</f>
        <v>Telangana</v>
      </c>
      <c r="H394" s="25" t="str">
        <f>PROPER(TRIM(Raw_Data!G385))</f>
        <v>English</v>
      </c>
      <c r="I394" s="25" t="str">
        <f>PROPER(TRIM(Raw_Data!H385))</f>
        <v>Lucknow Hub</v>
      </c>
      <c r="J394" s="26">
        <f>IF(LEN(TRIM(Raw_Data!I385))=4,VALUE(TRIM(Raw_Data!I385)),IF(ISNUMBER(IFERROR(VALUE(MID(TRIM(Raw_Data!I385),1,4)),"NA")),VALUE(MID(TRIM(Raw_Data!I385),1,4)),VALUE(RIGHT(TRIM(Raw_Data!I385),4))))</f>
        <v>2016</v>
      </c>
      <c r="K394" s="25" t="str">
        <f>PROPER(TRIM(Raw_Data!J385))</f>
        <v>Retired</v>
      </c>
      <c r="L394" s="25" t="str">
        <f t="shared" si="15"/>
        <v>Under 10</v>
      </c>
      <c r="M394" s="25" t="str">
        <f t="shared" si="16"/>
        <v>Kids</v>
      </c>
      <c r="N394" s="25" t="str">
        <f>IF(ISNUMBER(SEARCH("NON",UPPER(Raw_Data!M385))),"Non-Premium Learner","Premium Learner")</f>
        <v>Premium Learner</v>
      </c>
      <c r="O394" s="25" t="str">
        <f>PROPER(TRIM(Raw_Data!N385))</f>
        <v>Both App &amp; Web</v>
      </c>
      <c r="P394" s="26">
        <f>IF(Raw_Data!O385="",$C$7,Raw_Data!O385)</f>
        <v>141923.64000000001</v>
      </c>
      <c r="Q394" s="25" t="str">
        <f>IF(Raw_Data!O385="","Missing-Imputed","Original")</f>
        <v>Original</v>
      </c>
      <c r="R394" s="26">
        <f>Raw_Data!P385</f>
        <v>75.5</v>
      </c>
      <c r="S394" s="26">
        <f>Raw_Data!Q385</f>
        <v>24190.39</v>
      </c>
      <c r="T394" s="25" t="str">
        <f>IF(Raw_Data!R385="","Unknown",IF(ISNUMBER(SEARCH("ACT",UPPER(Raw_Data!R385))),"Active",IF(ISNUMBER(SEARCH("CLOS",UPPER(Raw_Data!R385))),"Closed","None")))</f>
        <v>None</v>
      </c>
      <c r="U394" s="26">
        <f>IF(Raw_Data!S385="",$C$8,VALUE(Raw_Data!S385))</f>
        <v>366</v>
      </c>
      <c r="V394" s="25" t="str">
        <f>IF(Raw_Data!S385="","Missing-Imputed","Original")</f>
        <v>Original</v>
      </c>
      <c r="W394" s="26">
        <f>Raw_Data!T385</f>
        <v>194</v>
      </c>
      <c r="X394" s="25" t="str">
        <f>IF(ISNUMBER(SEARCH("Y",UPPER(TRIM(Raw_Data!U385)))),"Yes","No")</f>
        <v>Yes</v>
      </c>
      <c r="Y394" s="25" t="str">
        <f>IF(ISNUMBER(SEARCH("Y",UPPER(TRIM(Raw_Data!V385)))),"Yes","No")</f>
        <v>Yes</v>
      </c>
      <c r="Z394" s="26">
        <f>Raw_Data!W385</f>
        <v>4</v>
      </c>
      <c r="AA394" s="26">
        <f>Raw_Data!X385</f>
        <v>0.9</v>
      </c>
      <c r="AB394" s="25" t="str">
        <f>IF(COUNTIFS(Raw_Data!$A$2:$A$616,Raw_Data!A385)&gt;1,"Duplicate","Unique")</f>
        <v>Unique</v>
      </c>
      <c r="AC394" s="25" t="str">
        <f t="shared" si="17"/>
        <v>Clean</v>
      </c>
    </row>
    <row r="395" spans="1:29" ht="15" customHeight="1">
      <c r="A395" s="23" t="str">
        <f>Raw_Data!A386</f>
        <v>BYJ1385</v>
      </c>
      <c r="B395" s="23" t="str">
        <f>Raw_Data!B386</f>
        <v>Laksh Ahluwalia</v>
      </c>
      <c r="C395" s="24">
        <f>IF(OR(Raw_Data!C386="",Raw_Data!C386&lt;$C$5,Raw_Data!C386&gt;$C$6),$C$4,Raw_Data!C386)</f>
        <v>32</v>
      </c>
      <c r="D395" s="23" t="str">
        <f>IF(Raw_Data!C386="","Missing-Imputed",IF(OR(Raw_Data!C386&lt;$C$5,Raw_Data!C386&gt;$C$6),"Outlier-Imputed","Original"))</f>
        <v>Original</v>
      </c>
      <c r="E395" s="23" t="str">
        <f>IF(OR(UPPER(TRIM(Raw_Data!D386))="M",UPPER(TRIM(Raw_Data!D386))="MALE"),"Male","Female")</f>
        <v>Male</v>
      </c>
      <c r="F395" s="23" t="str">
        <f>PROPER(TRIM(Raw_Data!E386))</f>
        <v>Vellore</v>
      </c>
      <c r="G395" s="23" t="str">
        <f>PROPER(TRIM(Raw_Data!F386))</f>
        <v>Uttar Pradesh</v>
      </c>
      <c r="H395" s="23" t="str">
        <f>PROPER(TRIM(Raw_Data!G386))</f>
        <v>Neet Prep</v>
      </c>
      <c r="I395" s="23" t="str">
        <f>PROPER(TRIM(Raw_Data!H386))</f>
        <v>Bengaluru South</v>
      </c>
      <c r="J395" s="24">
        <f>IF(LEN(TRIM(Raw_Data!I386))=4,VALUE(TRIM(Raw_Data!I386)),IF(ISNUMBER(IFERROR(VALUE(MID(TRIM(Raw_Data!I386),1,4)),"NA")),VALUE(MID(TRIM(Raw_Data!I386),1,4)),VALUE(RIGHT(TRIM(Raw_Data!I386),4))))</f>
        <v>2021</v>
      </c>
      <c r="K395" s="23" t="str">
        <f>PROPER(TRIM(Raw_Data!J386))</f>
        <v>Government Employee</v>
      </c>
      <c r="L395" s="23" t="str">
        <f t="shared" ref="L395:L458" si="18">IF(C395&lt;10,"Under 10",IF(C395&lt;=13,"10-13",IF(C395&lt;=16,"14-16",IF(C395&lt;=19,"17-19","20+"))))</f>
        <v>20+</v>
      </c>
      <c r="M395" s="23" t="str">
        <f t="shared" ref="M395:M458" si="19">IF(OR(L395="Under 10",L395="10-13"),"Kids",IF(OR(L395="14-16",L395="17-19"),"Teens","Adult Learners"))</f>
        <v>Adult Learners</v>
      </c>
      <c r="N395" s="23" t="str">
        <f>IF(ISNUMBER(SEARCH("NON",UPPER(Raw_Data!M386))),"Non-Premium Learner","Premium Learner")</f>
        <v>Non-Premium Learner</v>
      </c>
      <c r="O395" s="23" t="str">
        <f>PROPER(TRIM(Raw_Data!N386))</f>
        <v>App Only</v>
      </c>
      <c r="P395" s="24">
        <f>IF(Raw_Data!O386="",$C$7,Raw_Data!O386)</f>
        <v>31462.639999999999</v>
      </c>
      <c r="Q395" s="23" t="str">
        <f>IF(Raw_Data!O386="","Missing-Imputed","Original")</f>
        <v>Original</v>
      </c>
      <c r="R395" s="24">
        <f>Raw_Data!P386</f>
        <v>28.8</v>
      </c>
      <c r="S395" s="24">
        <f>Raw_Data!Q386</f>
        <v>37597.5</v>
      </c>
      <c r="T395" s="23" t="str">
        <f>IF(Raw_Data!R386="","Unknown",IF(ISNUMBER(SEARCH("ACT",UPPER(Raw_Data!R386))),"Active",IF(ISNUMBER(SEARCH("CLOS",UPPER(Raw_Data!R386))),"Closed","None")))</f>
        <v>Active</v>
      </c>
      <c r="U395" s="24">
        <f>IF(Raw_Data!S386="",$C$8,VALUE(Raw_Data!S386))</f>
        <v>310</v>
      </c>
      <c r="V395" s="23" t="str">
        <f>IF(Raw_Data!S386="","Missing-Imputed","Original")</f>
        <v>Original</v>
      </c>
      <c r="W395" s="24">
        <f>Raw_Data!T386</f>
        <v>95</v>
      </c>
      <c r="X395" s="23" t="str">
        <f>IF(ISNUMBER(SEARCH("Y",UPPER(TRIM(Raw_Data!U386)))),"Yes","No")</f>
        <v>No</v>
      </c>
      <c r="Y395" s="23" t="str">
        <f>IF(ISNUMBER(SEARCH("Y",UPPER(TRIM(Raw_Data!V386)))),"Yes","No")</f>
        <v>Yes</v>
      </c>
      <c r="Z395" s="24">
        <f>Raw_Data!W386</f>
        <v>2</v>
      </c>
      <c r="AA395" s="24">
        <f>Raw_Data!X386</f>
        <v>6.9</v>
      </c>
      <c r="AB395" s="23" t="str">
        <f>IF(COUNTIFS(Raw_Data!$A$2:$A$616,Raw_Data!A386)&gt;1,"Duplicate","Unique")</f>
        <v>Unique</v>
      </c>
      <c r="AC395" s="23" t="str">
        <f t="shared" ref="AC395:AC458" si="20">IF(AB395="Duplicate","Review-Duplicate",IF(OR(D395&lt;&gt;"Original",Q395&lt;&gt;"Original",V395&lt;&gt;"Original"),"Imputed","Clean"))</f>
        <v>Clean</v>
      </c>
    </row>
    <row r="396" spans="1:29" ht="15" customHeight="1">
      <c r="A396" s="25" t="str">
        <f>Raw_Data!A387</f>
        <v>BYJ1386</v>
      </c>
      <c r="B396" s="25" t="str">
        <f>Raw_Data!B387</f>
        <v>Vansha Iyengar</v>
      </c>
      <c r="C396" s="26">
        <f>IF(OR(Raw_Data!C387="",Raw_Data!C387&lt;$C$5,Raw_Data!C387&gt;$C$6),$C$4,Raw_Data!C387)</f>
        <v>30</v>
      </c>
      <c r="D396" s="25" t="str">
        <f>IF(Raw_Data!C387="","Missing-Imputed",IF(OR(Raw_Data!C387&lt;$C$5,Raw_Data!C387&gt;$C$6),"Outlier-Imputed","Original"))</f>
        <v>Original</v>
      </c>
      <c r="E396" s="25" t="str">
        <f>IF(OR(UPPER(TRIM(Raw_Data!D387))="M",UPPER(TRIM(Raw_Data!D387))="MALE"),"Male","Female")</f>
        <v>Female</v>
      </c>
      <c r="F396" s="25" t="str">
        <f>PROPER(TRIM(Raw_Data!E387))</f>
        <v>Pondicherry</v>
      </c>
      <c r="G396" s="25" t="str">
        <f>PROPER(TRIM(Raw_Data!F387))</f>
        <v>Kerala</v>
      </c>
      <c r="H396" s="25" t="str">
        <f>PROPER(TRIM(Raw_Data!G387))</f>
        <v>Neet Prep</v>
      </c>
      <c r="I396" s="25" t="str">
        <f>PROPER(TRIM(Raw_Data!H387))</f>
        <v>Kolkata Main</v>
      </c>
      <c r="J396" s="26">
        <f>IF(LEN(TRIM(Raw_Data!I387))=4,VALUE(TRIM(Raw_Data!I387)),IF(ISNUMBER(IFERROR(VALUE(MID(TRIM(Raw_Data!I387),1,4)),"NA")),VALUE(MID(TRIM(Raw_Data!I387),1,4)),VALUE(RIGHT(TRIM(Raw_Data!I387),4))))</f>
        <v>2019</v>
      </c>
      <c r="K396" s="25" t="str">
        <f>PROPER(TRIM(Raw_Data!J387))</f>
        <v>Business</v>
      </c>
      <c r="L396" s="25" t="str">
        <f t="shared" si="18"/>
        <v>20+</v>
      </c>
      <c r="M396" s="25" t="str">
        <f t="shared" si="19"/>
        <v>Adult Learners</v>
      </c>
      <c r="N396" s="25" t="str">
        <f>IF(ISNUMBER(SEARCH("NON",UPPER(Raw_Data!M387))),"Non-Premium Learner","Premium Learner")</f>
        <v>Non-Premium Learner</v>
      </c>
      <c r="O396" s="25" t="str">
        <f>PROPER(TRIM(Raw_Data!N387))</f>
        <v>Web Only</v>
      </c>
      <c r="P396" s="26">
        <f>IF(Raw_Data!O387="",$C$7,Raw_Data!O387)</f>
        <v>43359.05</v>
      </c>
      <c r="Q396" s="25" t="str">
        <f>IF(Raw_Data!O387="","Missing-Imputed","Original")</f>
        <v>Original</v>
      </c>
      <c r="R396" s="26">
        <f>Raw_Data!P387</f>
        <v>48.4</v>
      </c>
      <c r="S396" s="26">
        <f>Raw_Data!Q387</f>
        <v>20931.55</v>
      </c>
      <c r="T396" s="25" t="str">
        <f>IF(Raw_Data!R387="","Unknown",IF(ISNUMBER(SEARCH("ACT",UPPER(Raw_Data!R387))),"Active",IF(ISNUMBER(SEARCH("CLOS",UPPER(Raw_Data!R387))),"Closed","None")))</f>
        <v>Unknown</v>
      </c>
      <c r="U396" s="26">
        <f>IF(Raw_Data!S387="",$C$8,VALUE(Raw_Data!S387))</f>
        <v>760</v>
      </c>
      <c r="V396" s="25" t="str">
        <f>IF(Raw_Data!S387="","Missing-Imputed","Original")</f>
        <v>Original</v>
      </c>
      <c r="W396" s="26">
        <f>Raw_Data!T387</f>
        <v>175</v>
      </c>
      <c r="X396" s="25" t="str">
        <f>IF(ISNUMBER(SEARCH("Y",UPPER(TRIM(Raw_Data!U387)))),"Yes","No")</f>
        <v>Yes</v>
      </c>
      <c r="Y396" s="25" t="str">
        <f>IF(ISNUMBER(SEARCH("Y",UPPER(TRIM(Raw_Data!V387)))),"Yes","No")</f>
        <v>No</v>
      </c>
      <c r="Z396" s="26">
        <f>Raw_Data!W387</f>
        <v>5</v>
      </c>
      <c r="AA396" s="26">
        <f>Raw_Data!X387</f>
        <v>5.3</v>
      </c>
      <c r="AB396" s="25" t="str">
        <f>IF(COUNTIFS(Raw_Data!$A$2:$A$616,Raw_Data!A387)&gt;1,"Duplicate","Unique")</f>
        <v>Unique</v>
      </c>
      <c r="AC396" s="25" t="str">
        <f t="shared" si="20"/>
        <v>Clean</v>
      </c>
    </row>
    <row r="397" spans="1:29" ht="15" customHeight="1">
      <c r="A397" s="23" t="str">
        <f>Raw_Data!A388</f>
        <v>BYJ1387</v>
      </c>
      <c r="B397" s="23" t="str">
        <f>Raw_Data!B388</f>
        <v>Daniel Chakraborty</v>
      </c>
      <c r="C397" s="24">
        <f>IF(OR(Raw_Data!C388="",Raw_Data!C388&lt;$C$5,Raw_Data!C388&gt;$C$6),$C$4,Raw_Data!C388)</f>
        <v>24</v>
      </c>
      <c r="D397" s="23" t="str">
        <f>IF(Raw_Data!C388="","Missing-Imputed",IF(OR(Raw_Data!C388&lt;$C$5,Raw_Data!C388&gt;$C$6),"Outlier-Imputed","Original"))</f>
        <v>Original</v>
      </c>
      <c r="E397" s="23" t="str">
        <f>IF(OR(UPPER(TRIM(Raw_Data!D388))="M",UPPER(TRIM(Raw_Data!D388))="MALE"),"Male","Female")</f>
        <v>Male</v>
      </c>
      <c r="F397" s="23" t="str">
        <f>PROPER(TRIM(Raw_Data!E388))</f>
        <v>Deoghar</v>
      </c>
      <c r="G397" s="23" t="str">
        <f>PROPER(TRIM(Raw_Data!F388))</f>
        <v>Uttar Pradesh</v>
      </c>
      <c r="H397" s="23" t="str">
        <f>PROPER(TRIM(Raw_Data!G388))</f>
        <v>Jee Prep</v>
      </c>
      <c r="I397" s="23" t="str">
        <f>PROPER(TRIM(Raw_Data!H388))</f>
        <v>Bengaluru South</v>
      </c>
      <c r="J397" s="24">
        <f>IF(LEN(TRIM(Raw_Data!I388))=4,VALUE(TRIM(Raw_Data!I388)),IF(ISNUMBER(IFERROR(VALUE(MID(TRIM(Raw_Data!I388),1,4)),"NA")),VALUE(MID(TRIM(Raw_Data!I388),1,4)),VALUE(RIGHT(TRIM(Raw_Data!I388),4))))</f>
        <v>2024</v>
      </c>
      <c r="K397" s="23" t="str">
        <f>PROPER(TRIM(Raw_Data!J388))</f>
        <v>Self-Employed</v>
      </c>
      <c r="L397" s="23" t="str">
        <f t="shared" si="18"/>
        <v>20+</v>
      </c>
      <c r="M397" s="23" t="str">
        <f t="shared" si="19"/>
        <v>Adult Learners</v>
      </c>
      <c r="N397" s="23" t="str">
        <f>IF(ISNUMBER(SEARCH("NON",UPPER(Raw_Data!M388))),"Non-Premium Learner","Premium Learner")</f>
        <v>Premium Learner</v>
      </c>
      <c r="O397" s="23" t="str">
        <f>PROPER(TRIM(Raw_Data!N388))</f>
        <v>Both App &amp; Web</v>
      </c>
      <c r="P397" s="24">
        <f>IF(Raw_Data!O388="",$C$7,Raw_Data!O388)</f>
        <v>100458.17</v>
      </c>
      <c r="Q397" s="23" t="str">
        <f>IF(Raw_Data!O388="","Missing-Imputed","Original")</f>
        <v>Original</v>
      </c>
      <c r="R397" s="24">
        <f>Raw_Data!P388</f>
        <v>15.5</v>
      </c>
      <c r="S397" s="24">
        <f>Raw_Data!Q388</f>
        <v>35209.25</v>
      </c>
      <c r="T397" s="23" t="str">
        <f>IF(Raw_Data!R388="","Unknown",IF(ISNUMBER(SEARCH("ACT",UPPER(Raw_Data!R388))),"Active",IF(ISNUMBER(SEARCH("CLOS",UPPER(Raw_Data!R388))),"Closed","None")))</f>
        <v>Closed</v>
      </c>
      <c r="U397" s="24">
        <f>IF(Raw_Data!S388="",$C$8,VALUE(Raw_Data!S388))</f>
        <v>686</v>
      </c>
      <c r="V397" s="23" t="str">
        <f>IF(Raw_Data!S388="","Missing-Imputed","Original")</f>
        <v>Original</v>
      </c>
      <c r="W397" s="24">
        <f>Raw_Data!T388</f>
        <v>8</v>
      </c>
      <c r="X397" s="23" t="str">
        <f>IF(ISNUMBER(SEARCH("Y",UPPER(TRIM(Raw_Data!U388)))),"Yes","No")</f>
        <v>No</v>
      </c>
      <c r="Y397" s="23" t="str">
        <f>IF(ISNUMBER(SEARCH("Y",UPPER(TRIM(Raw_Data!V388)))),"Yes","No")</f>
        <v>No</v>
      </c>
      <c r="Z397" s="24">
        <f>Raw_Data!W388</f>
        <v>2</v>
      </c>
      <c r="AA397" s="24">
        <f>Raw_Data!X388</f>
        <v>4.0999999999999996</v>
      </c>
      <c r="AB397" s="23" t="str">
        <f>IF(COUNTIFS(Raw_Data!$A$2:$A$616,Raw_Data!A388)&gt;1,"Duplicate","Unique")</f>
        <v>Unique</v>
      </c>
      <c r="AC397" s="23" t="str">
        <f t="shared" si="20"/>
        <v>Clean</v>
      </c>
    </row>
    <row r="398" spans="1:29" ht="15" customHeight="1">
      <c r="A398" s="25" t="str">
        <f>Raw_Data!A389</f>
        <v>BYJ1388</v>
      </c>
      <c r="B398" s="25" t="str">
        <f>Raw_Data!B389</f>
        <v>Parth Sahni</v>
      </c>
      <c r="C398" s="26">
        <f>IF(OR(Raw_Data!C389="",Raw_Data!C389&lt;$C$5,Raw_Data!C389&gt;$C$6),$C$4,Raw_Data!C389)</f>
        <v>12</v>
      </c>
      <c r="D398" s="25" t="str">
        <f>IF(Raw_Data!C389="","Missing-Imputed",IF(OR(Raw_Data!C389&lt;$C$5,Raw_Data!C389&gt;$C$6),"Outlier-Imputed","Original"))</f>
        <v>Original</v>
      </c>
      <c r="E398" s="25" t="str">
        <f>IF(OR(UPPER(TRIM(Raw_Data!D389))="M",UPPER(TRIM(Raw_Data!D389))="MALE"),"Male","Female")</f>
        <v>Male</v>
      </c>
      <c r="F398" s="25" t="str">
        <f>PROPER(TRIM(Raw_Data!E389))</f>
        <v>Vadodara</v>
      </c>
      <c r="G398" s="25" t="str">
        <f>PROPER(TRIM(Raw_Data!F389))</f>
        <v>Rajasthan</v>
      </c>
      <c r="H398" s="25" t="str">
        <f>PROPER(TRIM(Raw_Data!G389))</f>
        <v>Science</v>
      </c>
      <c r="I398" s="25" t="str">
        <f>PROPER(TRIM(Raw_Data!H389))</f>
        <v>Chennai Central</v>
      </c>
      <c r="J398" s="26">
        <f>IF(LEN(TRIM(Raw_Data!I389))=4,VALUE(TRIM(Raw_Data!I389)),IF(ISNUMBER(IFERROR(VALUE(MID(TRIM(Raw_Data!I389),1,4)),"NA")),VALUE(MID(TRIM(Raw_Data!I389),1,4)),VALUE(RIGHT(TRIM(Raw_Data!I389),4))))</f>
        <v>2023</v>
      </c>
      <c r="K398" s="25" t="str">
        <f>PROPER(TRIM(Raw_Data!J389))</f>
        <v>Retired</v>
      </c>
      <c r="L398" s="25" t="str">
        <f t="shared" si="18"/>
        <v>10-13</v>
      </c>
      <c r="M398" s="25" t="str">
        <f t="shared" si="19"/>
        <v>Kids</v>
      </c>
      <c r="N398" s="25" t="str">
        <f>IF(ISNUMBER(SEARCH("NON",UPPER(Raw_Data!M389))),"Non-Premium Learner","Premium Learner")</f>
        <v>Non-Premium Learner</v>
      </c>
      <c r="O398" s="25" t="str">
        <f>PROPER(TRIM(Raw_Data!N389))</f>
        <v>Web Only</v>
      </c>
      <c r="P398" s="26">
        <f>IF(Raw_Data!O389="",$C$7,Raw_Data!O389)</f>
        <v>109889.01</v>
      </c>
      <c r="Q398" s="25" t="str">
        <f>IF(Raw_Data!O389="","Missing-Imputed","Original")</f>
        <v>Original</v>
      </c>
      <c r="R398" s="26">
        <f>Raw_Data!P389</f>
        <v>41.2</v>
      </c>
      <c r="S398" s="26">
        <f>Raw_Data!Q389</f>
        <v>24069.19</v>
      </c>
      <c r="T398" s="25" t="str">
        <f>IF(Raw_Data!R389="","Unknown",IF(ISNUMBER(SEARCH("ACT",UPPER(Raw_Data!R389))),"Active",IF(ISNUMBER(SEARCH("CLOS",UPPER(Raw_Data!R389))),"Closed","None")))</f>
        <v>Active</v>
      </c>
      <c r="U398" s="26">
        <f>IF(Raw_Data!S389="",$C$8,VALUE(Raw_Data!S389))</f>
        <v>819</v>
      </c>
      <c r="V398" s="25" t="str">
        <f>IF(Raw_Data!S389="","Missing-Imputed","Original")</f>
        <v>Original</v>
      </c>
      <c r="W398" s="26">
        <f>Raw_Data!T389</f>
        <v>109</v>
      </c>
      <c r="X398" s="25" t="str">
        <f>IF(ISNUMBER(SEARCH("Y",UPPER(TRIM(Raw_Data!U389)))),"Yes","No")</f>
        <v>No</v>
      </c>
      <c r="Y398" s="25" t="str">
        <f>IF(ISNUMBER(SEARCH("Y",UPPER(TRIM(Raw_Data!V389)))),"Yes","No")</f>
        <v>Yes</v>
      </c>
      <c r="Z398" s="26">
        <f>Raw_Data!W389</f>
        <v>5</v>
      </c>
      <c r="AA398" s="26">
        <f>Raw_Data!X389</f>
        <v>1.9</v>
      </c>
      <c r="AB398" s="25" t="str">
        <f>IF(COUNTIFS(Raw_Data!$A$2:$A$616,Raw_Data!A389)&gt;1,"Duplicate","Unique")</f>
        <v>Unique</v>
      </c>
      <c r="AC398" s="25" t="str">
        <f t="shared" si="20"/>
        <v>Clean</v>
      </c>
    </row>
    <row r="399" spans="1:29" ht="15" customHeight="1">
      <c r="A399" s="23" t="str">
        <f>Raw_Data!A390</f>
        <v>BYJ1389</v>
      </c>
      <c r="B399" s="23" t="str">
        <f>Raw_Data!B390</f>
        <v>Warhi Grewal</v>
      </c>
      <c r="C399" s="24">
        <f>IF(OR(Raw_Data!C390="",Raw_Data!C390&lt;$C$5,Raw_Data!C390&gt;$C$6),$C$4,Raw_Data!C390)</f>
        <v>39</v>
      </c>
      <c r="D399" s="23" t="str">
        <f>IF(Raw_Data!C390="","Missing-Imputed",IF(OR(Raw_Data!C390&lt;$C$5,Raw_Data!C390&gt;$C$6),"Outlier-Imputed","Original"))</f>
        <v>Original</v>
      </c>
      <c r="E399" s="23" t="str">
        <f>IF(OR(UPPER(TRIM(Raw_Data!D390))="M",UPPER(TRIM(Raw_Data!D390))="MALE"),"Male","Female")</f>
        <v>Male</v>
      </c>
      <c r="F399" s="23" t="str">
        <f>PROPER(TRIM(Raw_Data!E390))</f>
        <v>Agra</v>
      </c>
      <c r="G399" s="23" t="str">
        <f>PROPER(TRIM(Raw_Data!F390))</f>
        <v>Maharashtra</v>
      </c>
      <c r="H399" s="23" t="str">
        <f>PROPER(TRIM(Raw_Data!G390))</f>
        <v>Neet Prep</v>
      </c>
      <c r="I399" s="23" t="str">
        <f>PROPER(TRIM(Raw_Data!H390))</f>
        <v>Chennai Central</v>
      </c>
      <c r="J399" s="24">
        <f>IF(LEN(TRIM(Raw_Data!I390))=4,VALUE(TRIM(Raw_Data!I390)),IF(ISNUMBER(IFERROR(VALUE(MID(TRIM(Raw_Data!I390),1,4)),"NA")),VALUE(MID(TRIM(Raw_Data!I390),1,4)),VALUE(RIGHT(TRIM(Raw_Data!I390),4))))</f>
        <v>2017</v>
      </c>
      <c r="K399" s="23" t="str">
        <f>PROPER(TRIM(Raw_Data!J390))</f>
        <v>Homemaker</v>
      </c>
      <c r="L399" s="23" t="str">
        <f t="shared" si="18"/>
        <v>20+</v>
      </c>
      <c r="M399" s="23" t="str">
        <f t="shared" si="19"/>
        <v>Adult Learners</v>
      </c>
      <c r="N399" s="23" t="str">
        <f>IF(ISNUMBER(SEARCH("NON",UPPER(Raw_Data!M390))),"Non-Premium Learner","Premium Learner")</f>
        <v>Non-Premium Learner</v>
      </c>
      <c r="O399" s="23" t="str">
        <f>PROPER(TRIM(Raw_Data!N390))</f>
        <v>App Only</v>
      </c>
      <c r="P399" s="24">
        <f>IF(Raw_Data!O390="",$C$7,Raw_Data!O390)</f>
        <v>100498.25</v>
      </c>
      <c r="Q399" s="23" t="str">
        <f>IF(Raw_Data!O390="","Missing-Imputed","Original")</f>
        <v>Original</v>
      </c>
      <c r="R399" s="24">
        <f>Raw_Data!P390</f>
        <v>17.899999999999999</v>
      </c>
      <c r="S399" s="24">
        <f>Raw_Data!Q390</f>
        <v>18451.61</v>
      </c>
      <c r="T399" s="23" t="str">
        <f>IF(Raw_Data!R390="","Unknown",IF(ISNUMBER(SEARCH("ACT",UPPER(Raw_Data!R390))),"Active",IF(ISNUMBER(SEARCH("CLOS",UPPER(Raw_Data!R390))),"Closed","None")))</f>
        <v>Active</v>
      </c>
      <c r="U399" s="24">
        <f>IF(Raw_Data!S390="",$C$8,VALUE(Raw_Data!S390))</f>
        <v>508</v>
      </c>
      <c r="V399" s="23" t="str">
        <f>IF(Raw_Data!S390="","Missing-Imputed","Original")</f>
        <v>Original</v>
      </c>
      <c r="W399" s="24">
        <f>Raw_Data!T390</f>
        <v>185</v>
      </c>
      <c r="X399" s="23" t="str">
        <f>IF(ISNUMBER(SEARCH("Y",UPPER(TRIM(Raw_Data!U390)))),"Yes","No")</f>
        <v>Yes</v>
      </c>
      <c r="Y399" s="23" t="str">
        <f>IF(ISNUMBER(SEARCH("Y",UPPER(TRIM(Raw_Data!V390)))),"Yes","No")</f>
        <v>No</v>
      </c>
      <c r="Z399" s="24">
        <f>Raw_Data!W390</f>
        <v>4</v>
      </c>
      <c r="AA399" s="24">
        <f>Raw_Data!X390</f>
        <v>1.9</v>
      </c>
      <c r="AB399" s="23" t="str">
        <f>IF(COUNTIFS(Raw_Data!$A$2:$A$616,Raw_Data!A390)&gt;1,"Duplicate","Unique")</f>
        <v>Unique</v>
      </c>
      <c r="AC399" s="23" t="str">
        <f t="shared" si="20"/>
        <v>Clean</v>
      </c>
    </row>
    <row r="400" spans="1:29" ht="15" customHeight="1">
      <c r="A400" s="25" t="str">
        <f>Raw_Data!A391</f>
        <v>BYJ1390</v>
      </c>
      <c r="B400" s="25" t="str">
        <f>Raw_Data!B391</f>
        <v>Chanchal Chhabra</v>
      </c>
      <c r="C400" s="26">
        <f>IF(OR(Raw_Data!C391="",Raw_Data!C391&lt;$C$5,Raw_Data!C391&gt;$C$6),$C$4,Raw_Data!C391)</f>
        <v>31</v>
      </c>
      <c r="D400" s="25" t="str">
        <f>IF(Raw_Data!C391="","Missing-Imputed",IF(OR(Raw_Data!C391&lt;$C$5,Raw_Data!C391&gt;$C$6),"Outlier-Imputed","Original"))</f>
        <v>Original</v>
      </c>
      <c r="E400" s="25" t="str">
        <f>IF(OR(UPPER(TRIM(Raw_Data!D391))="M",UPPER(TRIM(Raw_Data!D391))="MALE"),"Male","Female")</f>
        <v>Male</v>
      </c>
      <c r="F400" s="25" t="str">
        <f>PROPER(TRIM(Raw_Data!E391))</f>
        <v>Anantapuram</v>
      </c>
      <c r="G400" s="25" t="str">
        <f>PROPER(TRIM(Raw_Data!F391))</f>
        <v>Rajasthan</v>
      </c>
      <c r="H400" s="25" t="str">
        <f>PROPER(TRIM(Raw_Data!G391))</f>
        <v>English</v>
      </c>
      <c r="I400" s="25" t="str">
        <f>PROPER(TRIM(Raw_Data!H391))</f>
        <v>Bengaluru South</v>
      </c>
      <c r="J400" s="26">
        <f>IF(LEN(TRIM(Raw_Data!I391))=4,VALUE(TRIM(Raw_Data!I391)),IF(ISNUMBER(IFERROR(VALUE(MID(TRIM(Raw_Data!I391),1,4)),"NA")),VALUE(MID(TRIM(Raw_Data!I391),1,4)),VALUE(RIGHT(TRIM(Raw_Data!I391),4))))</f>
        <v>2022</v>
      </c>
      <c r="K400" s="25" t="str">
        <f>PROPER(TRIM(Raw_Data!J391))</f>
        <v>Self-Employed</v>
      </c>
      <c r="L400" s="25" t="str">
        <f t="shared" si="18"/>
        <v>20+</v>
      </c>
      <c r="M400" s="25" t="str">
        <f t="shared" si="19"/>
        <v>Adult Learners</v>
      </c>
      <c r="N400" s="25" t="str">
        <f>IF(ISNUMBER(SEARCH("NON",UPPER(Raw_Data!M391))),"Non-Premium Learner","Premium Learner")</f>
        <v>Non-Premium Learner</v>
      </c>
      <c r="O400" s="25" t="str">
        <f>PROPER(TRIM(Raw_Data!N391))</f>
        <v>Both App &amp; Web</v>
      </c>
      <c r="P400" s="26">
        <f>IF(Raw_Data!O391="",$C$7,Raw_Data!O391)</f>
        <v>110903.96</v>
      </c>
      <c r="Q400" s="25" t="str">
        <f>IF(Raw_Data!O391="","Missing-Imputed","Original")</f>
        <v>Original</v>
      </c>
      <c r="R400" s="26">
        <f>Raw_Data!P391</f>
        <v>34.5</v>
      </c>
      <c r="S400" s="26">
        <f>Raw_Data!Q391</f>
        <v>4299.41</v>
      </c>
      <c r="T400" s="25" t="str">
        <f>IF(Raw_Data!R391="","Unknown",IF(ISNUMBER(SEARCH("ACT",UPPER(Raw_Data!R391))),"Active",IF(ISNUMBER(SEARCH("CLOS",UPPER(Raw_Data!R391))),"Closed","None")))</f>
        <v>Closed</v>
      </c>
      <c r="U400" s="26">
        <f>IF(Raw_Data!S391="",$C$8,VALUE(Raw_Data!S391))</f>
        <v>900</v>
      </c>
      <c r="V400" s="25" t="str">
        <f>IF(Raw_Data!S391="","Missing-Imputed","Original")</f>
        <v>Original</v>
      </c>
      <c r="W400" s="26">
        <f>Raw_Data!T391</f>
        <v>155</v>
      </c>
      <c r="X400" s="25" t="str">
        <f>IF(ISNUMBER(SEARCH("Y",UPPER(TRIM(Raw_Data!U391)))),"Yes","No")</f>
        <v>Yes</v>
      </c>
      <c r="Y400" s="25" t="str">
        <f>IF(ISNUMBER(SEARCH("Y",UPPER(TRIM(Raw_Data!V391)))),"Yes","No")</f>
        <v>No</v>
      </c>
      <c r="Z400" s="26">
        <f>Raw_Data!W391</f>
        <v>3</v>
      </c>
      <c r="AA400" s="26">
        <f>Raw_Data!X391</f>
        <v>4.8</v>
      </c>
      <c r="AB400" s="25" t="str">
        <f>IF(COUNTIFS(Raw_Data!$A$2:$A$616,Raw_Data!A391)&gt;1,"Duplicate","Unique")</f>
        <v>Unique</v>
      </c>
      <c r="AC400" s="25" t="str">
        <f t="shared" si="20"/>
        <v>Clean</v>
      </c>
    </row>
    <row r="401" spans="1:29" ht="15" customHeight="1">
      <c r="A401" s="23" t="str">
        <f>Raw_Data!A392</f>
        <v>BYJ1391</v>
      </c>
      <c r="B401" s="23" t="str">
        <f>Raw_Data!B392</f>
        <v xml:space="preserve">  Wakeeta Desai  </v>
      </c>
      <c r="C401" s="24">
        <f>IF(OR(Raw_Data!C392="",Raw_Data!C392&lt;$C$5,Raw_Data!C392&gt;$C$6),$C$4,Raw_Data!C392)</f>
        <v>31</v>
      </c>
      <c r="D401" s="23" t="str">
        <f>IF(Raw_Data!C392="","Missing-Imputed",IF(OR(Raw_Data!C392&lt;$C$5,Raw_Data!C392&gt;$C$6),"Outlier-Imputed","Original"))</f>
        <v>Original</v>
      </c>
      <c r="E401" s="23" t="str">
        <f>IF(OR(UPPER(TRIM(Raw_Data!D392))="M",UPPER(TRIM(Raw_Data!D392))="MALE"),"Male","Female")</f>
        <v>Male</v>
      </c>
      <c r="F401" s="23" t="str">
        <f>PROPER(TRIM(Raw_Data!E392))</f>
        <v>Darbhanga</v>
      </c>
      <c r="G401" s="23" t="str">
        <f>PROPER(TRIM(Raw_Data!F392))</f>
        <v>Delhi</v>
      </c>
      <c r="H401" s="23" t="str">
        <f>PROPER(TRIM(Raw_Data!G392))</f>
        <v>Coding</v>
      </c>
      <c r="I401" s="23" t="str">
        <f>PROPER(TRIM(Raw_Data!H392))</f>
        <v>Delhi North</v>
      </c>
      <c r="J401" s="24">
        <f>IF(LEN(TRIM(Raw_Data!I392))=4,VALUE(TRIM(Raw_Data!I392)),IF(ISNUMBER(IFERROR(VALUE(MID(TRIM(Raw_Data!I392),1,4)),"NA")),VALUE(MID(TRIM(Raw_Data!I392),1,4)),VALUE(RIGHT(TRIM(Raw_Data!I392),4))))</f>
        <v>2020</v>
      </c>
      <c r="K401" s="23" t="str">
        <f>PROPER(TRIM(Raw_Data!J392))</f>
        <v>Self-Employed</v>
      </c>
      <c r="L401" s="23" t="str">
        <f t="shared" si="18"/>
        <v>20+</v>
      </c>
      <c r="M401" s="23" t="str">
        <f t="shared" si="19"/>
        <v>Adult Learners</v>
      </c>
      <c r="N401" s="23" t="str">
        <f>IF(ISNUMBER(SEARCH("NON",UPPER(Raw_Data!M392))),"Non-Premium Learner","Premium Learner")</f>
        <v>Non-Premium Learner</v>
      </c>
      <c r="O401" s="23" t="str">
        <f>PROPER(TRIM(Raw_Data!N392))</f>
        <v>Web Only</v>
      </c>
      <c r="P401" s="24">
        <f>IF(Raw_Data!O392="",$C$7,Raw_Data!O392)</f>
        <v>50108.35</v>
      </c>
      <c r="Q401" s="23" t="str">
        <f>IF(Raw_Data!O392="","Missing-Imputed","Original")</f>
        <v>Original</v>
      </c>
      <c r="R401" s="24">
        <f>Raw_Data!P392</f>
        <v>41</v>
      </c>
      <c r="S401" s="24">
        <f>Raw_Data!Q392</f>
        <v>15661.17</v>
      </c>
      <c r="T401" s="23" t="str">
        <f>IF(Raw_Data!R392="","Unknown",IF(ISNUMBER(SEARCH("ACT",UPPER(Raw_Data!R392))),"Active",IF(ISNUMBER(SEARCH("CLOS",UPPER(Raw_Data!R392))),"Closed","None")))</f>
        <v>Closed</v>
      </c>
      <c r="U401" s="24">
        <f>IF(Raw_Data!S392="",$C$8,VALUE(Raw_Data!S392))</f>
        <v>467</v>
      </c>
      <c r="V401" s="23" t="str">
        <f>IF(Raw_Data!S392="","Missing-Imputed","Original")</f>
        <v>Original</v>
      </c>
      <c r="W401" s="24">
        <f>Raw_Data!T392</f>
        <v>132</v>
      </c>
      <c r="X401" s="23" t="str">
        <f>IF(ISNUMBER(SEARCH("Y",UPPER(TRIM(Raw_Data!U392)))),"Yes","No")</f>
        <v>Yes</v>
      </c>
      <c r="Y401" s="23" t="str">
        <f>IF(ISNUMBER(SEARCH("Y",UPPER(TRIM(Raw_Data!V392)))),"Yes","No")</f>
        <v>Yes</v>
      </c>
      <c r="Z401" s="24">
        <f>Raw_Data!W392</f>
        <v>1</v>
      </c>
      <c r="AA401" s="24">
        <f>Raw_Data!X392</f>
        <v>6.1</v>
      </c>
      <c r="AB401" s="23" t="str">
        <f>IF(COUNTIFS(Raw_Data!$A$2:$A$616,Raw_Data!A392)&gt;1,"Duplicate","Unique")</f>
        <v>Unique</v>
      </c>
      <c r="AC401" s="23" t="str">
        <f t="shared" si="20"/>
        <v>Clean</v>
      </c>
    </row>
    <row r="402" spans="1:29" ht="15" customHeight="1">
      <c r="A402" s="25" t="str">
        <f>Raw_Data!A393</f>
        <v>BYJ1392</v>
      </c>
      <c r="B402" s="25" t="str">
        <f>Raw_Data!B393</f>
        <v>Isaiah Narayanan</v>
      </c>
      <c r="C402" s="26">
        <f>IF(OR(Raw_Data!C393="",Raw_Data!C393&lt;$C$5,Raw_Data!C393&gt;$C$6),$C$4,Raw_Data!C393)</f>
        <v>16</v>
      </c>
      <c r="D402" s="25" t="str">
        <f>IF(Raw_Data!C393="","Missing-Imputed",IF(OR(Raw_Data!C393&lt;$C$5,Raw_Data!C393&gt;$C$6),"Outlier-Imputed","Original"))</f>
        <v>Original</v>
      </c>
      <c r="E402" s="25" t="str">
        <f>IF(OR(UPPER(TRIM(Raw_Data!D393))="M",UPPER(TRIM(Raw_Data!D393))="MALE"),"Male","Female")</f>
        <v>Female</v>
      </c>
      <c r="F402" s="25" t="str">
        <f>PROPER(TRIM(Raw_Data!E393))</f>
        <v>Berhampore</v>
      </c>
      <c r="G402" s="25" t="str">
        <f>PROPER(TRIM(Raw_Data!F393))</f>
        <v>West Bengal</v>
      </c>
      <c r="H402" s="25" t="str">
        <f>PROPER(TRIM(Raw_Data!G393))</f>
        <v>Spoken English</v>
      </c>
      <c r="I402" s="25" t="str">
        <f>PROPER(TRIM(Raw_Data!H393))</f>
        <v>Chennai Central</v>
      </c>
      <c r="J402" s="26">
        <f>IF(LEN(TRIM(Raw_Data!I393))=4,VALUE(TRIM(Raw_Data!I393)),IF(ISNUMBER(IFERROR(VALUE(MID(TRIM(Raw_Data!I393),1,4)),"NA")),VALUE(MID(TRIM(Raw_Data!I393),1,4)),VALUE(RIGHT(TRIM(Raw_Data!I393),4))))</f>
        <v>2023</v>
      </c>
      <c r="K402" s="25" t="str">
        <f>PROPER(TRIM(Raw_Data!J393))</f>
        <v>Self-Employed</v>
      </c>
      <c r="L402" s="25" t="str">
        <f t="shared" si="18"/>
        <v>14-16</v>
      </c>
      <c r="M402" s="25" t="str">
        <f t="shared" si="19"/>
        <v>Teens</v>
      </c>
      <c r="N402" s="25" t="str">
        <f>IF(ISNUMBER(SEARCH("NON",UPPER(Raw_Data!M393))),"Non-Premium Learner","Premium Learner")</f>
        <v>Non-Premium Learner</v>
      </c>
      <c r="O402" s="25" t="str">
        <f>PROPER(TRIM(Raw_Data!N393))</f>
        <v>Web Only</v>
      </c>
      <c r="P402" s="26">
        <f>IF(Raw_Data!O393="",$C$7,Raw_Data!O393)</f>
        <v>112599.43</v>
      </c>
      <c r="Q402" s="25" t="str">
        <f>IF(Raw_Data!O393="","Missing-Imputed","Original")</f>
        <v>Original</v>
      </c>
      <c r="R402" s="26">
        <f>Raw_Data!P393</f>
        <v>65.5</v>
      </c>
      <c r="S402" s="26">
        <f>Raw_Data!Q393</f>
        <v>54492.65</v>
      </c>
      <c r="T402" s="25" t="str">
        <f>IF(Raw_Data!R393="","Unknown",IF(ISNUMBER(SEARCH("ACT",UPPER(Raw_Data!R393))),"Active",IF(ISNUMBER(SEARCH("CLOS",UPPER(Raw_Data!R393))),"Closed","None")))</f>
        <v>None</v>
      </c>
      <c r="U402" s="26">
        <f>IF(Raw_Data!S393="",$C$8,VALUE(Raw_Data!S393))</f>
        <v>784</v>
      </c>
      <c r="V402" s="25" t="str">
        <f>IF(Raw_Data!S393="","Missing-Imputed","Original")</f>
        <v>Original</v>
      </c>
      <c r="W402" s="26">
        <f>Raw_Data!T393</f>
        <v>136</v>
      </c>
      <c r="X402" s="25" t="str">
        <f>IF(ISNUMBER(SEARCH("Y",UPPER(TRIM(Raw_Data!U393)))),"Yes","No")</f>
        <v>No</v>
      </c>
      <c r="Y402" s="25" t="str">
        <f>IF(ISNUMBER(SEARCH("Y",UPPER(TRIM(Raw_Data!V393)))),"Yes","No")</f>
        <v>Yes</v>
      </c>
      <c r="Z402" s="26">
        <f>Raw_Data!W393</f>
        <v>5</v>
      </c>
      <c r="AA402" s="26">
        <f>Raw_Data!X393</f>
        <v>7</v>
      </c>
      <c r="AB402" s="25" t="str">
        <f>IF(COUNTIFS(Raw_Data!$A$2:$A$616,Raw_Data!A393)&gt;1,"Duplicate","Unique")</f>
        <v>Unique</v>
      </c>
      <c r="AC402" s="25" t="str">
        <f t="shared" si="20"/>
        <v>Clean</v>
      </c>
    </row>
    <row r="403" spans="1:29" ht="15" customHeight="1">
      <c r="A403" s="23" t="str">
        <f>Raw_Data!A394</f>
        <v>BYJ1393</v>
      </c>
      <c r="B403" s="23" t="str">
        <f>Raw_Data!B394</f>
        <v>Quincy Atwal</v>
      </c>
      <c r="C403" s="24">
        <f>IF(OR(Raw_Data!C394="",Raw_Data!C394&lt;$C$5,Raw_Data!C394&gt;$C$6),$C$4,Raw_Data!C394)</f>
        <v>6</v>
      </c>
      <c r="D403" s="23" t="str">
        <f>IF(Raw_Data!C394="","Missing-Imputed",IF(OR(Raw_Data!C394&lt;$C$5,Raw_Data!C394&gt;$C$6),"Outlier-Imputed","Original"))</f>
        <v>Original</v>
      </c>
      <c r="E403" s="23" t="str">
        <f>IF(OR(UPPER(TRIM(Raw_Data!D394))="M",UPPER(TRIM(Raw_Data!D394))="MALE"),"Male","Female")</f>
        <v>Female</v>
      </c>
      <c r="F403" s="23" t="str">
        <f>PROPER(TRIM(Raw_Data!E394))</f>
        <v>Sagar</v>
      </c>
      <c r="G403" s="23" t="str">
        <f>PROPER(TRIM(Raw_Data!F394))</f>
        <v>Uttar Pradesh</v>
      </c>
      <c r="H403" s="23" t="str">
        <f>PROPER(TRIM(Raw_Data!G394))</f>
        <v>Spoken English</v>
      </c>
      <c r="I403" s="23" t="str">
        <f>PROPER(TRIM(Raw_Data!H394))</f>
        <v>Kolkata Main</v>
      </c>
      <c r="J403" s="24">
        <f>IF(LEN(TRIM(Raw_Data!I394))=4,VALUE(TRIM(Raw_Data!I394)),IF(ISNUMBER(IFERROR(VALUE(MID(TRIM(Raw_Data!I394),1,4)),"NA")),VALUE(MID(TRIM(Raw_Data!I394),1,4)),VALUE(RIGHT(TRIM(Raw_Data!I394),4))))</f>
        <v>2016</v>
      </c>
      <c r="K403" s="23" t="str">
        <f>PROPER(TRIM(Raw_Data!J394))</f>
        <v>Salaried</v>
      </c>
      <c r="L403" s="23" t="str">
        <f t="shared" si="18"/>
        <v>Under 10</v>
      </c>
      <c r="M403" s="23" t="str">
        <f t="shared" si="19"/>
        <v>Kids</v>
      </c>
      <c r="N403" s="23" t="str">
        <f>IF(ISNUMBER(SEARCH("NON",UPPER(Raw_Data!M394))),"Non-Premium Learner","Premium Learner")</f>
        <v>Non-Premium Learner</v>
      </c>
      <c r="O403" s="23" t="str">
        <f>PROPER(TRIM(Raw_Data!N394))</f>
        <v>App Only</v>
      </c>
      <c r="P403" s="24">
        <f>IF(Raw_Data!O394="",$C$7,Raw_Data!O394)</f>
        <v>133929.06</v>
      </c>
      <c r="Q403" s="23" t="str">
        <f>IF(Raw_Data!O394="","Missing-Imputed","Original")</f>
        <v>Original</v>
      </c>
      <c r="R403" s="24">
        <f>Raw_Data!P394</f>
        <v>23.9</v>
      </c>
      <c r="S403" s="24">
        <f>Raw_Data!Q394</f>
        <v>20247.7</v>
      </c>
      <c r="T403" s="23" t="str">
        <f>IF(Raw_Data!R394="","Unknown",IF(ISNUMBER(SEARCH("ACT",UPPER(Raw_Data!R394))),"Active",IF(ISNUMBER(SEARCH("CLOS",UPPER(Raw_Data!R394))),"Closed","None")))</f>
        <v>Closed</v>
      </c>
      <c r="U403" s="24">
        <f>IF(Raw_Data!S394="",$C$8,VALUE(Raw_Data!S394))</f>
        <v>855</v>
      </c>
      <c r="V403" s="23" t="str">
        <f>IF(Raw_Data!S394="","Missing-Imputed","Original")</f>
        <v>Original</v>
      </c>
      <c r="W403" s="24">
        <f>Raw_Data!T394</f>
        <v>75</v>
      </c>
      <c r="X403" s="23" t="str">
        <f>IF(ISNUMBER(SEARCH("Y",UPPER(TRIM(Raw_Data!U394)))),"Yes","No")</f>
        <v>No</v>
      </c>
      <c r="Y403" s="23" t="str">
        <f>IF(ISNUMBER(SEARCH("Y",UPPER(TRIM(Raw_Data!V394)))),"Yes","No")</f>
        <v>Yes</v>
      </c>
      <c r="Z403" s="24">
        <f>Raw_Data!W394</f>
        <v>3</v>
      </c>
      <c r="AA403" s="24">
        <f>Raw_Data!X394</f>
        <v>3</v>
      </c>
      <c r="AB403" s="23" t="str">
        <f>IF(COUNTIFS(Raw_Data!$A$2:$A$616,Raw_Data!A394)&gt;1,"Duplicate","Unique")</f>
        <v>Unique</v>
      </c>
      <c r="AC403" s="23" t="str">
        <f t="shared" si="20"/>
        <v>Clean</v>
      </c>
    </row>
    <row r="404" spans="1:29" ht="15" customHeight="1">
      <c r="A404" s="25" t="str">
        <f>Raw_Data!A395</f>
        <v>BYJ1394</v>
      </c>
      <c r="B404" s="25" t="str">
        <f>Raw_Data!B395</f>
        <v xml:space="preserve">  Parth Ravi  </v>
      </c>
      <c r="C404" s="26">
        <f>IF(OR(Raw_Data!C395="",Raw_Data!C395&lt;$C$5,Raw_Data!C395&gt;$C$6),$C$4,Raw_Data!C395)</f>
        <v>8</v>
      </c>
      <c r="D404" s="25" t="str">
        <f>IF(Raw_Data!C395="","Missing-Imputed",IF(OR(Raw_Data!C395&lt;$C$5,Raw_Data!C395&gt;$C$6),"Outlier-Imputed","Original"))</f>
        <v>Original</v>
      </c>
      <c r="E404" s="25" t="str">
        <f>IF(OR(UPPER(TRIM(Raw_Data!D395))="M",UPPER(TRIM(Raw_Data!D395))="MALE"),"Male","Female")</f>
        <v>Female</v>
      </c>
      <c r="F404" s="25" t="str">
        <f>PROPER(TRIM(Raw_Data!E395))</f>
        <v>Kottayam</v>
      </c>
      <c r="G404" s="25" t="str">
        <f>PROPER(TRIM(Raw_Data!F395))</f>
        <v>Uttar Pradesh</v>
      </c>
      <c r="H404" s="25" t="str">
        <f>PROPER(TRIM(Raw_Data!G395))</f>
        <v>Mathematics</v>
      </c>
      <c r="I404" s="25" t="str">
        <f>PROPER(TRIM(Raw_Data!H395))</f>
        <v>Mumbai West</v>
      </c>
      <c r="J404" s="26">
        <f>IF(LEN(TRIM(Raw_Data!I395))=4,VALUE(TRIM(Raw_Data!I395)),IF(ISNUMBER(IFERROR(VALUE(MID(TRIM(Raw_Data!I395),1,4)),"NA")),VALUE(MID(TRIM(Raw_Data!I395),1,4)),VALUE(RIGHT(TRIM(Raw_Data!I395),4))))</f>
        <v>2018</v>
      </c>
      <c r="K404" s="25" t="str">
        <f>PROPER(TRIM(Raw_Data!J395))</f>
        <v>Homemaker</v>
      </c>
      <c r="L404" s="25" t="str">
        <f t="shared" si="18"/>
        <v>Under 10</v>
      </c>
      <c r="M404" s="25" t="str">
        <f t="shared" si="19"/>
        <v>Kids</v>
      </c>
      <c r="N404" s="25" t="str">
        <f>IF(ISNUMBER(SEARCH("NON",UPPER(Raw_Data!M395))),"Non-Premium Learner","Premium Learner")</f>
        <v>Non-Premium Learner</v>
      </c>
      <c r="O404" s="25" t="str">
        <f>PROPER(TRIM(Raw_Data!N395))</f>
        <v>Both App &amp; Web</v>
      </c>
      <c r="P404" s="26">
        <f>IF(Raw_Data!O395="",$C$7,Raw_Data!O395)</f>
        <v>40394.6</v>
      </c>
      <c r="Q404" s="25" t="str">
        <f>IF(Raw_Data!O395="","Missing-Imputed","Original")</f>
        <v>Original</v>
      </c>
      <c r="R404" s="26">
        <f>Raw_Data!P395</f>
        <v>67.599999999999994</v>
      </c>
      <c r="S404" s="26">
        <f>Raw_Data!Q395</f>
        <v>43961.27</v>
      </c>
      <c r="T404" s="25" t="str">
        <f>IF(Raw_Data!R395="","Unknown",IF(ISNUMBER(SEARCH("ACT",UPPER(Raw_Data!R395))),"Active",IF(ISNUMBER(SEARCH("CLOS",UPPER(Raw_Data!R395))),"Closed","None")))</f>
        <v>Unknown</v>
      </c>
      <c r="U404" s="26">
        <f>IF(Raw_Data!S395="",$C$8,VALUE(Raw_Data!S395))</f>
        <v>769</v>
      </c>
      <c r="V404" s="25" t="str">
        <f>IF(Raw_Data!S395="","Missing-Imputed","Original")</f>
        <v>Original</v>
      </c>
      <c r="W404" s="26">
        <f>Raw_Data!T395</f>
        <v>83</v>
      </c>
      <c r="X404" s="25" t="str">
        <f>IF(ISNUMBER(SEARCH("Y",UPPER(TRIM(Raw_Data!U395)))),"Yes","No")</f>
        <v>No</v>
      </c>
      <c r="Y404" s="25" t="str">
        <f>IF(ISNUMBER(SEARCH("Y",UPPER(TRIM(Raw_Data!V395)))),"Yes","No")</f>
        <v>Yes</v>
      </c>
      <c r="Z404" s="26">
        <f>Raw_Data!W395</f>
        <v>4</v>
      </c>
      <c r="AA404" s="26">
        <f>Raw_Data!X395</f>
        <v>4.9000000000000004</v>
      </c>
      <c r="AB404" s="25" t="str">
        <f>IF(COUNTIFS(Raw_Data!$A$2:$A$616,Raw_Data!A395)&gt;1,"Duplicate","Unique")</f>
        <v>Unique</v>
      </c>
      <c r="AC404" s="25" t="str">
        <f t="shared" si="20"/>
        <v>Clean</v>
      </c>
    </row>
    <row r="405" spans="1:29" ht="15" customHeight="1">
      <c r="A405" s="23" t="str">
        <f>Raw_Data!A396</f>
        <v>BYJ1395</v>
      </c>
      <c r="B405" s="23" t="str">
        <f>Raw_Data!B396</f>
        <v>Gabriel Rattan</v>
      </c>
      <c r="C405" s="24">
        <f>IF(OR(Raw_Data!C396="",Raw_Data!C396&lt;$C$5,Raw_Data!C396&gt;$C$6),$C$4,Raw_Data!C396)</f>
        <v>25</v>
      </c>
      <c r="D405" s="23" t="str">
        <f>IF(Raw_Data!C396="","Missing-Imputed",IF(OR(Raw_Data!C396&lt;$C$5,Raw_Data!C396&gt;$C$6),"Outlier-Imputed","Original"))</f>
        <v>Original</v>
      </c>
      <c r="E405" s="23" t="str">
        <f>IF(OR(UPPER(TRIM(Raw_Data!D396))="M",UPPER(TRIM(Raw_Data!D396))="MALE"),"Male","Female")</f>
        <v>Female</v>
      </c>
      <c r="F405" s="23" t="str">
        <f>PROPER(TRIM(Raw_Data!E396))</f>
        <v>Udaipur</v>
      </c>
      <c r="G405" s="23" t="str">
        <f>PROPER(TRIM(Raw_Data!F396))</f>
        <v>Telangana</v>
      </c>
      <c r="H405" s="23" t="str">
        <f>PROPER(TRIM(Raw_Data!G396))</f>
        <v>Mathematics</v>
      </c>
      <c r="I405" s="23" t="str">
        <f>PROPER(TRIM(Raw_Data!H396))</f>
        <v>Kolkata Main</v>
      </c>
      <c r="J405" s="24">
        <f>IF(LEN(TRIM(Raw_Data!I396))=4,VALUE(TRIM(Raw_Data!I396)),IF(ISNUMBER(IFERROR(VALUE(MID(TRIM(Raw_Data!I396),1,4)),"NA")),VALUE(MID(TRIM(Raw_Data!I396),1,4)),VALUE(RIGHT(TRIM(Raw_Data!I396),4))))</f>
        <v>2017</v>
      </c>
      <c r="K405" s="23" t="str">
        <f>PROPER(TRIM(Raw_Data!J396))</f>
        <v>Homemaker</v>
      </c>
      <c r="L405" s="23" t="str">
        <f t="shared" si="18"/>
        <v>20+</v>
      </c>
      <c r="M405" s="23" t="str">
        <f t="shared" si="19"/>
        <v>Adult Learners</v>
      </c>
      <c r="N405" s="23" t="str">
        <f>IF(ISNUMBER(SEARCH("NON",UPPER(Raw_Data!M396))),"Non-Premium Learner","Premium Learner")</f>
        <v>Non-Premium Learner</v>
      </c>
      <c r="O405" s="23" t="str">
        <f>PROPER(TRIM(Raw_Data!N396))</f>
        <v>App Only</v>
      </c>
      <c r="P405" s="24">
        <f>IF(Raw_Data!O396="",$C$7,Raw_Data!O396)</f>
        <v>105667.29</v>
      </c>
      <c r="Q405" s="23" t="str">
        <f>IF(Raw_Data!O396="","Missing-Imputed","Original")</f>
        <v>Original</v>
      </c>
      <c r="R405" s="24">
        <f>Raw_Data!P396</f>
        <v>48</v>
      </c>
      <c r="S405" s="24">
        <f>Raw_Data!Q396</f>
        <v>12912.56</v>
      </c>
      <c r="T405" s="23" t="str">
        <f>IF(Raw_Data!R396="","Unknown",IF(ISNUMBER(SEARCH("ACT",UPPER(Raw_Data!R396))),"Active",IF(ISNUMBER(SEARCH("CLOS",UPPER(Raw_Data!R396))),"Closed","None")))</f>
        <v>Closed</v>
      </c>
      <c r="U405" s="24">
        <f>IF(Raw_Data!S396="",$C$8,VALUE(Raw_Data!S396))</f>
        <v>490</v>
      </c>
      <c r="V405" s="23" t="str">
        <f>IF(Raw_Data!S396="","Missing-Imputed","Original")</f>
        <v>Original</v>
      </c>
      <c r="W405" s="24">
        <f>Raw_Data!T396</f>
        <v>171</v>
      </c>
      <c r="X405" s="23" t="str">
        <f>IF(ISNUMBER(SEARCH("Y",UPPER(TRIM(Raw_Data!U396)))),"Yes","No")</f>
        <v>Yes</v>
      </c>
      <c r="Y405" s="23" t="str">
        <f>IF(ISNUMBER(SEARCH("Y",UPPER(TRIM(Raw_Data!V396)))),"Yes","No")</f>
        <v>Yes</v>
      </c>
      <c r="Z405" s="24">
        <f>Raw_Data!W396</f>
        <v>3</v>
      </c>
      <c r="AA405" s="24">
        <f>Raw_Data!X396</f>
        <v>0.5</v>
      </c>
      <c r="AB405" s="23" t="str">
        <f>IF(COUNTIFS(Raw_Data!$A$2:$A$616,Raw_Data!A396)&gt;1,"Duplicate","Unique")</f>
        <v>Unique</v>
      </c>
      <c r="AC405" s="23" t="str">
        <f t="shared" si="20"/>
        <v>Clean</v>
      </c>
    </row>
    <row r="406" spans="1:29" ht="15" customHeight="1">
      <c r="A406" s="25" t="str">
        <f>Raw_Data!A397</f>
        <v>BYJ1396</v>
      </c>
      <c r="B406" s="25" t="str">
        <f>Raw_Data!B397</f>
        <v>Vansha Naik</v>
      </c>
      <c r="C406" s="26">
        <f>IF(OR(Raw_Data!C397="",Raw_Data!C397&lt;$C$5,Raw_Data!C397&gt;$C$6),$C$4,Raw_Data!C397)</f>
        <v>14</v>
      </c>
      <c r="D406" s="25" t="str">
        <f>IF(Raw_Data!C397="","Missing-Imputed",IF(OR(Raw_Data!C397&lt;$C$5,Raw_Data!C397&gt;$C$6),"Outlier-Imputed","Original"))</f>
        <v>Original</v>
      </c>
      <c r="E406" s="25" t="str">
        <f>IF(OR(UPPER(TRIM(Raw_Data!D397))="M",UPPER(TRIM(Raw_Data!D397))="MALE"),"Male","Female")</f>
        <v>Female</v>
      </c>
      <c r="F406" s="25" t="str">
        <f>PROPER(TRIM(Raw_Data!E397))</f>
        <v>Chennai</v>
      </c>
      <c r="G406" s="25" t="str">
        <f>PROPER(TRIM(Raw_Data!F397))</f>
        <v>Gujarat</v>
      </c>
      <c r="H406" s="25" t="str">
        <f>PROPER(TRIM(Raw_Data!G397))</f>
        <v>Mathematics</v>
      </c>
      <c r="I406" s="25" t="str">
        <f>PROPER(TRIM(Raw_Data!H397))</f>
        <v>Delhi North</v>
      </c>
      <c r="J406" s="26">
        <f>IF(LEN(TRIM(Raw_Data!I397))=4,VALUE(TRIM(Raw_Data!I397)),IF(ISNUMBER(IFERROR(VALUE(MID(TRIM(Raw_Data!I397),1,4)),"NA")),VALUE(MID(TRIM(Raw_Data!I397),1,4)),VALUE(RIGHT(TRIM(Raw_Data!I397),4))))</f>
        <v>2019</v>
      </c>
      <c r="K406" s="25" t="str">
        <f>PROPER(TRIM(Raw_Data!J397))</f>
        <v>Business</v>
      </c>
      <c r="L406" s="25" t="str">
        <f t="shared" si="18"/>
        <v>14-16</v>
      </c>
      <c r="M406" s="25" t="str">
        <f t="shared" si="19"/>
        <v>Teens</v>
      </c>
      <c r="N406" s="25" t="str">
        <f>IF(ISNUMBER(SEARCH("NON",UPPER(Raw_Data!M397))),"Non-Premium Learner","Premium Learner")</f>
        <v>Premium Learner</v>
      </c>
      <c r="O406" s="25" t="str">
        <f>PROPER(TRIM(Raw_Data!N397))</f>
        <v>Both App &amp; Web</v>
      </c>
      <c r="P406" s="26">
        <f>IF(Raw_Data!O397="",$C$7,Raw_Data!O397)</f>
        <v>93350.84</v>
      </c>
      <c r="Q406" s="25" t="str">
        <f>IF(Raw_Data!O397="","Missing-Imputed","Original")</f>
        <v>Original</v>
      </c>
      <c r="R406" s="26">
        <f>Raw_Data!P397</f>
        <v>36.6</v>
      </c>
      <c r="S406" s="26">
        <f>Raw_Data!Q397</f>
        <v>35713.85</v>
      </c>
      <c r="T406" s="25" t="str">
        <f>IF(Raw_Data!R397="","Unknown",IF(ISNUMBER(SEARCH("ACT",UPPER(Raw_Data!R397))),"Active",IF(ISNUMBER(SEARCH("CLOS",UPPER(Raw_Data!R397))),"Closed","None")))</f>
        <v>None</v>
      </c>
      <c r="U406" s="26">
        <f>IF(Raw_Data!S397="",$C$8,VALUE(Raw_Data!S397))</f>
        <v>787</v>
      </c>
      <c r="V406" s="25" t="str">
        <f>IF(Raw_Data!S397="","Missing-Imputed","Original")</f>
        <v>Original</v>
      </c>
      <c r="W406" s="26">
        <f>Raw_Data!T397</f>
        <v>3</v>
      </c>
      <c r="X406" s="25" t="str">
        <f>IF(ISNUMBER(SEARCH("Y",UPPER(TRIM(Raw_Data!U397)))),"Yes","No")</f>
        <v>No</v>
      </c>
      <c r="Y406" s="25" t="str">
        <f>IF(ISNUMBER(SEARCH("Y",UPPER(TRIM(Raw_Data!V397)))),"Yes","No")</f>
        <v>No</v>
      </c>
      <c r="Z406" s="26">
        <f>Raw_Data!W397</f>
        <v>4</v>
      </c>
      <c r="AA406" s="26">
        <f>Raw_Data!X397</f>
        <v>1.8</v>
      </c>
      <c r="AB406" s="25" t="str">
        <f>IF(COUNTIFS(Raw_Data!$A$2:$A$616,Raw_Data!A397)&gt;1,"Duplicate","Unique")</f>
        <v>Unique</v>
      </c>
      <c r="AC406" s="25" t="str">
        <f t="shared" si="20"/>
        <v>Clean</v>
      </c>
    </row>
    <row r="407" spans="1:29" ht="15" customHeight="1">
      <c r="A407" s="23" t="str">
        <f>Raw_Data!A398</f>
        <v>BYJ1397</v>
      </c>
      <c r="B407" s="23" t="str">
        <f>Raw_Data!B398</f>
        <v>Leela Keer</v>
      </c>
      <c r="C407" s="24">
        <f>IF(OR(Raw_Data!C398="",Raw_Data!C398&lt;$C$5,Raw_Data!C398&gt;$C$6),$C$4,Raw_Data!C398)</f>
        <v>40</v>
      </c>
      <c r="D407" s="23" t="str">
        <f>IF(Raw_Data!C398="","Missing-Imputed",IF(OR(Raw_Data!C398&lt;$C$5,Raw_Data!C398&gt;$C$6),"Outlier-Imputed","Original"))</f>
        <v>Original</v>
      </c>
      <c r="E407" s="23" t="str">
        <f>IF(OR(UPPER(TRIM(Raw_Data!D398))="M",UPPER(TRIM(Raw_Data!D398))="MALE"),"Male","Female")</f>
        <v>Male</v>
      </c>
      <c r="F407" s="23" t="str">
        <f>PROPER(TRIM(Raw_Data!E398))</f>
        <v>Shimoga</v>
      </c>
      <c r="G407" s="23" t="str">
        <f>PROPER(TRIM(Raw_Data!F398))</f>
        <v>Tamil Nadu</v>
      </c>
      <c r="H407" s="23" t="str">
        <f>PROPER(TRIM(Raw_Data!G398))</f>
        <v>Mathematics</v>
      </c>
      <c r="I407" s="23" t="str">
        <f>PROPER(TRIM(Raw_Data!H398))</f>
        <v>Ahmedabad Center</v>
      </c>
      <c r="J407" s="24">
        <f>IF(LEN(TRIM(Raw_Data!I398))=4,VALUE(TRIM(Raw_Data!I398)),IF(ISNUMBER(IFERROR(VALUE(MID(TRIM(Raw_Data!I398),1,4)),"NA")),VALUE(MID(TRIM(Raw_Data!I398),1,4)),VALUE(RIGHT(TRIM(Raw_Data!I398),4))))</f>
        <v>2024</v>
      </c>
      <c r="K407" s="23" t="str">
        <f>PROPER(TRIM(Raw_Data!J398))</f>
        <v>Retired</v>
      </c>
      <c r="L407" s="23" t="str">
        <f t="shared" si="18"/>
        <v>20+</v>
      </c>
      <c r="M407" s="23" t="str">
        <f t="shared" si="19"/>
        <v>Adult Learners</v>
      </c>
      <c r="N407" s="23" t="str">
        <f>IF(ISNUMBER(SEARCH("NON",UPPER(Raw_Data!M398))),"Non-Premium Learner","Premium Learner")</f>
        <v>Non-Premium Learner</v>
      </c>
      <c r="O407" s="23" t="str">
        <f>PROPER(TRIM(Raw_Data!N398))</f>
        <v>Web Only</v>
      </c>
      <c r="P407" s="24">
        <f>IF(Raw_Data!O398="",$C$7,Raw_Data!O398)</f>
        <v>113874.34</v>
      </c>
      <c r="Q407" s="23" t="str">
        <f>IF(Raw_Data!O398="","Missing-Imputed","Original")</f>
        <v>Original</v>
      </c>
      <c r="R407" s="24">
        <f>Raw_Data!P398</f>
        <v>40.1</v>
      </c>
      <c r="S407" s="24">
        <f>Raw_Data!Q398</f>
        <v>9354.0300000000007</v>
      </c>
      <c r="T407" s="23" t="str">
        <f>IF(Raw_Data!R398="","Unknown",IF(ISNUMBER(SEARCH("ACT",UPPER(Raw_Data!R398))),"Active",IF(ISNUMBER(SEARCH("CLOS",UPPER(Raw_Data!R398))),"Closed","None")))</f>
        <v>None</v>
      </c>
      <c r="U407" s="24">
        <f>IF(Raw_Data!S398="",$C$8,VALUE(Raw_Data!S398))</f>
        <v>660</v>
      </c>
      <c r="V407" s="23" t="str">
        <f>IF(Raw_Data!S398="","Missing-Imputed","Original")</f>
        <v>Original</v>
      </c>
      <c r="W407" s="24">
        <f>Raw_Data!T398</f>
        <v>106</v>
      </c>
      <c r="X407" s="23" t="str">
        <f>IF(ISNUMBER(SEARCH("Y",UPPER(TRIM(Raw_Data!U398)))),"Yes","No")</f>
        <v>Yes</v>
      </c>
      <c r="Y407" s="23" t="str">
        <f>IF(ISNUMBER(SEARCH("Y",UPPER(TRIM(Raw_Data!V398)))),"Yes","No")</f>
        <v>No</v>
      </c>
      <c r="Z407" s="24">
        <f>Raw_Data!W398</f>
        <v>4</v>
      </c>
      <c r="AA407" s="24">
        <f>Raw_Data!X398</f>
        <v>8.3000000000000007</v>
      </c>
      <c r="AB407" s="23" t="str">
        <f>IF(COUNTIFS(Raw_Data!$A$2:$A$616,Raw_Data!A398)&gt;1,"Duplicate","Unique")</f>
        <v>Unique</v>
      </c>
      <c r="AC407" s="23" t="str">
        <f t="shared" si="20"/>
        <v>Clean</v>
      </c>
    </row>
    <row r="408" spans="1:29" ht="15" customHeight="1">
      <c r="A408" s="25" t="str">
        <f>Raw_Data!A399</f>
        <v>BYJ1398</v>
      </c>
      <c r="B408" s="25" t="str">
        <f>Raw_Data!B399</f>
        <v>Chasmum Apte</v>
      </c>
      <c r="C408" s="26">
        <f>IF(OR(Raw_Data!C399="",Raw_Data!C399&lt;$C$5,Raw_Data!C399&gt;$C$6),$C$4,Raw_Data!C399)</f>
        <v>13</v>
      </c>
      <c r="D408" s="25" t="str">
        <f>IF(Raw_Data!C399="","Missing-Imputed",IF(OR(Raw_Data!C399&lt;$C$5,Raw_Data!C399&gt;$C$6),"Outlier-Imputed","Original"))</f>
        <v>Original</v>
      </c>
      <c r="E408" s="25" t="str">
        <f>IF(OR(UPPER(TRIM(Raw_Data!D399))="M",UPPER(TRIM(Raw_Data!D399))="MALE"),"Male","Female")</f>
        <v>Male</v>
      </c>
      <c r="F408" s="25" t="str">
        <f>PROPER(TRIM(Raw_Data!E399))</f>
        <v>Karimnagar</v>
      </c>
      <c r="G408" s="25" t="str">
        <f>PROPER(TRIM(Raw_Data!F399))</f>
        <v>Karnataka</v>
      </c>
      <c r="H408" s="25" t="str">
        <f>PROPER(TRIM(Raw_Data!G399))</f>
        <v>Jee Prep</v>
      </c>
      <c r="I408" s="25" t="str">
        <f>PROPER(TRIM(Raw_Data!H399))</f>
        <v>Mumbai West</v>
      </c>
      <c r="J408" s="26">
        <f>IF(LEN(TRIM(Raw_Data!I399))=4,VALUE(TRIM(Raw_Data!I399)),IF(ISNUMBER(IFERROR(VALUE(MID(TRIM(Raw_Data!I399),1,4)),"NA")),VALUE(MID(TRIM(Raw_Data!I399),1,4)),VALUE(RIGHT(TRIM(Raw_Data!I399),4))))</f>
        <v>2018</v>
      </c>
      <c r="K408" s="25" t="str">
        <f>PROPER(TRIM(Raw_Data!J399))</f>
        <v>Homemaker</v>
      </c>
      <c r="L408" s="25" t="str">
        <f t="shared" si="18"/>
        <v>10-13</v>
      </c>
      <c r="M408" s="25" t="str">
        <f t="shared" si="19"/>
        <v>Kids</v>
      </c>
      <c r="N408" s="25" t="str">
        <f>IF(ISNUMBER(SEARCH("NON",UPPER(Raw_Data!M399))),"Non-Premium Learner","Premium Learner")</f>
        <v>Non-Premium Learner</v>
      </c>
      <c r="O408" s="25" t="str">
        <f>PROPER(TRIM(Raw_Data!N399))</f>
        <v>Both App &amp; Web</v>
      </c>
      <c r="P408" s="26">
        <f>IF(Raw_Data!O399="",$C$7,Raw_Data!O399)</f>
        <v>45437.56</v>
      </c>
      <c r="Q408" s="25" t="str">
        <f>IF(Raw_Data!O399="","Missing-Imputed","Original")</f>
        <v>Original</v>
      </c>
      <c r="R408" s="26">
        <f>Raw_Data!P399</f>
        <v>52.3</v>
      </c>
      <c r="S408" s="26">
        <f>Raw_Data!Q399</f>
        <v>39854.07</v>
      </c>
      <c r="T408" s="25" t="str">
        <f>IF(Raw_Data!R399="","Unknown",IF(ISNUMBER(SEARCH("ACT",UPPER(Raw_Data!R399))),"Active",IF(ISNUMBER(SEARCH("CLOS",UPPER(Raw_Data!R399))),"Closed","None")))</f>
        <v>None</v>
      </c>
      <c r="U408" s="26">
        <f>IF(Raw_Data!S399="",$C$8,VALUE(Raw_Data!S399))</f>
        <v>814</v>
      </c>
      <c r="V408" s="25" t="str">
        <f>IF(Raw_Data!S399="","Missing-Imputed","Original")</f>
        <v>Original</v>
      </c>
      <c r="W408" s="26">
        <f>Raw_Data!T399</f>
        <v>100</v>
      </c>
      <c r="X408" s="25" t="str">
        <f>IF(ISNUMBER(SEARCH("Y",UPPER(TRIM(Raw_Data!U399)))),"Yes","No")</f>
        <v>Yes</v>
      </c>
      <c r="Y408" s="25" t="str">
        <f>IF(ISNUMBER(SEARCH("Y",UPPER(TRIM(Raw_Data!V399)))),"Yes","No")</f>
        <v>No</v>
      </c>
      <c r="Z408" s="26">
        <f>Raw_Data!W399</f>
        <v>3</v>
      </c>
      <c r="AA408" s="26">
        <f>Raw_Data!X399</f>
        <v>7.5</v>
      </c>
      <c r="AB408" s="25" t="str">
        <f>IF(COUNTIFS(Raw_Data!$A$2:$A$616,Raw_Data!A399)&gt;1,"Duplicate","Unique")</f>
        <v>Unique</v>
      </c>
      <c r="AC408" s="25" t="str">
        <f t="shared" si="20"/>
        <v>Clean</v>
      </c>
    </row>
    <row r="409" spans="1:29" ht="15" customHeight="1">
      <c r="A409" s="23" t="str">
        <f>Raw_Data!A400</f>
        <v>BYJ1399</v>
      </c>
      <c r="B409" s="23" t="str">
        <f>Raw_Data!B400</f>
        <v>David Dani</v>
      </c>
      <c r="C409" s="24">
        <f>IF(OR(Raw_Data!C400="",Raw_Data!C400&lt;$C$5,Raw_Data!C400&gt;$C$6),$C$4,Raw_Data!C400)</f>
        <v>17</v>
      </c>
      <c r="D409" s="23" t="str">
        <f>IF(Raw_Data!C400="","Missing-Imputed",IF(OR(Raw_Data!C400&lt;$C$5,Raw_Data!C400&gt;$C$6),"Outlier-Imputed","Original"))</f>
        <v>Original</v>
      </c>
      <c r="E409" s="23" t="str">
        <f>IF(OR(UPPER(TRIM(Raw_Data!D400))="M",UPPER(TRIM(Raw_Data!D400))="MALE"),"Male","Female")</f>
        <v>Female</v>
      </c>
      <c r="F409" s="23" t="str">
        <f>PROPER(TRIM(Raw_Data!E400))</f>
        <v>Aizawl</v>
      </c>
      <c r="G409" s="23" t="str">
        <f>PROPER(TRIM(Raw_Data!F400))</f>
        <v>Gujarat</v>
      </c>
      <c r="H409" s="23" t="str">
        <f>PROPER(TRIM(Raw_Data!G400))</f>
        <v>Spoken English</v>
      </c>
      <c r="I409" s="23" t="str">
        <f>PROPER(TRIM(Raw_Data!H400))</f>
        <v>Mumbai West</v>
      </c>
      <c r="J409" s="24">
        <f>IF(LEN(TRIM(Raw_Data!I400))=4,VALUE(TRIM(Raw_Data!I400)),IF(ISNUMBER(IFERROR(VALUE(MID(TRIM(Raw_Data!I400),1,4)),"NA")),VALUE(MID(TRIM(Raw_Data!I400),1,4)),VALUE(RIGHT(TRIM(Raw_Data!I400),4))))</f>
        <v>2017</v>
      </c>
      <c r="K409" s="23" t="str">
        <f>PROPER(TRIM(Raw_Data!J400))</f>
        <v>Self-Employed</v>
      </c>
      <c r="L409" s="23" t="str">
        <f t="shared" si="18"/>
        <v>17-19</v>
      </c>
      <c r="M409" s="23" t="str">
        <f t="shared" si="19"/>
        <v>Teens</v>
      </c>
      <c r="N409" s="23" t="str">
        <f>IF(ISNUMBER(SEARCH("NON",UPPER(Raw_Data!M400))),"Non-Premium Learner","Premium Learner")</f>
        <v>Non-Premium Learner</v>
      </c>
      <c r="O409" s="23" t="str">
        <f>PROPER(TRIM(Raw_Data!N400))</f>
        <v>Both App &amp; Web</v>
      </c>
      <c r="P409" s="24">
        <f>IF(Raw_Data!O400="",$C$7,Raw_Data!O400)</f>
        <v>37507.93</v>
      </c>
      <c r="Q409" s="23" t="str">
        <f>IF(Raw_Data!O400="","Missing-Imputed","Original")</f>
        <v>Original</v>
      </c>
      <c r="R409" s="24">
        <f>Raw_Data!P400</f>
        <v>42.8</v>
      </c>
      <c r="S409" s="24">
        <f>Raw_Data!Q400</f>
        <v>4830.3500000000004</v>
      </c>
      <c r="T409" s="23" t="str">
        <f>IF(Raw_Data!R400="","Unknown",IF(ISNUMBER(SEARCH("ACT",UPPER(Raw_Data!R400))),"Active",IF(ISNUMBER(SEARCH("CLOS",UPPER(Raw_Data!R400))),"Closed","None")))</f>
        <v>None</v>
      </c>
      <c r="U409" s="24">
        <f>IF(Raw_Data!S400="",$C$8,VALUE(Raw_Data!S400))</f>
        <v>323</v>
      </c>
      <c r="V409" s="23" t="str">
        <f>IF(Raw_Data!S400="","Missing-Imputed","Original")</f>
        <v>Original</v>
      </c>
      <c r="W409" s="24">
        <f>Raw_Data!T400</f>
        <v>63</v>
      </c>
      <c r="X409" s="23" t="str">
        <f>IF(ISNUMBER(SEARCH("Y",UPPER(TRIM(Raw_Data!U400)))),"Yes","No")</f>
        <v>Yes</v>
      </c>
      <c r="Y409" s="23" t="str">
        <f>IF(ISNUMBER(SEARCH("Y",UPPER(TRIM(Raw_Data!V400)))),"Yes","No")</f>
        <v>Yes</v>
      </c>
      <c r="Z409" s="24">
        <f>Raw_Data!W400</f>
        <v>1</v>
      </c>
      <c r="AA409" s="24">
        <f>Raw_Data!X400</f>
        <v>6.8</v>
      </c>
      <c r="AB409" s="23" t="str">
        <f>IF(COUNTIFS(Raw_Data!$A$2:$A$616,Raw_Data!A400)&gt;1,"Duplicate","Unique")</f>
        <v>Unique</v>
      </c>
      <c r="AC409" s="23" t="str">
        <f t="shared" si="20"/>
        <v>Clean</v>
      </c>
    </row>
    <row r="410" spans="1:29" ht="15" customHeight="1">
      <c r="A410" s="25" t="str">
        <f>Raw_Data!A401</f>
        <v>BYJ1400</v>
      </c>
      <c r="B410" s="25" t="str">
        <f>Raw_Data!B401</f>
        <v>Nidra Thakkar</v>
      </c>
      <c r="C410" s="26">
        <f>IF(OR(Raw_Data!C401="",Raw_Data!C401&lt;$C$5,Raw_Data!C401&gt;$C$6),$C$4,Raw_Data!C401)</f>
        <v>41</v>
      </c>
      <c r="D410" s="25" t="str">
        <f>IF(Raw_Data!C401="","Missing-Imputed",IF(OR(Raw_Data!C401&lt;$C$5,Raw_Data!C401&gt;$C$6),"Outlier-Imputed","Original"))</f>
        <v>Original</v>
      </c>
      <c r="E410" s="25" t="str">
        <f>IF(OR(UPPER(TRIM(Raw_Data!D401))="M",UPPER(TRIM(Raw_Data!D401))="MALE"),"Male","Female")</f>
        <v>Male</v>
      </c>
      <c r="F410" s="25" t="str">
        <f>PROPER(TRIM(Raw_Data!E401))</f>
        <v>Kochi</v>
      </c>
      <c r="G410" s="25" t="str">
        <f>PROPER(TRIM(Raw_Data!F401))</f>
        <v>Delhi</v>
      </c>
      <c r="H410" s="25" t="str">
        <f>PROPER(TRIM(Raw_Data!G401))</f>
        <v>Science</v>
      </c>
      <c r="I410" s="25" t="str">
        <f>PROPER(TRIM(Raw_Data!H401))</f>
        <v>Ahmedabad Center</v>
      </c>
      <c r="J410" s="26">
        <f>IF(LEN(TRIM(Raw_Data!I401))=4,VALUE(TRIM(Raw_Data!I401)),IF(ISNUMBER(IFERROR(VALUE(MID(TRIM(Raw_Data!I401),1,4)),"NA")),VALUE(MID(TRIM(Raw_Data!I401),1,4)),VALUE(RIGHT(TRIM(Raw_Data!I401),4))))</f>
        <v>2019</v>
      </c>
      <c r="K410" s="25" t="str">
        <f>PROPER(TRIM(Raw_Data!J401))</f>
        <v>Salaried</v>
      </c>
      <c r="L410" s="25" t="str">
        <f t="shared" si="18"/>
        <v>20+</v>
      </c>
      <c r="M410" s="25" t="str">
        <f t="shared" si="19"/>
        <v>Adult Learners</v>
      </c>
      <c r="N410" s="25" t="str">
        <f>IF(ISNUMBER(SEARCH("NON",UPPER(Raw_Data!M401))),"Non-Premium Learner","Premium Learner")</f>
        <v>Non-Premium Learner</v>
      </c>
      <c r="O410" s="25" t="str">
        <f>PROPER(TRIM(Raw_Data!N401))</f>
        <v>Web Only</v>
      </c>
      <c r="P410" s="26">
        <f>IF(Raw_Data!O401="",$C$7,Raw_Data!O401)</f>
        <v>71582.97</v>
      </c>
      <c r="Q410" s="25" t="str">
        <f>IF(Raw_Data!O401="","Missing-Imputed","Original")</f>
        <v>Original</v>
      </c>
      <c r="R410" s="26">
        <f>Raw_Data!P401</f>
        <v>38.299999999999997</v>
      </c>
      <c r="S410" s="26">
        <f>Raw_Data!Q401</f>
        <v>14513.02</v>
      </c>
      <c r="T410" s="25" t="str">
        <f>IF(Raw_Data!R401="","Unknown",IF(ISNUMBER(SEARCH("ACT",UPPER(Raw_Data!R401))),"Active",IF(ISNUMBER(SEARCH("CLOS",UPPER(Raw_Data!R401))),"Closed","None")))</f>
        <v>Active</v>
      </c>
      <c r="U410" s="26">
        <f>IF(Raw_Data!S401="",$C$8,VALUE(Raw_Data!S401))</f>
        <v>812</v>
      </c>
      <c r="V410" s="25" t="str">
        <f>IF(Raw_Data!S401="","Missing-Imputed","Original")</f>
        <v>Original</v>
      </c>
      <c r="W410" s="26">
        <f>Raw_Data!T401</f>
        <v>154</v>
      </c>
      <c r="X410" s="25" t="str">
        <f>IF(ISNUMBER(SEARCH("Y",UPPER(TRIM(Raw_Data!U401)))),"Yes","No")</f>
        <v>No</v>
      </c>
      <c r="Y410" s="25" t="str">
        <f>IF(ISNUMBER(SEARCH("Y",UPPER(TRIM(Raw_Data!V401)))),"Yes","No")</f>
        <v>Yes</v>
      </c>
      <c r="Z410" s="26">
        <f>Raw_Data!W401</f>
        <v>1</v>
      </c>
      <c r="AA410" s="26">
        <f>Raw_Data!X401</f>
        <v>0.6</v>
      </c>
      <c r="AB410" s="25" t="str">
        <f>IF(COUNTIFS(Raw_Data!$A$2:$A$616,Raw_Data!A401)&gt;1,"Duplicate","Unique")</f>
        <v>Unique</v>
      </c>
      <c r="AC410" s="25" t="str">
        <f t="shared" si="20"/>
        <v>Clean</v>
      </c>
    </row>
    <row r="411" spans="1:29" ht="15" customHeight="1">
      <c r="A411" s="23" t="str">
        <f>Raw_Data!A402</f>
        <v>BYJ1401</v>
      </c>
      <c r="B411" s="23" t="str">
        <f>Raw_Data!B402</f>
        <v xml:space="preserve">  Jhalak Kant  </v>
      </c>
      <c r="C411" s="24">
        <f>IF(OR(Raw_Data!C402="",Raw_Data!C402&lt;$C$5,Raw_Data!C402&gt;$C$6),$C$4,Raw_Data!C402)</f>
        <v>39</v>
      </c>
      <c r="D411" s="23" t="str">
        <f>IF(Raw_Data!C402="","Missing-Imputed",IF(OR(Raw_Data!C402&lt;$C$5,Raw_Data!C402&gt;$C$6),"Outlier-Imputed","Original"))</f>
        <v>Original</v>
      </c>
      <c r="E411" s="23" t="str">
        <f>IF(OR(UPPER(TRIM(Raw_Data!D402))="M",UPPER(TRIM(Raw_Data!D402))="MALE"),"Male","Female")</f>
        <v>Female</v>
      </c>
      <c r="F411" s="23" t="str">
        <f>PROPER(TRIM(Raw_Data!E402))</f>
        <v>Guntur</v>
      </c>
      <c r="G411" s="23" t="str">
        <f>PROPER(TRIM(Raw_Data!F402))</f>
        <v>West Bengal</v>
      </c>
      <c r="H411" s="23" t="str">
        <f>PROPER(TRIM(Raw_Data!G402))</f>
        <v>Jee Prep</v>
      </c>
      <c r="I411" s="23" t="str">
        <f>PROPER(TRIM(Raw_Data!H402))</f>
        <v>Jaipur Center</v>
      </c>
      <c r="J411" s="24">
        <f>IF(LEN(TRIM(Raw_Data!I402))=4,VALUE(TRIM(Raw_Data!I402)),IF(ISNUMBER(IFERROR(VALUE(MID(TRIM(Raw_Data!I402),1,4)),"NA")),VALUE(MID(TRIM(Raw_Data!I402),1,4)),VALUE(RIGHT(TRIM(Raw_Data!I402),4))))</f>
        <v>2017</v>
      </c>
      <c r="K411" s="23" t="str">
        <f>PROPER(TRIM(Raw_Data!J402))</f>
        <v>Self-Employed</v>
      </c>
      <c r="L411" s="23" t="str">
        <f t="shared" si="18"/>
        <v>20+</v>
      </c>
      <c r="M411" s="23" t="str">
        <f t="shared" si="19"/>
        <v>Adult Learners</v>
      </c>
      <c r="N411" s="23" t="str">
        <f>IF(ISNUMBER(SEARCH("NON",UPPER(Raw_Data!M402))),"Non-Premium Learner","Premium Learner")</f>
        <v>Non-Premium Learner</v>
      </c>
      <c r="O411" s="23" t="str">
        <f>PROPER(TRIM(Raw_Data!N402))</f>
        <v>Web Only</v>
      </c>
      <c r="P411" s="24">
        <f>IF(Raw_Data!O402="",$C$7,Raw_Data!O402)</f>
        <v>122691.05</v>
      </c>
      <c r="Q411" s="23" t="str">
        <f>IF(Raw_Data!O402="","Missing-Imputed","Original")</f>
        <v>Original</v>
      </c>
      <c r="R411" s="24">
        <f>Raw_Data!P402</f>
        <v>59.4</v>
      </c>
      <c r="S411" s="24">
        <f>Raw_Data!Q402</f>
        <v>2394.39</v>
      </c>
      <c r="T411" s="23" t="str">
        <f>IF(Raw_Data!R402="","Unknown",IF(ISNUMBER(SEARCH("ACT",UPPER(Raw_Data!R402))),"Active",IF(ISNUMBER(SEARCH("CLOS",UPPER(Raw_Data!R402))),"Closed","None")))</f>
        <v>Closed</v>
      </c>
      <c r="U411" s="24">
        <f>IF(Raw_Data!S402="",$C$8,VALUE(Raw_Data!S402))</f>
        <v>823</v>
      </c>
      <c r="V411" s="23" t="str">
        <f>IF(Raw_Data!S402="","Missing-Imputed","Original")</f>
        <v>Original</v>
      </c>
      <c r="W411" s="24">
        <f>Raw_Data!T402</f>
        <v>112</v>
      </c>
      <c r="X411" s="23" t="str">
        <f>IF(ISNUMBER(SEARCH("Y",UPPER(TRIM(Raw_Data!U402)))),"Yes","No")</f>
        <v>No</v>
      </c>
      <c r="Y411" s="23" t="str">
        <f>IF(ISNUMBER(SEARCH("Y",UPPER(TRIM(Raw_Data!V402)))),"Yes","No")</f>
        <v>Yes</v>
      </c>
      <c r="Z411" s="24">
        <f>Raw_Data!W402</f>
        <v>3</v>
      </c>
      <c r="AA411" s="24">
        <f>Raw_Data!X402</f>
        <v>6.9</v>
      </c>
      <c r="AB411" s="23" t="str">
        <f>IF(COUNTIFS(Raw_Data!$A$2:$A$616,Raw_Data!A402)&gt;1,"Duplicate","Unique")</f>
        <v>Unique</v>
      </c>
      <c r="AC411" s="23" t="str">
        <f t="shared" si="20"/>
        <v>Clean</v>
      </c>
    </row>
    <row r="412" spans="1:29" ht="15" customHeight="1">
      <c r="A412" s="25" t="str">
        <f>Raw_Data!A403</f>
        <v>BYJ1402</v>
      </c>
      <c r="B412" s="25" t="str">
        <f>Raw_Data!B403</f>
        <v>Michael Sha</v>
      </c>
      <c r="C412" s="26">
        <f>IF(OR(Raw_Data!C403="",Raw_Data!C403&lt;$C$5,Raw_Data!C403&gt;$C$6),$C$4,Raw_Data!C403)</f>
        <v>16</v>
      </c>
      <c r="D412" s="25" t="str">
        <f>IF(Raw_Data!C403="","Missing-Imputed",IF(OR(Raw_Data!C403&lt;$C$5,Raw_Data!C403&gt;$C$6),"Outlier-Imputed","Original"))</f>
        <v>Original</v>
      </c>
      <c r="E412" s="25" t="str">
        <f>IF(OR(UPPER(TRIM(Raw_Data!D403))="M",UPPER(TRIM(Raw_Data!D403))="MALE"),"Male","Female")</f>
        <v>Female</v>
      </c>
      <c r="F412" s="25" t="str">
        <f>PROPER(TRIM(Raw_Data!E403))</f>
        <v>Vijayanagaram</v>
      </c>
      <c r="G412" s="25" t="str">
        <f>PROPER(TRIM(Raw_Data!F403))</f>
        <v>Maharashtra</v>
      </c>
      <c r="H412" s="25" t="str">
        <f>PROPER(TRIM(Raw_Data!G403))</f>
        <v>English</v>
      </c>
      <c r="I412" s="25" t="str">
        <f>PROPER(TRIM(Raw_Data!H403))</f>
        <v>Ahmedabad Center</v>
      </c>
      <c r="J412" s="26">
        <f>IF(LEN(TRIM(Raw_Data!I403))=4,VALUE(TRIM(Raw_Data!I403)),IF(ISNUMBER(IFERROR(VALUE(MID(TRIM(Raw_Data!I403),1,4)),"NA")),VALUE(MID(TRIM(Raw_Data!I403),1,4)),VALUE(RIGHT(TRIM(Raw_Data!I403),4))))</f>
        <v>2019</v>
      </c>
      <c r="K412" s="25" t="str">
        <f>PROPER(TRIM(Raw_Data!J403))</f>
        <v>Retired</v>
      </c>
      <c r="L412" s="25" t="str">
        <f t="shared" si="18"/>
        <v>14-16</v>
      </c>
      <c r="M412" s="25" t="str">
        <f t="shared" si="19"/>
        <v>Teens</v>
      </c>
      <c r="N412" s="25" t="str">
        <f>IF(ISNUMBER(SEARCH("NON",UPPER(Raw_Data!M403))),"Non-Premium Learner","Premium Learner")</f>
        <v>Non-Premium Learner</v>
      </c>
      <c r="O412" s="25" t="str">
        <f>PROPER(TRIM(Raw_Data!N403))</f>
        <v>Both App &amp; Web</v>
      </c>
      <c r="P412" s="26">
        <f>IF(Raw_Data!O403="",$C$7,Raw_Data!O403)</f>
        <v>76278.649999999994</v>
      </c>
      <c r="Q412" s="25" t="str">
        <f>IF(Raw_Data!O403="","Missing-Imputed","Original")</f>
        <v>Original</v>
      </c>
      <c r="R412" s="26">
        <f>Raw_Data!P403</f>
        <v>24.5</v>
      </c>
      <c r="S412" s="26">
        <f>Raw_Data!Q403</f>
        <v>17717.52</v>
      </c>
      <c r="T412" s="25" t="str">
        <f>IF(Raw_Data!R403="","Unknown",IF(ISNUMBER(SEARCH("ACT",UPPER(Raw_Data!R403))),"Active",IF(ISNUMBER(SEARCH("CLOS",UPPER(Raw_Data!R403))),"Closed","None")))</f>
        <v>Closed</v>
      </c>
      <c r="U412" s="26">
        <f>IF(Raw_Data!S403="",$C$8,VALUE(Raw_Data!S403))</f>
        <v>761</v>
      </c>
      <c r="V412" s="25" t="str">
        <f>IF(Raw_Data!S403="","Missing-Imputed","Original")</f>
        <v>Original</v>
      </c>
      <c r="W412" s="26">
        <f>Raw_Data!T403</f>
        <v>145</v>
      </c>
      <c r="X412" s="25" t="str">
        <f>IF(ISNUMBER(SEARCH("Y",UPPER(TRIM(Raw_Data!U403)))),"Yes","No")</f>
        <v>No</v>
      </c>
      <c r="Y412" s="25" t="str">
        <f>IF(ISNUMBER(SEARCH("Y",UPPER(TRIM(Raw_Data!V403)))),"Yes","No")</f>
        <v>Yes</v>
      </c>
      <c r="Z412" s="26">
        <f>Raw_Data!W403</f>
        <v>5</v>
      </c>
      <c r="AA412" s="26">
        <f>Raw_Data!X403</f>
        <v>3</v>
      </c>
      <c r="AB412" s="25" t="str">
        <f>IF(COUNTIFS(Raw_Data!$A$2:$A$616,Raw_Data!A403)&gt;1,"Duplicate","Unique")</f>
        <v>Unique</v>
      </c>
      <c r="AC412" s="25" t="str">
        <f t="shared" si="20"/>
        <v>Clean</v>
      </c>
    </row>
    <row r="413" spans="1:29" ht="15" customHeight="1">
      <c r="A413" s="23" t="str">
        <f>Raw_Data!A404</f>
        <v>BYJ1403</v>
      </c>
      <c r="B413" s="23" t="str">
        <f>Raw_Data!B404</f>
        <v>Tejas Kota</v>
      </c>
      <c r="C413" s="24">
        <f>IF(OR(Raw_Data!C404="",Raw_Data!C404&lt;$C$5,Raw_Data!C404&gt;$C$6),$C$4,Raw_Data!C404)</f>
        <v>29</v>
      </c>
      <c r="D413" s="23" t="str">
        <f>IF(Raw_Data!C404="","Missing-Imputed",IF(OR(Raw_Data!C404&lt;$C$5,Raw_Data!C404&gt;$C$6),"Outlier-Imputed","Original"))</f>
        <v>Original</v>
      </c>
      <c r="E413" s="23" t="str">
        <f>IF(OR(UPPER(TRIM(Raw_Data!D404))="M",UPPER(TRIM(Raw_Data!D404))="MALE"),"Male","Female")</f>
        <v>Female</v>
      </c>
      <c r="F413" s="23" t="str">
        <f>PROPER(TRIM(Raw_Data!E404))</f>
        <v>Hajipur</v>
      </c>
      <c r="G413" s="23" t="str">
        <f>PROPER(TRIM(Raw_Data!F404))</f>
        <v>Maharashtra</v>
      </c>
      <c r="H413" s="23" t="str">
        <f>PROPER(TRIM(Raw_Data!G404))</f>
        <v>Jee Prep</v>
      </c>
      <c r="I413" s="23" t="str">
        <f>PROPER(TRIM(Raw_Data!H404))</f>
        <v>Ahmedabad Center</v>
      </c>
      <c r="J413" s="24">
        <f>IF(LEN(TRIM(Raw_Data!I404))=4,VALUE(TRIM(Raw_Data!I404)),IF(ISNUMBER(IFERROR(VALUE(MID(TRIM(Raw_Data!I404),1,4)),"NA")),VALUE(MID(TRIM(Raw_Data!I404),1,4)),VALUE(RIGHT(TRIM(Raw_Data!I404),4))))</f>
        <v>2023</v>
      </c>
      <c r="K413" s="23" t="str">
        <f>PROPER(TRIM(Raw_Data!J404))</f>
        <v>Retired</v>
      </c>
      <c r="L413" s="23" t="str">
        <f t="shared" si="18"/>
        <v>20+</v>
      </c>
      <c r="M413" s="23" t="str">
        <f t="shared" si="19"/>
        <v>Adult Learners</v>
      </c>
      <c r="N413" s="23" t="str">
        <f>IF(ISNUMBER(SEARCH("NON",UPPER(Raw_Data!M404))),"Non-Premium Learner","Premium Learner")</f>
        <v>Non-Premium Learner</v>
      </c>
      <c r="O413" s="23" t="str">
        <f>PROPER(TRIM(Raw_Data!N404))</f>
        <v>Both App &amp; Web</v>
      </c>
      <c r="P413" s="24">
        <f>IF(Raw_Data!O404="",$C$7,Raw_Data!O404)</f>
        <v>47388.27</v>
      </c>
      <c r="Q413" s="23" t="str">
        <f>IF(Raw_Data!O404="","Missing-Imputed","Original")</f>
        <v>Original</v>
      </c>
      <c r="R413" s="24">
        <f>Raw_Data!P404</f>
        <v>52.8</v>
      </c>
      <c r="S413" s="24">
        <f>Raw_Data!Q404</f>
        <v>1680.28</v>
      </c>
      <c r="T413" s="23" t="str">
        <f>IF(Raw_Data!R404="","Unknown",IF(ISNUMBER(SEARCH("ACT",UPPER(Raw_Data!R404))),"Active",IF(ISNUMBER(SEARCH("CLOS",UPPER(Raw_Data!R404))),"Closed","None")))</f>
        <v>Active</v>
      </c>
      <c r="U413" s="24">
        <f>IF(Raw_Data!S404="",$C$8,VALUE(Raw_Data!S404))</f>
        <v>451</v>
      </c>
      <c r="V413" s="23" t="str">
        <f>IF(Raw_Data!S404="","Missing-Imputed","Original")</f>
        <v>Original</v>
      </c>
      <c r="W413" s="24">
        <f>Raw_Data!T404</f>
        <v>66</v>
      </c>
      <c r="X413" s="23" t="str">
        <f>IF(ISNUMBER(SEARCH("Y",UPPER(TRIM(Raw_Data!U404)))),"Yes","No")</f>
        <v>No</v>
      </c>
      <c r="Y413" s="23" t="str">
        <f>IF(ISNUMBER(SEARCH("Y",UPPER(TRIM(Raw_Data!V404)))),"Yes","No")</f>
        <v>No</v>
      </c>
      <c r="Z413" s="24">
        <f>Raw_Data!W404</f>
        <v>3</v>
      </c>
      <c r="AA413" s="24">
        <f>Raw_Data!X404</f>
        <v>6</v>
      </c>
      <c r="AB413" s="23" t="str">
        <f>IF(COUNTIFS(Raw_Data!$A$2:$A$616,Raw_Data!A404)&gt;1,"Duplicate","Unique")</f>
        <v>Unique</v>
      </c>
      <c r="AC413" s="23" t="str">
        <f t="shared" si="20"/>
        <v>Clean</v>
      </c>
    </row>
    <row r="414" spans="1:29" ht="15" customHeight="1">
      <c r="A414" s="25" t="str">
        <f>Raw_Data!A405</f>
        <v>BYJ1404</v>
      </c>
      <c r="B414" s="25" t="str">
        <f>Raw_Data!B405</f>
        <v>Janaki Brahmbhatt</v>
      </c>
      <c r="C414" s="26">
        <f>IF(OR(Raw_Data!C405="",Raw_Data!C405&lt;$C$5,Raw_Data!C405&gt;$C$6),$C$4,Raw_Data!C405)</f>
        <v>39</v>
      </c>
      <c r="D414" s="25" t="str">
        <f>IF(Raw_Data!C405="","Missing-Imputed",IF(OR(Raw_Data!C405&lt;$C$5,Raw_Data!C405&gt;$C$6),"Outlier-Imputed","Original"))</f>
        <v>Original</v>
      </c>
      <c r="E414" s="25" t="str">
        <f>IF(OR(UPPER(TRIM(Raw_Data!D405))="M",UPPER(TRIM(Raw_Data!D405))="MALE"),"Male","Female")</f>
        <v>Female</v>
      </c>
      <c r="F414" s="25" t="str">
        <f>PROPER(TRIM(Raw_Data!E405))</f>
        <v>Ghaziabad</v>
      </c>
      <c r="G414" s="25" t="str">
        <f>PROPER(TRIM(Raw_Data!F405))</f>
        <v>Rajasthan</v>
      </c>
      <c r="H414" s="25" t="str">
        <f>PROPER(TRIM(Raw_Data!G405))</f>
        <v>Science</v>
      </c>
      <c r="I414" s="25" t="str">
        <f>PROPER(TRIM(Raw_Data!H405))</f>
        <v>Jaipur Center</v>
      </c>
      <c r="J414" s="26">
        <f>IF(LEN(TRIM(Raw_Data!I405))=4,VALUE(TRIM(Raw_Data!I405)),IF(ISNUMBER(IFERROR(VALUE(MID(TRIM(Raw_Data!I405),1,4)),"NA")),VALUE(MID(TRIM(Raw_Data!I405),1,4)),VALUE(RIGHT(TRIM(Raw_Data!I405),4))))</f>
        <v>2023</v>
      </c>
      <c r="K414" s="25" t="str">
        <f>PROPER(TRIM(Raw_Data!J405))</f>
        <v>Salaried</v>
      </c>
      <c r="L414" s="25" t="str">
        <f t="shared" si="18"/>
        <v>20+</v>
      </c>
      <c r="M414" s="25" t="str">
        <f t="shared" si="19"/>
        <v>Adult Learners</v>
      </c>
      <c r="N414" s="25" t="str">
        <f>IF(ISNUMBER(SEARCH("NON",UPPER(Raw_Data!M405))),"Non-Premium Learner","Premium Learner")</f>
        <v>Non-Premium Learner</v>
      </c>
      <c r="O414" s="25" t="str">
        <f>PROPER(TRIM(Raw_Data!N405))</f>
        <v>App Only</v>
      </c>
      <c r="P414" s="26">
        <f>IF(Raw_Data!O405="",$C$7,Raw_Data!O405)</f>
        <v>49849.7</v>
      </c>
      <c r="Q414" s="25" t="str">
        <f>IF(Raw_Data!O405="","Missing-Imputed","Original")</f>
        <v>Original</v>
      </c>
      <c r="R414" s="26">
        <f>Raw_Data!P405</f>
        <v>25.9</v>
      </c>
      <c r="S414" s="26">
        <f>Raw_Data!Q405</f>
        <v>46680.86</v>
      </c>
      <c r="T414" s="25" t="str">
        <f>IF(Raw_Data!R405="","Unknown",IF(ISNUMBER(SEARCH("ACT",UPPER(Raw_Data!R405))),"Active",IF(ISNUMBER(SEARCH("CLOS",UPPER(Raw_Data!R405))),"Closed","None")))</f>
        <v>Active</v>
      </c>
      <c r="U414" s="26">
        <f>IF(Raw_Data!S405="",$C$8,VALUE(Raw_Data!S405))</f>
        <v>665</v>
      </c>
      <c r="V414" s="25" t="str">
        <f>IF(Raw_Data!S405="","Missing-Imputed","Original")</f>
        <v>Original</v>
      </c>
      <c r="W414" s="26">
        <f>Raw_Data!T405</f>
        <v>145</v>
      </c>
      <c r="X414" s="25" t="str">
        <f>IF(ISNUMBER(SEARCH("Y",UPPER(TRIM(Raw_Data!U405)))),"Yes","No")</f>
        <v>Yes</v>
      </c>
      <c r="Y414" s="25" t="str">
        <f>IF(ISNUMBER(SEARCH("Y",UPPER(TRIM(Raw_Data!V405)))),"Yes","No")</f>
        <v>Yes</v>
      </c>
      <c r="Z414" s="26">
        <f>Raw_Data!W405</f>
        <v>1</v>
      </c>
      <c r="AA414" s="26">
        <f>Raw_Data!X405</f>
        <v>3.9</v>
      </c>
      <c r="AB414" s="25" t="str">
        <f>IF(COUNTIFS(Raw_Data!$A$2:$A$616,Raw_Data!A405)&gt;1,"Duplicate","Unique")</f>
        <v>Unique</v>
      </c>
      <c r="AC414" s="25" t="str">
        <f t="shared" si="20"/>
        <v>Clean</v>
      </c>
    </row>
    <row r="415" spans="1:29" ht="15" customHeight="1">
      <c r="A415" s="23" t="str">
        <f>Raw_Data!A406</f>
        <v>BYJ1405</v>
      </c>
      <c r="B415" s="23" t="str">
        <f>Raw_Data!B406</f>
        <v>Mason Gala</v>
      </c>
      <c r="C415" s="24">
        <f>IF(OR(Raw_Data!C406="",Raw_Data!C406&lt;$C$5,Raw_Data!C406&gt;$C$6),$C$4,Raw_Data!C406)</f>
        <v>10</v>
      </c>
      <c r="D415" s="23" t="str">
        <f>IF(Raw_Data!C406="","Missing-Imputed",IF(OR(Raw_Data!C406&lt;$C$5,Raw_Data!C406&gt;$C$6),"Outlier-Imputed","Original"))</f>
        <v>Original</v>
      </c>
      <c r="E415" s="23" t="str">
        <f>IF(OR(UPPER(TRIM(Raw_Data!D406))="M",UPPER(TRIM(Raw_Data!D406))="MALE"),"Male","Female")</f>
        <v>Female</v>
      </c>
      <c r="F415" s="23" t="str">
        <f>PROPER(TRIM(Raw_Data!E406))</f>
        <v>Saharsa</v>
      </c>
      <c r="G415" s="23" t="str">
        <f>PROPER(TRIM(Raw_Data!F406))</f>
        <v>Uttar Pradesh</v>
      </c>
      <c r="H415" s="23" t="str">
        <f>PROPER(TRIM(Raw_Data!G406))</f>
        <v>Mathematics</v>
      </c>
      <c r="I415" s="23" t="str">
        <f>PROPER(TRIM(Raw_Data!H406))</f>
        <v>Chennai Central</v>
      </c>
      <c r="J415" s="24">
        <f>IF(LEN(TRIM(Raw_Data!I406))=4,VALUE(TRIM(Raw_Data!I406)),IF(ISNUMBER(IFERROR(VALUE(MID(TRIM(Raw_Data!I406),1,4)),"NA")),VALUE(MID(TRIM(Raw_Data!I406),1,4)),VALUE(RIGHT(TRIM(Raw_Data!I406),4))))</f>
        <v>2023</v>
      </c>
      <c r="K415" s="23" t="str">
        <f>PROPER(TRIM(Raw_Data!J406))</f>
        <v>Business</v>
      </c>
      <c r="L415" s="23" t="str">
        <f t="shared" si="18"/>
        <v>10-13</v>
      </c>
      <c r="M415" s="23" t="str">
        <f t="shared" si="19"/>
        <v>Kids</v>
      </c>
      <c r="N415" s="23" t="str">
        <f>IF(ISNUMBER(SEARCH("NON",UPPER(Raw_Data!M406))),"Non-Premium Learner","Premium Learner")</f>
        <v>Premium Learner</v>
      </c>
      <c r="O415" s="23" t="str">
        <f>PROPER(TRIM(Raw_Data!N406))</f>
        <v>Both App &amp; Web</v>
      </c>
      <c r="P415" s="24">
        <f>IF(Raw_Data!O406="",$C$7,Raw_Data!O406)</f>
        <v>140768.35</v>
      </c>
      <c r="Q415" s="23" t="str">
        <f>IF(Raw_Data!O406="","Missing-Imputed","Original")</f>
        <v>Original</v>
      </c>
      <c r="R415" s="24">
        <f>Raw_Data!P406</f>
        <v>22.1</v>
      </c>
      <c r="S415" s="24">
        <f>Raw_Data!Q406</f>
        <v>43042.82</v>
      </c>
      <c r="T415" s="23" t="str">
        <f>IF(Raw_Data!R406="","Unknown",IF(ISNUMBER(SEARCH("ACT",UPPER(Raw_Data!R406))),"Active",IF(ISNUMBER(SEARCH("CLOS",UPPER(Raw_Data!R406))),"Closed","None")))</f>
        <v>Active</v>
      </c>
      <c r="U415" s="24">
        <f>IF(Raw_Data!S406="",$C$8,VALUE(Raw_Data!S406))</f>
        <v>572</v>
      </c>
      <c r="V415" s="23" t="str">
        <f>IF(Raw_Data!S406="","Missing-Imputed","Original")</f>
        <v>Original</v>
      </c>
      <c r="W415" s="24">
        <f>Raw_Data!T406</f>
        <v>23</v>
      </c>
      <c r="X415" s="23" t="str">
        <f>IF(ISNUMBER(SEARCH("Y",UPPER(TRIM(Raw_Data!U406)))),"Yes","No")</f>
        <v>Yes</v>
      </c>
      <c r="Y415" s="23" t="str">
        <f>IF(ISNUMBER(SEARCH("Y",UPPER(TRIM(Raw_Data!V406)))),"Yes","No")</f>
        <v>Yes</v>
      </c>
      <c r="Z415" s="24">
        <f>Raw_Data!W406</f>
        <v>1</v>
      </c>
      <c r="AA415" s="24">
        <f>Raw_Data!X406</f>
        <v>2.2999999999999998</v>
      </c>
      <c r="AB415" s="23" t="str">
        <f>IF(COUNTIFS(Raw_Data!$A$2:$A$616,Raw_Data!A406)&gt;1,"Duplicate","Unique")</f>
        <v>Unique</v>
      </c>
      <c r="AC415" s="23" t="str">
        <f t="shared" si="20"/>
        <v>Clean</v>
      </c>
    </row>
    <row r="416" spans="1:29" ht="15" customHeight="1">
      <c r="A416" s="25" t="str">
        <f>Raw_Data!A407</f>
        <v>BYJ1406</v>
      </c>
      <c r="B416" s="25" t="str">
        <f>Raw_Data!B407</f>
        <v>Jackson Jha</v>
      </c>
      <c r="C416" s="26">
        <f>IF(OR(Raw_Data!C407="",Raw_Data!C407&lt;$C$5,Raw_Data!C407&gt;$C$6),$C$4,Raw_Data!C407)</f>
        <v>36</v>
      </c>
      <c r="D416" s="25" t="str">
        <f>IF(Raw_Data!C407="","Missing-Imputed",IF(OR(Raw_Data!C407&lt;$C$5,Raw_Data!C407&gt;$C$6),"Outlier-Imputed","Original"))</f>
        <v>Original</v>
      </c>
      <c r="E416" s="25" t="str">
        <f>IF(OR(UPPER(TRIM(Raw_Data!D407))="M",UPPER(TRIM(Raw_Data!D407))="MALE"),"Male","Female")</f>
        <v>Female</v>
      </c>
      <c r="F416" s="25" t="str">
        <f>PROPER(TRIM(Raw_Data!E407))</f>
        <v>Mysore</v>
      </c>
      <c r="G416" s="25" t="str">
        <f>PROPER(TRIM(Raw_Data!F407))</f>
        <v>Tamil Nadu</v>
      </c>
      <c r="H416" s="25" t="str">
        <f>PROPER(TRIM(Raw_Data!G407))</f>
        <v>Neet Prep</v>
      </c>
      <c r="I416" s="25" t="str">
        <f>PROPER(TRIM(Raw_Data!H407))</f>
        <v>Bengaluru South</v>
      </c>
      <c r="J416" s="26">
        <f>IF(LEN(TRIM(Raw_Data!I407))=4,VALUE(TRIM(Raw_Data!I407)),IF(ISNUMBER(IFERROR(VALUE(MID(TRIM(Raw_Data!I407),1,4)),"NA")),VALUE(MID(TRIM(Raw_Data!I407),1,4)),VALUE(RIGHT(TRIM(Raw_Data!I407),4))))</f>
        <v>2019</v>
      </c>
      <c r="K416" s="25" t="str">
        <f>PROPER(TRIM(Raw_Data!J407))</f>
        <v>Salaried</v>
      </c>
      <c r="L416" s="25" t="str">
        <f t="shared" si="18"/>
        <v>20+</v>
      </c>
      <c r="M416" s="25" t="str">
        <f t="shared" si="19"/>
        <v>Adult Learners</v>
      </c>
      <c r="N416" s="25" t="str">
        <f>IF(ISNUMBER(SEARCH("NON",UPPER(Raw_Data!M407))),"Non-Premium Learner","Premium Learner")</f>
        <v>Non-Premium Learner</v>
      </c>
      <c r="O416" s="25" t="str">
        <f>PROPER(TRIM(Raw_Data!N407))</f>
        <v>Both App &amp; Web</v>
      </c>
      <c r="P416" s="26">
        <f>IF(Raw_Data!O407="",$C$7,Raw_Data!O407)</f>
        <v>36174.120000000003</v>
      </c>
      <c r="Q416" s="25" t="str">
        <f>IF(Raw_Data!O407="","Missing-Imputed","Original")</f>
        <v>Original</v>
      </c>
      <c r="R416" s="26">
        <f>Raw_Data!P407</f>
        <v>47.7</v>
      </c>
      <c r="S416" s="26">
        <f>Raw_Data!Q407</f>
        <v>34902.81</v>
      </c>
      <c r="T416" s="25" t="str">
        <f>IF(Raw_Data!R407="","Unknown",IF(ISNUMBER(SEARCH("ACT",UPPER(Raw_Data!R407))),"Active",IF(ISNUMBER(SEARCH("CLOS",UPPER(Raw_Data!R407))),"Closed","None")))</f>
        <v>Active</v>
      </c>
      <c r="U416" s="26">
        <f>IF(Raw_Data!S407="",$C$8,VALUE(Raw_Data!S407))</f>
        <v>499</v>
      </c>
      <c r="V416" s="25" t="str">
        <f>IF(Raw_Data!S407="","Missing-Imputed","Original")</f>
        <v>Original</v>
      </c>
      <c r="W416" s="26">
        <f>Raw_Data!T407</f>
        <v>162</v>
      </c>
      <c r="X416" s="25" t="str">
        <f>IF(ISNUMBER(SEARCH("Y",UPPER(TRIM(Raw_Data!U407)))),"Yes","No")</f>
        <v>No</v>
      </c>
      <c r="Y416" s="25" t="str">
        <f>IF(ISNUMBER(SEARCH("Y",UPPER(TRIM(Raw_Data!V407)))),"Yes","No")</f>
        <v>No</v>
      </c>
      <c r="Z416" s="26">
        <f>Raw_Data!W407</f>
        <v>5</v>
      </c>
      <c r="AA416" s="26">
        <f>Raw_Data!X407</f>
        <v>2.8</v>
      </c>
      <c r="AB416" s="25" t="str">
        <f>IF(COUNTIFS(Raw_Data!$A$2:$A$616,Raw_Data!A407)&gt;1,"Duplicate","Unique")</f>
        <v>Unique</v>
      </c>
      <c r="AC416" s="25" t="str">
        <f t="shared" si="20"/>
        <v>Clean</v>
      </c>
    </row>
    <row r="417" spans="1:29" ht="15" customHeight="1">
      <c r="A417" s="23" t="str">
        <f>Raw_Data!A408</f>
        <v>BYJ1407</v>
      </c>
      <c r="B417" s="23" t="str">
        <f>Raw_Data!B408</f>
        <v>Christopher Setty</v>
      </c>
      <c r="C417" s="24">
        <f>IF(OR(Raw_Data!C408="",Raw_Data!C408&lt;$C$5,Raw_Data!C408&gt;$C$6),$C$4,Raw_Data!C408)</f>
        <v>36</v>
      </c>
      <c r="D417" s="23" t="str">
        <f>IF(Raw_Data!C408="","Missing-Imputed",IF(OR(Raw_Data!C408&lt;$C$5,Raw_Data!C408&gt;$C$6),"Outlier-Imputed","Original"))</f>
        <v>Original</v>
      </c>
      <c r="E417" s="23" t="str">
        <f>IF(OR(UPPER(TRIM(Raw_Data!D408))="M",UPPER(TRIM(Raw_Data!D408))="MALE"),"Male","Female")</f>
        <v>Female</v>
      </c>
      <c r="F417" s="23" t="str">
        <f>PROPER(TRIM(Raw_Data!E408))</f>
        <v>Anand</v>
      </c>
      <c r="G417" s="23" t="str">
        <f>PROPER(TRIM(Raw_Data!F408))</f>
        <v>Uttar Pradesh</v>
      </c>
      <c r="H417" s="23" t="str">
        <f>PROPER(TRIM(Raw_Data!G408))</f>
        <v>English</v>
      </c>
      <c r="I417" s="23" t="str">
        <f>PROPER(TRIM(Raw_Data!H408))</f>
        <v>Pune East</v>
      </c>
      <c r="J417" s="24">
        <f>IF(LEN(TRIM(Raw_Data!I408))=4,VALUE(TRIM(Raw_Data!I408)),IF(ISNUMBER(IFERROR(VALUE(MID(TRIM(Raw_Data!I408),1,4)),"NA")),VALUE(MID(TRIM(Raw_Data!I408),1,4)),VALUE(RIGHT(TRIM(Raw_Data!I408),4))))</f>
        <v>46040</v>
      </c>
      <c r="K417" s="23" t="str">
        <f>PROPER(TRIM(Raw_Data!J408))</f>
        <v>Retired</v>
      </c>
      <c r="L417" s="23" t="str">
        <f t="shared" si="18"/>
        <v>20+</v>
      </c>
      <c r="M417" s="23" t="str">
        <f t="shared" si="19"/>
        <v>Adult Learners</v>
      </c>
      <c r="N417" s="23" t="str">
        <f>IF(ISNUMBER(SEARCH("NON",UPPER(Raw_Data!M408))),"Non-Premium Learner","Premium Learner")</f>
        <v>Non-Premium Learner</v>
      </c>
      <c r="O417" s="23" t="str">
        <f>PROPER(TRIM(Raw_Data!N408))</f>
        <v>App Only</v>
      </c>
      <c r="P417" s="24">
        <f>IF(Raw_Data!O408="",$C$7,Raw_Data!O408)</f>
        <v>75699.16</v>
      </c>
      <c r="Q417" s="23" t="str">
        <f>IF(Raw_Data!O408="","Missing-Imputed","Original")</f>
        <v>Original</v>
      </c>
      <c r="R417" s="24">
        <f>Raw_Data!P408</f>
        <v>78.099999999999994</v>
      </c>
      <c r="S417" s="24">
        <f>Raw_Data!Q408</f>
        <v>28230.38</v>
      </c>
      <c r="T417" s="23" t="str">
        <f>IF(Raw_Data!R408="","Unknown",IF(ISNUMBER(SEARCH("ACT",UPPER(Raw_Data!R408))),"Active",IF(ISNUMBER(SEARCH("CLOS",UPPER(Raw_Data!R408))),"Closed","None")))</f>
        <v>Active</v>
      </c>
      <c r="U417" s="24">
        <f>IF(Raw_Data!S408="",$C$8,VALUE(Raw_Data!S408))</f>
        <v>367</v>
      </c>
      <c r="V417" s="23" t="str">
        <f>IF(Raw_Data!S408="","Missing-Imputed","Original")</f>
        <v>Original</v>
      </c>
      <c r="W417" s="24">
        <f>Raw_Data!T408</f>
        <v>172</v>
      </c>
      <c r="X417" s="23" t="str">
        <f>IF(ISNUMBER(SEARCH("Y",UPPER(TRIM(Raw_Data!U408)))),"Yes","No")</f>
        <v>No</v>
      </c>
      <c r="Y417" s="23" t="str">
        <f>IF(ISNUMBER(SEARCH("Y",UPPER(TRIM(Raw_Data!V408)))),"Yes","No")</f>
        <v>No</v>
      </c>
      <c r="Z417" s="24">
        <f>Raw_Data!W408</f>
        <v>5</v>
      </c>
      <c r="AA417" s="24">
        <f>Raw_Data!X408</f>
        <v>7.5</v>
      </c>
      <c r="AB417" s="23" t="str">
        <f>IF(COUNTIFS(Raw_Data!$A$2:$A$616,Raw_Data!A408)&gt;1,"Duplicate","Unique")</f>
        <v>Unique</v>
      </c>
      <c r="AC417" s="23" t="str">
        <f t="shared" si="20"/>
        <v>Clean</v>
      </c>
    </row>
    <row r="418" spans="1:29" ht="15" customHeight="1">
      <c r="A418" s="25" t="str">
        <f>Raw_Data!A409</f>
        <v>BYJ1408</v>
      </c>
      <c r="B418" s="25" t="str">
        <f>Raw_Data!B409</f>
        <v>Tanmayi Bhardwaj</v>
      </c>
      <c r="C418" s="26">
        <f>IF(OR(Raw_Data!C409="",Raw_Data!C409&lt;$C$5,Raw_Data!C409&gt;$C$6),$C$4,Raw_Data!C409)</f>
        <v>20</v>
      </c>
      <c r="D418" s="25" t="str">
        <f>IF(Raw_Data!C409="","Missing-Imputed",IF(OR(Raw_Data!C409&lt;$C$5,Raw_Data!C409&gt;$C$6),"Outlier-Imputed","Original"))</f>
        <v>Original</v>
      </c>
      <c r="E418" s="25" t="str">
        <f>IF(OR(UPPER(TRIM(Raw_Data!D409))="M",UPPER(TRIM(Raw_Data!D409))="MALE"),"Male","Female")</f>
        <v>Male</v>
      </c>
      <c r="F418" s="25" t="str">
        <f>PROPER(TRIM(Raw_Data!E409))</f>
        <v>Aizawl</v>
      </c>
      <c r="G418" s="25" t="str">
        <f>PROPER(TRIM(Raw_Data!F409))</f>
        <v>Gujarat</v>
      </c>
      <c r="H418" s="25" t="str">
        <f>PROPER(TRIM(Raw_Data!G409))</f>
        <v>Spoken English</v>
      </c>
      <c r="I418" s="25" t="str">
        <f>PROPER(TRIM(Raw_Data!H409))</f>
        <v>Bengaluru South</v>
      </c>
      <c r="J418" s="26">
        <f>IF(LEN(TRIM(Raw_Data!I409))=4,VALUE(TRIM(Raw_Data!I409)),IF(ISNUMBER(IFERROR(VALUE(MID(TRIM(Raw_Data!I409),1,4)),"NA")),VALUE(MID(TRIM(Raw_Data!I409),1,4)),VALUE(RIGHT(TRIM(Raw_Data!I409),4))))</f>
        <v>2020</v>
      </c>
      <c r="K418" s="25" t="str">
        <f>PROPER(TRIM(Raw_Data!J409))</f>
        <v>Homemaker</v>
      </c>
      <c r="L418" s="25" t="str">
        <f t="shared" si="18"/>
        <v>20+</v>
      </c>
      <c r="M418" s="25" t="str">
        <f t="shared" si="19"/>
        <v>Adult Learners</v>
      </c>
      <c r="N418" s="25" t="str">
        <f>IF(ISNUMBER(SEARCH("NON",UPPER(Raw_Data!M409))),"Non-Premium Learner","Premium Learner")</f>
        <v>Premium Learner</v>
      </c>
      <c r="O418" s="25" t="str">
        <f>PROPER(TRIM(Raw_Data!N409))</f>
        <v>App Only</v>
      </c>
      <c r="P418" s="26">
        <f>IF(Raw_Data!O409="",$C$7,Raw_Data!O409)</f>
        <v>128591.81</v>
      </c>
      <c r="Q418" s="25" t="str">
        <f>IF(Raw_Data!O409="","Missing-Imputed","Original")</f>
        <v>Original</v>
      </c>
      <c r="R418" s="26">
        <f>Raw_Data!P409</f>
        <v>16.8</v>
      </c>
      <c r="S418" s="26">
        <f>Raw_Data!Q409</f>
        <v>57402.42</v>
      </c>
      <c r="T418" s="25" t="str">
        <f>IF(Raw_Data!R409="","Unknown",IF(ISNUMBER(SEARCH("ACT",UPPER(Raw_Data!R409))),"Active",IF(ISNUMBER(SEARCH("CLOS",UPPER(Raw_Data!R409))),"Closed","None")))</f>
        <v>Closed</v>
      </c>
      <c r="U418" s="26">
        <f>IF(Raw_Data!S409="",$C$8,VALUE(Raw_Data!S409))</f>
        <v>726</v>
      </c>
      <c r="V418" s="25" t="str">
        <f>IF(Raw_Data!S409="","Missing-Imputed","Original")</f>
        <v>Original</v>
      </c>
      <c r="W418" s="26">
        <f>Raw_Data!T409</f>
        <v>68</v>
      </c>
      <c r="X418" s="25" t="str">
        <f>IF(ISNUMBER(SEARCH("Y",UPPER(TRIM(Raw_Data!U409)))),"Yes","No")</f>
        <v>Yes</v>
      </c>
      <c r="Y418" s="25" t="str">
        <f>IF(ISNUMBER(SEARCH("Y",UPPER(TRIM(Raw_Data!V409)))),"Yes","No")</f>
        <v>No</v>
      </c>
      <c r="Z418" s="26">
        <f>Raw_Data!W409</f>
        <v>3</v>
      </c>
      <c r="AA418" s="26">
        <f>Raw_Data!X409</f>
        <v>1.7</v>
      </c>
      <c r="AB418" s="25" t="str">
        <f>IF(COUNTIFS(Raw_Data!$A$2:$A$616,Raw_Data!A409)&gt;1,"Duplicate","Unique")</f>
        <v>Unique</v>
      </c>
      <c r="AC418" s="25" t="str">
        <f t="shared" si="20"/>
        <v>Clean</v>
      </c>
    </row>
    <row r="419" spans="1:29" ht="15" customHeight="1">
      <c r="A419" s="23" t="str">
        <f>Raw_Data!A410</f>
        <v>BYJ1409</v>
      </c>
      <c r="B419" s="23" t="str">
        <f>Raw_Data!B410</f>
        <v>Meghana Kumar</v>
      </c>
      <c r="C419" s="24">
        <f>IF(OR(Raw_Data!C410="",Raw_Data!C410&lt;$C$5,Raw_Data!C410&gt;$C$6),$C$4,Raw_Data!C410)</f>
        <v>26</v>
      </c>
      <c r="D419" s="23" t="str">
        <f>IF(Raw_Data!C410="","Missing-Imputed",IF(OR(Raw_Data!C410&lt;$C$5,Raw_Data!C410&gt;$C$6),"Outlier-Imputed","Original"))</f>
        <v>Original</v>
      </c>
      <c r="E419" s="23" t="str">
        <f>IF(OR(UPPER(TRIM(Raw_Data!D410))="M",UPPER(TRIM(Raw_Data!D410))="MALE"),"Male","Female")</f>
        <v>Female</v>
      </c>
      <c r="F419" s="23" t="str">
        <f>PROPER(TRIM(Raw_Data!E410))</f>
        <v>Bellary</v>
      </c>
      <c r="G419" s="23" t="str">
        <f>PROPER(TRIM(Raw_Data!F410))</f>
        <v>West Bengal</v>
      </c>
      <c r="H419" s="23" t="str">
        <f>PROPER(TRIM(Raw_Data!G410))</f>
        <v>Robotics</v>
      </c>
      <c r="I419" s="23" t="str">
        <f>PROPER(TRIM(Raw_Data!H410))</f>
        <v>Chennai Central</v>
      </c>
      <c r="J419" s="24">
        <f>IF(LEN(TRIM(Raw_Data!I410))=4,VALUE(TRIM(Raw_Data!I410)),IF(ISNUMBER(IFERROR(VALUE(MID(TRIM(Raw_Data!I410),1,4)),"NA")),VALUE(MID(TRIM(Raw_Data!I410),1,4)),VALUE(RIGHT(TRIM(Raw_Data!I410),4))))</f>
        <v>2022</v>
      </c>
      <c r="K419" s="23" t="str">
        <f>PROPER(TRIM(Raw_Data!J410))</f>
        <v>Retired</v>
      </c>
      <c r="L419" s="23" t="str">
        <f t="shared" si="18"/>
        <v>20+</v>
      </c>
      <c r="M419" s="23" t="str">
        <f t="shared" si="19"/>
        <v>Adult Learners</v>
      </c>
      <c r="N419" s="23" t="str">
        <f>IF(ISNUMBER(SEARCH("NON",UPPER(Raw_Data!M410))),"Non-Premium Learner","Premium Learner")</f>
        <v>Non-Premium Learner</v>
      </c>
      <c r="O419" s="23" t="str">
        <f>PROPER(TRIM(Raw_Data!N410))</f>
        <v>Web Only</v>
      </c>
      <c r="P419" s="24">
        <f>IF(Raw_Data!O410="",$C$7,Raw_Data!O410)</f>
        <v>7824.55</v>
      </c>
      <c r="Q419" s="23" t="str">
        <f>IF(Raw_Data!O410="","Missing-Imputed","Original")</f>
        <v>Original</v>
      </c>
      <c r="R419" s="24">
        <f>Raw_Data!P410</f>
        <v>20.6</v>
      </c>
      <c r="S419" s="24">
        <f>Raw_Data!Q410</f>
        <v>43000.36</v>
      </c>
      <c r="T419" s="23" t="str">
        <f>IF(Raw_Data!R410="","Unknown",IF(ISNUMBER(SEARCH("ACT",UPPER(Raw_Data!R410))),"Active",IF(ISNUMBER(SEARCH("CLOS",UPPER(Raw_Data!R410))),"Closed","None")))</f>
        <v>Closed</v>
      </c>
      <c r="U419" s="24">
        <f>IF(Raw_Data!S410="",$C$8,VALUE(Raw_Data!S410))</f>
        <v>324</v>
      </c>
      <c r="V419" s="23" t="str">
        <f>IF(Raw_Data!S410="","Missing-Imputed","Original")</f>
        <v>Original</v>
      </c>
      <c r="W419" s="24">
        <f>Raw_Data!T410</f>
        <v>97</v>
      </c>
      <c r="X419" s="23" t="str">
        <f>IF(ISNUMBER(SEARCH("Y",UPPER(TRIM(Raw_Data!U410)))),"Yes","No")</f>
        <v>No</v>
      </c>
      <c r="Y419" s="23" t="str">
        <f>IF(ISNUMBER(SEARCH("Y",UPPER(TRIM(Raw_Data!V410)))),"Yes","No")</f>
        <v>Yes</v>
      </c>
      <c r="Z419" s="24">
        <f>Raw_Data!W410</f>
        <v>3</v>
      </c>
      <c r="AA419" s="24">
        <f>Raw_Data!X410</f>
        <v>1.4</v>
      </c>
      <c r="AB419" s="23" t="str">
        <f>IF(COUNTIFS(Raw_Data!$A$2:$A$616,Raw_Data!A410)&gt;1,"Duplicate","Unique")</f>
        <v>Unique</v>
      </c>
      <c r="AC419" s="23" t="str">
        <f t="shared" si="20"/>
        <v>Clean</v>
      </c>
    </row>
    <row r="420" spans="1:29" ht="15" customHeight="1">
      <c r="A420" s="25" t="str">
        <f>Raw_Data!A411</f>
        <v>BYJ1410</v>
      </c>
      <c r="B420" s="25" t="str">
        <f>Raw_Data!B411</f>
        <v>Chakradev Sampath</v>
      </c>
      <c r="C420" s="26">
        <f>IF(OR(Raw_Data!C411="",Raw_Data!C411&lt;$C$5,Raw_Data!C411&gt;$C$6),$C$4,Raw_Data!C411)</f>
        <v>36</v>
      </c>
      <c r="D420" s="25" t="str">
        <f>IF(Raw_Data!C411="","Missing-Imputed",IF(OR(Raw_Data!C411&lt;$C$5,Raw_Data!C411&gt;$C$6),"Outlier-Imputed","Original"))</f>
        <v>Original</v>
      </c>
      <c r="E420" s="25" t="str">
        <f>IF(OR(UPPER(TRIM(Raw_Data!D411))="M",UPPER(TRIM(Raw_Data!D411))="MALE"),"Male","Female")</f>
        <v>Female</v>
      </c>
      <c r="F420" s="25" t="str">
        <f>PROPER(TRIM(Raw_Data!E411))</f>
        <v>Rajkot</v>
      </c>
      <c r="G420" s="25" t="str">
        <f>PROPER(TRIM(Raw_Data!F411))</f>
        <v>West Bengal</v>
      </c>
      <c r="H420" s="25" t="str">
        <f>PROPER(TRIM(Raw_Data!G411))</f>
        <v>Spoken English</v>
      </c>
      <c r="I420" s="25" t="str">
        <f>PROPER(TRIM(Raw_Data!H411))</f>
        <v>Delhi North</v>
      </c>
      <c r="J420" s="26">
        <f>IF(LEN(TRIM(Raw_Data!I411))=4,VALUE(TRIM(Raw_Data!I411)),IF(ISNUMBER(IFERROR(VALUE(MID(TRIM(Raw_Data!I411),1,4)),"NA")),VALUE(MID(TRIM(Raw_Data!I411),1,4)),VALUE(RIGHT(TRIM(Raw_Data!I411),4))))</f>
        <v>2020</v>
      </c>
      <c r="K420" s="25" t="str">
        <f>PROPER(TRIM(Raw_Data!J411))</f>
        <v>Salaried</v>
      </c>
      <c r="L420" s="25" t="str">
        <f t="shared" si="18"/>
        <v>20+</v>
      </c>
      <c r="M420" s="25" t="str">
        <f t="shared" si="19"/>
        <v>Adult Learners</v>
      </c>
      <c r="N420" s="25" t="str">
        <f>IF(ISNUMBER(SEARCH("NON",UPPER(Raw_Data!M411))),"Non-Premium Learner","Premium Learner")</f>
        <v>Premium Learner</v>
      </c>
      <c r="O420" s="25" t="str">
        <f>PROPER(TRIM(Raw_Data!N411))</f>
        <v>Web Only</v>
      </c>
      <c r="P420" s="26">
        <f>IF(Raw_Data!O411="",$C$7,Raw_Data!O411)</f>
        <v>82994.880000000005</v>
      </c>
      <c r="Q420" s="25" t="str">
        <f>IF(Raw_Data!O411="","Missing-Imputed","Original")</f>
        <v>Original</v>
      </c>
      <c r="R420" s="26">
        <f>Raw_Data!P411</f>
        <v>26.3</v>
      </c>
      <c r="S420" s="26">
        <f>Raw_Data!Q411</f>
        <v>28310.45</v>
      </c>
      <c r="T420" s="25" t="str">
        <f>IF(Raw_Data!R411="","Unknown",IF(ISNUMBER(SEARCH("ACT",UPPER(Raw_Data!R411))),"Active",IF(ISNUMBER(SEARCH("CLOS",UPPER(Raw_Data!R411))),"Closed","None")))</f>
        <v>None</v>
      </c>
      <c r="U420" s="26">
        <f>IF(Raw_Data!S411="",$C$8,VALUE(Raw_Data!S411))</f>
        <v>632</v>
      </c>
      <c r="V420" s="25" t="str">
        <f>IF(Raw_Data!S411="","Missing-Imputed","Original")</f>
        <v>Original</v>
      </c>
      <c r="W420" s="26">
        <f>Raw_Data!T411</f>
        <v>187</v>
      </c>
      <c r="X420" s="25" t="str">
        <f>IF(ISNUMBER(SEARCH("Y",UPPER(TRIM(Raw_Data!U411)))),"Yes","No")</f>
        <v>No</v>
      </c>
      <c r="Y420" s="25" t="str">
        <f>IF(ISNUMBER(SEARCH("Y",UPPER(TRIM(Raw_Data!V411)))),"Yes","No")</f>
        <v>Yes</v>
      </c>
      <c r="Z420" s="26">
        <f>Raw_Data!W411</f>
        <v>5</v>
      </c>
      <c r="AA420" s="26">
        <f>Raw_Data!X411</f>
        <v>2.2000000000000002</v>
      </c>
      <c r="AB420" s="25" t="str">
        <f>IF(COUNTIFS(Raw_Data!$A$2:$A$616,Raw_Data!A411)&gt;1,"Duplicate","Unique")</f>
        <v>Unique</v>
      </c>
      <c r="AC420" s="25" t="str">
        <f t="shared" si="20"/>
        <v>Clean</v>
      </c>
    </row>
    <row r="421" spans="1:29" ht="15" customHeight="1">
      <c r="A421" s="23" t="str">
        <f>Raw_Data!A412</f>
        <v>BYJ1411</v>
      </c>
      <c r="B421" s="23" t="str">
        <f>Raw_Data!B412</f>
        <v>Ekapad Sodhi</v>
      </c>
      <c r="C421" s="24">
        <f>IF(OR(Raw_Data!C412="",Raw_Data!C412&lt;$C$5,Raw_Data!C412&gt;$C$6),$C$4,Raw_Data!C412)</f>
        <v>42</v>
      </c>
      <c r="D421" s="23" t="str">
        <f>IF(Raw_Data!C412="","Missing-Imputed",IF(OR(Raw_Data!C412&lt;$C$5,Raw_Data!C412&gt;$C$6),"Outlier-Imputed","Original"))</f>
        <v>Original</v>
      </c>
      <c r="E421" s="23" t="str">
        <f>IF(OR(UPPER(TRIM(Raw_Data!D412))="M",UPPER(TRIM(Raw_Data!D412))="MALE"),"Male","Female")</f>
        <v>Female</v>
      </c>
      <c r="F421" s="23" t="str">
        <f>PROPER(TRIM(Raw_Data!E412))</f>
        <v>Baranagar</v>
      </c>
      <c r="G421" s="23" t="str">
        <f>PROPER(TRIM(Raw_Data!F412))</f>
        <v>Telangana</v>
      </c>
      <c r="H421" s="23" t="str">
        <f>PROPER(TRIM(Raw_Data!G412))</f>
        <v>Coding</v>
      </c>
      <c r="I421" s="23" t="str">
        <f>PROPER(TRIM(Raw_Data!H412))</f>
        <v>Mumbai West</v>
      </c>
      <c r="J421" s="24">
        <f>IF(LEN(TRIM(Raw_Data!I412))=4,VALUE(TRIM(Raw_Data!I412)),IF(ISNUMBER(IFERROR(VALUE(MID(TRIM(Raw_Data!I412),1,4)),"NA")),VALUE(MID(TRIM(Raw_Data!I412),1,4)),VALUE(RIGHT(TRIM(Raw_Data!I412),4))))</f>
        <v>46045</v>
      </c>
      <c r="K421" s="23" t="str">
        <f>PROPER(TRIM(Raw_Data!J412))</f>
        <v>Homemaker</v>
      </c>
      <c r="L421" s="23" t="str">
        <f t="shared" si="18"/>
        <v>20+</v>
      </c>
      <c r="M421" s="23" t="str">
        <f t="shared" si="19"/>
        <v>Adult Learners</v>
      </c>
      <c r="N421" s="23" t="str">
        <f>IF(ISNUMBER(SEARCH("NON",UPPER(Raw_Data!M412))),"Non-Premium Learner","Premium Learner")</f>
        <v>Non-Premium Learner</v>
      </c>
      <c r="O421" s="23" t="str">
        <f>PROPER(TRIM(Raw_Data!N412))</f>
        <v>App Only</v>
      </c>
      <c r="P421" s="24">
        <f>IF(Raw_Data!O412="",$C$7,Raw_Data!O412)</f>
        <v>31700.3</v>
      </c>
      <c r="Q421" s="23" t="str">
        <f>IF(Raw_Data!O412="","Missing-Imputed","Original")</f>
        <v>Original</v>
      </c>
      <c r="R421" s="24">
        <f>Raw_Data!P412</f>
        <v>39.6</v>
      </c>
      <c r="S421" s="24">
        <f>Raw_Data!Q412</f>
        <v>19980.73</v>
      </c>
      <c r="T421" s="23" t="str">
        <f>IF(Raw_Data!R412="","Unknown",IF(ISNUMBER(SEARCH("ACT",UPPER(Raw_Data!R412))),"Active",IF(ISNUMBER(SEARCH("CLOS",UPPER(Raw_Data!R412))),"Closed","None")))</f>
        <v>None</v>
      </c>
      <c r="U421" s="24">
        <f>IF(Raw_Data!S412="",$C$8,VALUE(Raw_Data!S412))</f>
        <v>561</v>
      </c>
      <c r="V421" s="23" t="str">
        <f>IF(Raw_Data!S412="","Missing-Imputed","Original")</f>
        <v>Original</v>
      </c>
      <c r="W421" s="24">
        <f>Raw_Data!T412</f>
        <v>5</v>
      </c>
      <c r="X421" s="23" t="str">
        <f>IF(ISNUMBER(SEARCH("Y",UPPER(TRIM(Raw_Data!U412)))),"Yes","No")</f>
        <v>Yes</v>
      </c>
      <c r="Y421" s="23" t="str">
        <f>IF(ISNUMBER(SEARCH("Y",UPPER(TRIM(Raw_Data!V412)))),"Yes","No")</f>
        <v>No</v>
      </c>
      <c r="Z421" s="24">
        <f>Raw_Data!W412</f>
        <v>4</v>
      </c>
      <c r="AA421" s="24">
        <f>Raw_Data!X412</f>
        <v>7.4</v>
      </c>
      <c r="AB421" s="23" t="str">
        <f>IF(COUNTIFS(Raw_Data!$A$2:$A$616,Raw_Data!A412)&gt;1,"Duplicate","Unique")</f>
        <v>Unique</v>
      </c>
      <c r="AC421" s="23" t="str">
        <f t="shared" si="20"/>
        <v>Clean</v>
      </c>
    </row>
    <row r="422" spans="1:29" ht="15" customHeight="1">
      <c r="A422" s="25" t="str">
        <f>Raw_Data!A413</f>
        <v>BYJ1412</v>
      </c>
      <c r="B422" s="25" t="str">
        <f>Raw_Data!B413</f>
        <v>Pranit Deshmukh</v>
      </c>
      <c r="C422" s="26">
        <f>IF(OR(Raw_Data!C413="",Raw_Data!C413&lt;$C$5,Raw_Data!C413&gt;$C$6),$C$4,Raw_Data!C413)</f>
        <v>9</v>
      </c>
      <c r="D422" s="25" t="str">
        <f>IF(Raw_Data!C413="","Missing-Imputed",IF(OR(Raw_Data!C413&lt;$C$5,Raw_Data!C413&gt;$C$6),"Outlier-Imputed","Original"))</f>
        <v>Original</v>
      </c>
      <c r="E422" s="25" t="str">
        <f>IF(OR(UPPER(TRIM(Raw_Data!D413))="M",UPPER(TRIM(Raw_Data!D413))="MALE"),"Male","Female")</f>
        <v>Female</v>
      </c>
      <c r="F422" s="25" t="str">
        <f>PROPER(TRIM(Raw_Data!E413))</f>
        <v>Dindigul</v>
      </c>
      <c r="G422" s="25" t="str">
        <f>PROPER(TRIM(Raw_Data!F413))</f>
        <v>Tamil Nadu</v>
      </c>
      <c r="H422" s="25" t="str">
        <f>PROPER(TRIM(Raw_Data!G413))</f>
        <v>Neet Prep</v>
      </c>
      <c r="I422" s="25" t="str">
        <f>PROPER(TRIM(Raw_Data!H413))</f>
        <v>Jaipur Center</v>
      </c>
      <c r="J422" s="26">
        <f>IF(LEN(TRIM(Raw_Data!I413))=4,VALUE(TRIM(Raw_Data!I413)),IF(ISNUMBER(IFERROR(VALUE(MID(TRIM(Raw_Data!I413),1,4)),"NA")),VALUE(MID(TRIM(Raw_Data!I413),1,4)),VALUE(RIGHT(TRIM(Raw_Data!I413),4))))</f>
        <v>2023</v>
      </c>
      <c r="K422" s="25" t="str">
        <f>PROPER(TRIM(Raw_Data!J413))</f>
        <v>Retired</v>
      </c>
      <c r="L422" s="25" t="str">
        <f t="shared" si="18"/>
        <v>Under 10</v>
      </c>
      <c r="M422" s="25" t="str">
        <f t="shared" si="19"/>
        <v>Kids</v>
      </c>
      <c r="N422" s="25" t="str">
        <f>IF(ISNUMBER(SEARCH("NON",UPPER(Raw_Data!M413))),"Non-Premium Learner","Premium Learner")</f>
        <v>Premium Learner</v>
      </c>
      <c r="O422" s="25" t="str">
        <f>PROPER(TRIM(Raw_Data!N413))</f>
        <v>App Only</v>
      </c>
      <c r="P422" s="26">
        <f>IF(Raw_Data!O413="",$C$7,Raw_Data!O413)</f>
        <v>146262.99</v>
      </c>
      <c r="Q422" s="25" t="str">
        <f>IF(Raw_Data!O413="","Missing-Imputed","Original")</f>
        <v>Original</v>
      </c>
      <c r="R422" s="26">
        <f>Raw_Data!P413</f>
        <v>44.9</v>
      </c>
      <c r="S422" s="26">
        <f>Raw_Data!Q413</f>
        <v>47915.46</v>
      </c>
      <c r="T422" s="25" t="str">
        <f>IF(Raw_Data!R413="","Unknown",IF(ISNUMBER(SEARCH("ACT",UPPER(Raw_Data!R413))),"Active",IF(ISNUMBER(SEARCH("CLOS",UPPER(Raw_Data!R413))),"Closed","None")))</f>
        <v>Active</v>
      </c>
      <c r="U422" s="26">
        <f>IF(Raw_Data!S413="",$C$8,VALUE(Raw_Data!S413))</f>
        <v>495</v>
      </c>
      <c r="V422" s="25" t="str">
        <f>IF(Raw_Data!S413="","Missing-Imputed","Original")</f>
        <v>Original</v>
      </c>
      <c r="W422" s="26">
        <f>Raw_Data!T413</f>
        <v>196</v>
      </c>
      <c r="X422" s="25" t="str">
        <f>IF(ISNUMBER(SEARCH("Y",UPPER(TRIM(Raw_Data!U413)))),"Yes","No")</f>
        <v>No</v>
      </c>
      <c r="Y422" s="25" t="str">
        <f>IF(ISNUMBER(SEARCH("Y",UPPER(TRIM(Raw_Data!V413)))),"Yes","No")</f>
        <v>No</v>
      </c>
      <c r="Z422" s="26">
        <f>Raw_Data!W413</f>
        <v>2</v>
      </c>
      <c r="AA422" s="26">
        <f>Raw_Data!X413</f>
        <v>6</v>
      </c>
      <c r="AB422" s="25" t="str">
        <f>IF(COUNTIFS(Raw_Data!$A$2:$A$616,Raw_Data!A413)&gt;1,"Duplicate","Unique")</f>
        <v>Unique</v>
      </c>
      <c r="AC422" s="25" t="str">
        <f t="shared" si="20"/>
        <v>Clean</v>
      </c>
    </row>
    <row r="423" spans="1:29" ht="15" customHeight="1">
      <c r="A423" s="23" t="str">
        <f>Raw_Data!A414</f>
        <v>BYJ1413</v>
      </c>
      <c r="B423" s="23" t="str">
        <f>Raw_Data!B414</f>
        <v xml:space="preserve">  Saumya Purohit  </v>
      </c>
      <c r="C423" s="24">
        <f>IF(OR(Raw_Data!C414="",Raw_Data!C414&lt;$C$5,Raw_Data!C414&gt;$C$6),$C$4,Raw_Data!C414)</f>
        <v>27</v>
      </c>
      <c r="D423" s="23" t="str">
        <f>IF(Raw_Data!C414="","Missing-Imputed",IF(OR(Raw_Data!C414&lt;$C$5,Raw_Data!C414&gt;$C$6),"Outlier-Imputed","Original"))</f>
        <v>Original</v>
      </c>
      <c r="E423" s="23" t="str">
        <f>IF(OR(UPPER(TRIM(Raw_Data!D414))="M",UPPER(TRIM(Raw_Data!D414))="MALE"),"Male","Female")</f>
        <v>Female</v>
      </c>
      <c r="F423" s="23" t="str">
        <f>PROPER(TRIM(Raw_Data!E414))</f>
        <v>Jodhpur</v>
      </c>
      <c r="G423" s="23" t="str">
        <f>PROPER(TRIM(Raw_Data!F414))</f>
        <v>West Bengal</v>
      </c>
      <c r="H423" s="23" t="str">
        <f>PROPER(TRIM(Raw_Data!G414))</f>
        <v>Coding</v>
      </c>
      <c r="I423" s="23" t="str">
        <f>PROPER(TRIM(Raw_Data!H414))</f>
        <v>Kolkata Main</v>
      </c>
      <c r="J423" s="24">
        <f>IF(LEN(TRIM(Raw_Data!I414))=4,VALUE(TRIM(Raw_Data!I414)),IF(ISNUMBER(IFERROR(VALUE(MID(TRIM(Raw_Data!I414),1,4)),"NA")),VALUE(MID(TRIM(Raw_Data!I414),1,4)),VALUE(RIGHT(TRIM(Raw_Data!I414),4))))</f>
        <v>2025</v>
      </c>
      <c r="K423" s="23" t="str">
        <f>PROPER(TRIM(Raw_Data!J414))</f>
        <v>Salaried</v>
      </c>
      <c r="L423" s="23" t="str">
        <f t="shared" si="18"/>
        <v>20+</v>
      </c>
      <c r="M423" s="23" t="str">
        <f t="shared" si="19"/>
        <v>Adult Learners</v>
      </c>
      <c r="N423" s="23" t="str">
        <f>IF(ISNUMBER(SEARCH("NON",UPPER(Raw_Data!M414))),"Non-Premium Learner","Premium Learner")</f>
        <v>Premium Learner</v>
      </c>
      <c r="O423" s="23" t="str">
        <f>PROPER(TRIM(Raw_Data!N414))</f>
        <v>App Only</v>
      </c>
      <c r="P423" s="24">
        <f>IF(Raw_Data!O414="",$C$7,Raw_Data!O414)</f>
        <v>42533.68</v>
      </c>
      <c r="Q423" s="23" t="str">
        <f>IF(Raw_Data!O414="","Missing-Imputed","Original")</f>
        <v>Original</v>
      </c>
      <c r="R423" s="24">
        <f>Raw_Data!P414</f>
        <v>55.6</v>
      </c>
      <c r="S423" s="24">
        <f>Raw_Data!Q414</f>
        <v>19597.16</v>
      </c>
      <c r="T423" s="23" t="str">
        <f>IF(Raw_Data!R414="","Unknown",IF(ISNUMBER(SEARCH("ACT",UPPER(Raw_Data!R414))),"Active",IF(ISNUMBER(SEARCH("CLOS",UPPER(Raw_Data!R414))),"Closed","None")))</f>
        <v>Closed</v>
      </c>
      <c r="U423" s="24">
        <f>IF(Raw_Data!S414="",$C$8,VALUE(Raw_Data!S414))</f>
        <v>505</v>
      </c>
      <c r="V423" s="23" t="str">
        <f>IF(Raw_Data!S414="","Missing-Imputed","Original")</f>
        <v>Original</v>
      </c>
      <c r="W423" s="24">
        <f>Raw_Data!T414</f>
        <v>147</v>
      </c>
      <c r="X423" s="23" t="str">
        <f>IF(ISNUMBER(SEARCH("Y",UPPER(TRIM(Raw_Data!U414)))),"Yes","No")</f>
        <v>No</v>
      </c>
      <c r="Y423" s="23" t="str">
        <f>IF(ISNUMBER(SEARCH("Y",UPPER(TRIM(Raw_Data!V414)))),"Yes","No")</f>
        <v>Yes</v>
      </c>
      <c r="Z423" s="24">
        <f>Raw_Data!W414</f>
        <v>2</v>
      </c>
      <c r="AA423" s="24">
        <f>Raw_Data!X414</f>
        <v>3.1</v>
      </c>
      <c r="AB423" s="23" t="str">
        <f>IF(COUNTIFS(Raw_Data!$A$2:$A$616,Raw_Data!A414)&gt;1,"Duplicate","Unique")</f>
        <v>Unique</v>
      </c>
      <c r="AC423" s="23" t="str">
        <f t="shared" si="20"/>
        <v>Clean</v>
      </c>
    </row>
    <row r="424" spans="1:29" ht="15" customHeight="1">
      <c r="A424" s="25" t="str">
        <f>Raw_Data!A415</f>
        <v>BYJ1414</v>
      </c>
      <c r="B424" s="25" t="str">
        <f>Raw_Data!B415</f>
        <v>Ijaya Dani</v>
      </c>
      <c r="C424" s="26">
        <f>IF(OR(Raw_Data!C415="",Raw_Data!C415&lt;$C$5,Raw_Data!C415&gt;$C$6),$C$4,Raw_Data!C415)</f>
        <v>8</v>
      </c>
      <c r="D424" s="25" t="str">
        <f>IF(Raw_Data!C415="","Missing-Imputed",IF(OR(Raw_Data!C415&lt;$C$5,Raw_Data!C415&gt;$C$6),"Outlier-Imputed","Original"))</f>
        <v>Original</v>
      </c>
      <c r="E424" s="25" t="str">
        <f>IF(OR(UPPER(TRIM(Raw_Data!D415))="M",UPPER(TRIM(Raw_Data!D415))="MALE"),"Male","Female")</f>
        <v>Male</v>
      </c>
      <c r="F424" s="25" t="str">
        <f>PROPER(TRIM(Raw_Data!E415))</f>
        <v>Siwan</v>
      </c>
      <c r="G424" s="25" t="str">
        <f>PROPER(TRIM(Raw_Data!F415))</f>
        <v>Karnataka</v>
      </c>
      <c r="H424" s="25" t="str">
        <f>PROPER(TRIM(Raw_Data!G415))</f>
        <v>Neet Prep</v>
      </c>
      <c r="I424" s="25" t="str">
        <f>PROPER(TRIM(Raw_Data!H415))</f>
        <v>Pune East</v>
      </c>
      <c r="J424" s="26">
        <f>IF(LEN(TRIM(Raw_Data!I415))=4,VALUE(TRIM(Raw_Data!I415)),IF(ISNUMBER(IFERROR(VALUE(MID(TRIM(Raw_Data!I415),1,4)),"NA")),VALUE(MID(TRIM(Raw_Data!I415),1,4)),VALUE(RIGHT(TRIM(Raw_Data!I415),4))))</f>
        <v>2019</v>
      </c>
      <c r="K424" s="25" t="str">
        <f>PROPER(TRIM(Raw_Data!J415))</f>
        <v>Homemaker</v>
      </c>
      <c r="L424" s="25" t="str">
        <f t="shared" si="18"/>
        <v>Under 10</v>
      </c>
      <c r="M424" s="25" t="str">
        <f t="shared" si="19"/>
        <v>Kids</v>
      </c>
      <c r="N424" s="25" t="str">
        <f>IF(ISNUMBER(SEARCH("NON",UPPER(Raw_Data!M415))),"Non-Premium Learner","Premium Learner")</f>
        <v>Premium Learner</v>
      </c>
      <c r="O424" s="25" t="str">
        <f>PROPER(TRIM(Raw_Data!N415))</f>
        <v>App Only</v>
      </c>
      <c r="P424" s="26">
        <f>IF(Raw_Data!O415="",$C$7,Raw_Data!O415)</f>
        <v>140763.82999999999</v>
      </c>
      <c r="Q424" s="25" t="str">
        <f>IF(Raw_Data!O415="","Missing-Imputed","Original")</f>
        <v>Original</v>
      </c>
      <c r="R424" s="26">
        <f>Raw_Data!P415</f>
        <v>31.7</v>
      </c>
      <c r="S424" s="26">
        <f>Raw_Data!Q415</f>
        <v>8238.73</v>
      </c>
      <c r="T424" s="25" t="str">
        <f>IF(Raw_Data!R415="","Unknown",IF(ISNUMBER(SEARCH("ACT",UPPER(Raw_Data!R415))),"Active",IF(ISNUMBER(SEARCH("CLOS",UPPER(Raw_Data!R415))),"Closed","None")))</f>
        <v>Closed</v>
      </c>
      <c r="U424" s="26">
        <f>IF(Raw_Data!S415="",$C$8,VALUE(Raw_Data!S415))</f>
        <v>684</v>
      </c>
      <c r="V424" s="25" t="str">
        <f>IF(Raw_Data!S415="","Missing-Imputed","Original")</f>
        <v>Original</v>
      </c>
      <c r="W424" s="26">
        <f>Raw_Data!T415</f>
        <v>190</v>
      </c>
      <c r="X424" s="25" t="str">
        <f>IF(ISNUMBER(SEARCH("Y",UPPER(TRIM(Raw_Data!U415)))),"Yes","No")</f>
        <v>Yes</v>
      </c>
      <c r="Y424" s="25" t="str">
        <f>IF(ISNUMBER(SEARCH("Y",UPPER(TRIM(Raw_Data!V415)))),"Yes","No")</f>
        <v>Yes</v>
      </c>
      <c r="Z424" s="26">
        <f>Raw_Data!W415</f>
        <v>4</v>
      </c>
      <c r="AA424" s="26">
        <f>Raw_Data!X415</f>
        <v>3.9</v>
      </c>
      <c r="AB424" s="25" t="str">
        <f>IF(COUNTIFS(Raw_Data!$A$2:$A$616,Raw_Data!A415)&gt;1,"Duplicate","Unique")</f>
        <v>Unique</v>
      </c>
      <c r="AC424" s="25" t="str">
        <f t="shared" si="20"/>
        <v>Clean</v>
      </c>
    </row>
    <row r="425" spans="1:29" ht="15" customHeight="1">
      <c r="A425" s="23" t="str">
        <f>Raw_Data!A416</f>
        <v>BYJ1415</v>
      </c>
      <c r="B425" s="23" t="str">
        <f>Raw_Data!B416</f>
        <v>Joshua Kapoor</v>
      </c>
      <c r="C425" s="24">
        <f>IF(OR(Raw_Data!C416="",Raw_Data!C416&lt;$C$5,Raw_Data!C416&gt;$C$6),$C$4,Raw_Data!C416)</f>
        <v>13</v>
      </c>
      <c r="D425" s="23" t="str">
        <f>IF(Raw_Data!C416="","Missing-Imputed",IF(OR(Raw_Data!C416&lt;$C$5,Raw_Data!C416&gt;$C$6),"Outlier-Imputed","Original"))</f>
        <v>Original</v>
      </c>
      <c r="E425" s="23" t="str">
        <f>IF(OR(UPPER(TRIM(Raw_Data!D416))="M",UPPER(TRIM(Raw_Data!D416))="MALE"),"Male","Female")</f>
        <v>Male</v>
      </c>
      <c r="F425" s="23" t="str">
        <f>PROPER(TRIM(Raw_Data!E416))</f>
        <v>Lucknow</v>
      </c>
      <c r="G425" s="23" t="str">
        <f>PROPER(TRIM(Raw_Data!F416))</f>
        <v>Kerala</v>
      </c>
      <c r="H425" s="23" t="str">
        <f>PROPER(TRIM(Raw_Data!G416))</f>
        <v>Mathematics</v>
      </c>
      <c r="I425" s="23" t="str">
        <f>PROPER(TRIM(Raw_Data!H416))</f>
        <v>Mumbai West</v>
      </c>
      <c r="J425" s="24">
        <f>IF(LEN(TRIM(Raw_Data!I416))=4,VALUE(TRIM(Raw_Data!I416)),IF(ISNUMBER(IFERROR(VALUE(MID(TRIM(Raw_Data!I416),1,4)),"NA")),VALUE(MID(TRIM(Raw_Data!I416),1,4)),VALUE(RIGHT(TRIM(Raw_Data!I416),4))))</f>
        <v>2019</v>
      </c>
      <c r="K425" s="23" t="str">
        <f>PROPER(TRIM(Raw_Data!J416))</f>
        <v>Retired</v>
      </c>
      <c r="L425" s="23" t="str">
        <f t="shared" si="18"/>
        <v>10-13</v>
      </c>
      <c r="M425" s="23" t="str">
        <f t="shared" si="19"/>
        <v>Kids</v>
      </c>
      <c r="N425" s="23" t="str">
        <f>IF(ISNUMBER(SEARCH("NON",UPPER(Raw_Data!M416))),"Non-Premium Learner","Premium Learner")</f>
        <v>Non-Premium Learner</v>
      </c>
      <c r="O425" s="23" t="str">
        <f>PROPER(TRIM(Raw_Data!N416))</f>
        <v>App Only</v>
      </c>
      <c r="P425" s="24">
        <f>IF(Raw_Data!O416="",$C$7,Raw_Data!O416)</f>
        <v>147847.06</v>
      </c>
      <c r="Q425" s="23" t="str">
        <f>IF(Raw_Data!O416="","Missing-Imputed","Original")</f>
        <v>Original</v>
      </c>
      <c r="R425" s="24">
        <f>Raw_Data!P416</f>
        <v>32</v>
      </c>
      <c r="S425" s="24">
        <f>Raw_Data!Q416</f>
        <v>15317.07</v>
      </c>
      <c r="T425" s="23" t="str">
        <f>IF(Raw_Data!R416="","Unknown",IF(ISNUMBER(SEARCH("ACT",UPPER(Raw_Data!R416))),"Active",IF(ISNUMBER(SEARCH("CLOS",UPPER(Raw_Data!R416))),"Closed","None")))</f>
        <v>Active</v>
      </c>
      <c r="U425" s="24" t="e">
        <f>IF(Raw_Data!S416="",$C$8,VALUE(Raw_Data!S416))</f>
        <v>#VALUE!</v>
      </c>
      <c r="V425" s="23" t="str">
        <f>IF(Raw_Data!S416="","Missing-Imputed","Original")</f>
        <v>Original</v>
      </c>
      <c r="W425" s="24">
        <f>Raw_Data!T416</f>
        <v>107</v>
      </c>
      <c r="X425" s="23" t="str">
        <f>IF(ISNUMBER(SEARCH("Y",UPPER(TRIM(Raw_Data!U416)))),"Yes","No")</f>
        <v>No</v>
      </c>
      <c r="Y425" s="23" t="str">
        <f>IF(ISNUMBER(SEARCH("Y",UPPER(TRIM(Raw_Data!V416)))),"Yes","No")</f>
        <v>No</v>
      </c>
      <c r="Z425" s="24">
        <f>Raw_Data!W416</f>
        <v>3</v>
      </c>
      <c r="AA425" s="24">
        <f>Raw_Data!X416</f>
        <v>7.6</v>
      </c>
      <c r="AB425" s="23" t="str">
        <f>IF(COUNTIFS(Raw_Data!$A$2:$A$616,Raw_Data!A416)&gt;1,"Duplicate","Unique")</f>
        <v>Unique</v>
      </c>
      <c r="AC425" s="23" t="str">
        <f t="shared" si="20"/>
        <v>Clean</v>
      </c>
    </row>
    <row r="426" spans="1:29" ht="15" customHeight="1">
      <c r="A426" s="25" t="str">
        <f>Raw_Data!A417</f>
        <v>BYJ1416</v>
      </c>
      <c r="B426" s="25" t="str">
        <f>Raw_Data!B417</f>
        <v>Ubika Samra</v>
      </c>
      <c r="C426" s="26">
        <f>IF(OR(Raw_Data!C417="",Raw_Data!C417&lt;$C$5,Raw_Data!C417&gt;$C$6),$C$4,Raw_Data!C417)</f>
        <v>25</v>
      </c>
      <c r="D426" s="25" t="str">
        <f>IF(Raw_Data!C417="","Missing-Imputed",IF(OR(Raw_Data!C417&lt;$C$5,Raw_Data!C417&gt;$C$6),"Outlier-Imputed","Original"))</f>
        <v>Original</v>
      </c>
      <c r="E426" s="25" t="str">
        <f>IF(OR(UPPER(TRIM(Raw_Data!D417))="M",UPPER(TRIM(Raw_Data!D417))="MALE"),"Male","Female")</f>
        <v>Male</v>
      </c>
      <c r="F426" s="25" t="str">
        <f>PROPER(TRIM(Raw_Data!E417))</f>
        <v>Berhampur</v>
      </c>
      <c r="G426" s="25" t="str">
        <f>PROPER(TRIM(Raw_Data!F417))</f>
        <v>West Bengal</v>
      </c>
      <c r="H426" s="25" t="str">
        <f>PROPER(TRIM(Raw_Data!G417))</f>
        <v>Spoken English</v>
      </c>
      <c r="I426" s="25" t="str">
        <f>PROPER(TRIM(Raw_Data!H417))</f>
        <v>Chennai Central</v>
      </c>
      <c r="J426" s="26">
        <f>IF(LEN(TRIM(Raw_Data!I417))=4,VALUE(TRIM(Raw_Data!I417)),IF(ISNUMBER(IFERROR(VALUE(MID(TRIM(Raw_Data!I417),1,4)),"NA")),VALUE(MID(TRIM(Raw_Data!I417),1,4)),VALUE(RIGHT(TRIM(Raw_Data!I417),4))))</f>
        <v>46043</v>
      </c>
      <c r="K426" s="25" t="str">
        <f>PROPER(TRIM(Raw_Data!J417))</f>
        <v>Salaried</v>
      </c>
      <c r="L426" s="25" t="str">
        <f t="shared" si="18"/>
        <v>20+</v>
      </c>
      <c r="M426" s="25" t="str">
        <f t="shared" si="19"/>
        <v>Adult Learners</v>
      </c>
      <c r="N426" s="25" t="str">
        <f>IF(ISNUMBER(SEARCH("NON",UPPER(Raw_Data!M417))),"Non-Premium Learner","Premium Learner")</f>
        <v>Premium Learner</v>
      </c>
      <c r="O426" s="25" t="str">
        <f>PROPER(TRIM(Raw_Data!N417))</f>
        <v>Both App &amp; Web</v>
      </c>
      <c r="P426" s="26">
        <f>IF(Raw_Data!O417="",$C$7,Raw_Data!O417)</f>
        <v>6344.72</v>
      </c>
      <c r="Q426" s="25" t="str">
        <f>IF(Raw_Data!O417="","Missing-Imputed","Original")</f>
        <v>Original</v>
      </c>
      <c r="R426" s="26">
        <f>Raw_Data!P417</f>
        <v>15.5</v>
      </c>
      <c r="S426" s="26">
        <f>Raw_Data!Q417</f>
        <v>28188.76</v>
      </c>
      <c r="T426" s="25" t="str">
        <f>IF(Raw_Data!R417="","Unknown",IF(ISNUMBER(SEARCH("ACT",UPPER(Raw_Data!R417))),"Active",IF(ISNUMBER(SEARCH("CLOS",UPPER(Raw_Data!R417))),"Closed","None")))</f>
        <v>Active</v>
      </c>
      <c r="U426" s="26">
        <f>IF(Raw_Data!S417="",$C$8,VALUE(Raw_Data!S417))</f>
        <v>514</v>
      </c>
      <c r="V426" s="25" t="str">
        <f>IF(Raw_Data!S417="","Missing-Imputed","Original")</f>
        <v>Original</v>
      </c>
      <c r="W426" s="26">
        <f>Raw_Data!T417</f>
        <v>169</v>
      </c>
      <c r="X426" s="25" t="str">
        <f>IF(ISNUMBER(SEARCH("Y",UPPER(TRIM(Raw_Data!U417)))),"Yes","No")</f>
        <v>No</v>
      </c>
      <c r="Y426" s="25" t="str">
        <f>IF(ISNUMBER(SEARCH("Y",UPPER(TRIM(Raw_Data!V417)))),"Yes","No")</f>
        <v>No</v>
      </c>
      <c r="Z426" s="26">
        <f>Raw_Data!W417</f>
        <v>4</v>
      </c>
      <c r="AA426" s="26">
        <f>Raw_Data!X417</f>
        <v>2</v>
      </c>
      <c r="AB426" s="25" t="str">
        <f>IF(COUNTIFS(Raw_Data!$A$2:$A$616,Raw_Data!A417)&gt;1,"Duplicate","Unique")</f>
        <v>Unique</v>
      </c>
      <c r="AC426" s="25" t="str">
        <f t="shared" si="20"/>
        <v>Clean</v>
      </c>
    </row>
    <row r="427" spans="1:29" ht="15" customHeight="1">
      <c r="A427" s="23" t="str">
        <f>Raw_Data!A418</f>
        <v>BYJ1417</v>
      </c>
      <c r="B427" s="23" t="str">
        <f>Raw_Data!B418</f>
        <v>Triveni Pal</v>
      </c>
      <c r="C427" s="24">
        <f>IF(OR(Raw_Data!C418="",Raw_Data!C418&lt;$C$5,Raw_Data!C418&gt;$C$6),$C$4,Raw_Data!C418)</f>
        <v>17</v>
      </c>
      <c r="D427" s="23" t="str">
        <f>IF(Raw_Data!C418="","Missing-Imputed",IF(OR(Raw_Data!C418&lt;$C$5,Raw_Data!C418&gt;$C$6),"Outlier-Imputed","Original"))</f>
        <v>Original</v>
      </c>
      <c r="E427" s="23" t="str">
        <f>IF(OR(UPPER(TRIM(Raw_Data!D418))="M",UPPER(TRIM(Raw_Data!D418))="MALE"),"Male","Female")</f>
        <v>Female</v>
      </c>
      <c r="F427" s="23" t="str">
        <f>PROPER(TRIM(Raw_Data!E418))</f>
        <v>Bally</v>
      </c>
      <c r="G427" s="23" t="str">
        <f>PROPER(TRIM(Raw_Data!F418))</f>
        <v>Tamil Nadu</v>
      </c>
      <c r="H427" s="23" t="str">
        <f>PROPER(TRIM(Raw_Data!G418))</f>
        <v>Spoken English</v>
      </c>
      <c r="I427" s="23" t="str">
        <f>PROPER(TRIM(Raw_Data!H418))</f>
        <v>Delhi North</v>
      </c>
      <c r="J427" s="24">
        <f>IF(LEN(TRIM(Raw_Data!I418))=4,VALUE(TRIM(Raw_Data!I418)),IF(ISNUMBER(IFERROR(VALUE(MID(TRIM(Raw_Data!I418),1,4)),"NA")),VALUE(MID(TRIM(Raw_Data!I418),1,4)),VALUE(RIGHT(TRIM(Raw_Data!I418),4))))</f>
        <v>2020</v>
      </c>
      <c r="K427" s="23" t="str">
        <f>PROPER(TRIM(Raw_Data!J418))</f>
        <v>Homemaker</v>
      </c>
      <c r="L427" s="23" t="str">
        <f t="shared" si="18"/>
        <v>17-19</v>
      </c>
      <c r="M427" s="23" t="str">
        <f t="shared" si="19"/>
        <v>Teens</v>
      </c>
      <c r="N427" s="23" t="str">
        <f>IF(ISNUMBER(SEARCH("NON",UPPER(Raw_Data!M418))),"Non-Premium Learner","Premium Learner")</f>
        <v>Non-Premium Learner</v>
      </c>
      <c r="O427" s="23" t="str">
        <f>PROPER(TRIM(Raw_Data!N418))</f>
        <v>App Only</v>
      </c>
      <c r="P427" s="24">
        <f>IF(Raw_Data!O418="",$C$7,Raw_Data!O418)</f>
        <v>53079.4</v>
      </c>
      <c r="Q427" s="23" t="str">
        <f>IF(Raw_Data!O418="","Missing-Imputed","Original")</f>
        <v>Original</v>
      </c>
      <c r="R427" s="24">
        <f>Raw_Data!P418</f>
        <v>7.6</v>
      </c>
      <c r="S427" s="24">
        <f>Raw_Data!Q418</f>
        <v>52321.69</v>
      </c>
      <c r="T427" s="23" t="str">
        <f>IF(Raw_Data!R418="","Unknown",IF(ISNUMBER(SEARCH("ACT",UPPER(Raw_Data!R418))),"Active",IF(ISNUMBER(SEARCH("CLOS",UPPER(Raw_Data!R418))),"Closed","None")))</f>
        <v>Closed</v>
      </c>
      <c r="U427" s="24">
        <f>IF(Raw_Data!S418="",$C$8,VALUE(Raw_Data!S418))</f>
        <v>852</v>
      </c>
      <c r="V427" s="23" t="str">
        <f>IF(Raw_Data!S418="","Missing-Imputed","Original")</f>
        <v>Original</v>
      </c>
      <c r="W427" s="24">
        <f>Raw_Data!T418</f>
        <v>153</v>
      </c>
      <c r="X427" s="23" t="str">
        <f>IF(ISNUMBER(SEARCH("Y",UPPER(TRIM(Raw_Data!U418)))),"Yes","No")</f>
        <v>Yes</v>
      </c>
      <c r="Y427" s="23" t="str">
        <f>IF(ISNUMBER(SEARCH("Y",UPPER(TRIM(Raw_Data!V418)))),"Yes","No")</f>
        <v>Yes</v>
      </c>
      <c r="Z427" s="24">
        <f>Raw_Data!W418</f>
        <v>3</v>
      </c>
      <c r="AA427" s="24">
        <f>Raw_Data!X418</f>
        <v>8.1</v>
      </c>
      <c r="AB427" s="23" t="str">
        <f>IF(COUNTIFS(Raw_Data!$A$2:$A$616,Raw_Data!A418)&gt;1,"Duplicate","Unique")</f>
        <v>Unique</v>
      </c>
      <c r="AC427" s="23" t="str">
        <f t="shared" si="20"/>
        <v>Clean</v>
      </c>
    </row>
    <row r="428" spans="1:29" ht="15" customHeight="1">
      <c r="A428" s="25" t="str">
        <f>Raw_Data!A419</f>
        <v>BYJ1418</v>
      </c>
      <c r="B428" s="25" t="str">
        <f>Raw_Data!B419</f>
        <v>Isaiah Balay</v>
      </c>
      <c r="C428" s="26">
        <f>IF(OR(Raw_Data!C419="",Raw_Data!C419&lt;$C$5,Raw_Data!C419&gt;$C$6),$C$4,Raw_Data!C419)</f>
        <v>13</v>
      </c>
      <c r="D428" s="25" t="str">
        <f>IF(Raw_Data!C419="","Missing-Imputed",IF(OR(Raw_Data!C419&lt;$C$5,Raw_Data!C419&gt;$C$6),"Outlier-Imputed","Original"))</f>
        <v>Original</v>
      </c>
      <c r="E428" s="25" t="str">
        <f>IF(OR(UPPER(TRIM(Raw_Data!D419))="M",UPPER(TRIM(Raw_Data!D419))="MALE"),"Male","Female")</f>
        <v>Female</v>
      </c>
      <c r="F428" s="25" t="str">
        <f>PROPER(TRIM(Raw_Data!E419))</f>
        <v>Srikakulam</v>
      </c>
      <c r="G428" s="25" t="str">
        <f>PROPER(TRIM(Raw_Data!F419))</f>
        <v>Uttar Pradesh</v>
      </c>
      <c r="H428" s="25" t="str">
        <f>PROPER(TRIM(Raw_Data!G419))</f>
        <v>Spoken English</v>
      </c>
      <c r="I428" s="25" t="str">
        <f>PROPER(TRIM(Raw_Data!H419))</f>
        <v>Mumbai West</v>
      </c>
      <c r="J428" s="26">
        <f>IF(LEN(TRIM(Raw_Data!I419))=4,VALUE(TRIM(Raw_Data!I419)),IF(ISNUMBER(IFERROR(VALUE(MID(TRIM(Raw_Data!I419),1,4)),"NA")),VALUE(MID(TRIM(Raw_Data!I419),1,4)),VALUE(RIGHT(TRIM(Raw_Data!I419),4))))</f>
        <v>46023</v>
      </c>
      <c r="K428" s="25" t="str">
        <f>PROPER(TRIM(Raw_Data!J419))</f>
        <v>Self-Employed</v>
      </c>
      <c r="L428" s="25" t="str">
        <f t="shared" si="18"/>
        <v>10-13</v>
      </c>
      <c r="M428" s="25" t="str">
        <f t="shared" si="19"/>
        <v>Kids</v>
      </c>
      <c r="N428" s="25" t="str">
        <f>IF(ISNUMBER(SEARCH("NON",UPPER(Raw_Data!M419))),"Non-Premium Learner","Premium Learner")</f>
        <v>Non-Premium Learner</v>
      </c>
      <c r="O428" s="25" t="str">
        <f>PROPER(TRIM(Raw_Data!N419))</f>
        <v>App Only</v>
      </c>
      <c r="P428" s="26">
        <f>IF(Raw_Data!O419="",$C$7,Raw_Data!O419)</f>
        <v>51817.09</v>
      </c>
      <c r="Q428" s="25" t="str">
        <f>IF(Raw_Data!O419="","Missing-Imputed","Original")</f>
        <v>Original</v>
      </c>
      <c r="R428" s="26">
        <f>Raw_Data!P419</f>
        <v>76.8</v>
      </c>
      <c r="S428" s="26">
        <f>Raw_Data!Q419</f>
        <v>40105.919999999998</v>
      </c>
      <c r="T428" s="25" t="str">
        <f>IF(Raw_Data!R419="","Unknown",IF(ISNUMBER(SEARCH("ACT",UPPER(Raw_Data!R419))),"Active",IF(ISNUMBER(SEARCH("CLOS",UPPER(Raw_Data!R419))),"Closed","None")))</f>
        <v>Active</v>
      </c>
      <c r="U428" s="26">
        <f>IF(Raw_Data!S419="",$C$8,VALUE(Raw_Data!S419))</f>
        <v>804</v>
      </c>
      <c r="V428" s="25" t="str">
        <f>IF(Raw_Data!S419="","Missing-Imputed","Original")</f>
        <v>Original</v>
      </c>
      <c r="W428" s="26">
        <f>Raw_Data!T419</f>
        <v>146</v>
      </c>
      <c r="X428" s="25" t="str">
        <f>IF(ISNUMBER(SEARCH("Y",UPPER(TRIM(Raw_Data!U419)))),"Yes","No")</f>
        <v>Yes</v>
      </c>
      <c r="Y428" s="25" t="str">
        <f>IF(ISNUMBER(SEARCH("Y",UPPER(TRIM(Raw_Data!V419)))),"Yes","No")</f>
        <v>Yes</v>
      </c>
      <c r="Z428" s="26">
        <f>Raw_Data!W419</f>
        <v>2</v>
      </c>
      <c r="AA428" s="26">
        <f>Raw_Data!X419</f>
        <v>2.4</v>
      </c>
      <c r="AB428" s="25" t="str">
        <f>IF(COUNTIFS(Raw_Data!$A$2:$A$616,Raw_Data!A419)&gt;1,"Duplicate","Unique")</f>
        <v>Unique</v>
      </c>
      <c r="AC428" s="25" t="str">
        <f t="shared" si="20"/>
        <v>Clean</v>
      </c>
    </row>
    <row r="429" spans="1:29" ht="15" customHeight="1">
      <c r="A429" s="23" t="str">
        <f>Raw_Data!A420</f>
        <v>BYJ1419</v>
      </c>
      <c r="B429" s="23" t="str">
        <f>Raw_Data!B420</f>
        <v>Wridesh Jhaveri</v>
      </c>
      <c r="C429" s="24">
        <f>IF(OR(Raw_Data!C420="",Raw_Data!C420&lt;$C$5,Raw_Data!C420&gt;$C$6),$C$4,Raw_Data!C420)</f>
        <v>31</v>
      </c>
      <c r="D429" s="23" t="str">
        <f>IF(Raw_Data!C420="","Missing-Imputed",IF(OR(Raw_Data!C420&lt;$C$5,Raw_Data!C420&gt;$C$6),"Outlier-Imputed","Original"))</f>
        <v>Original</v>
      </c>
      <c r="E429" s="23" t="str">
        <f>IF(OR(UPPER(TRIM(Raw_Data!D420))="M",UPPER(TRIM(Raw_Data!D420))="MALE"),"Male","Female")</f>
        <v>Female</v>
      </c>
      <c r="F429" s="23" t="str">
        <f>PROPER(TRIM(Raw_Data!E420))</f>
        <v>Salem</v>
      </c>
      <c r="G429" s="23" t="str">
        <f>PROPER(TRIM(Raw_Data!F420))</f>
        <v>Delhi</v>
      </c>
      <c r="H429" s="23" t="str">
        <f>PROPER(TRIM(Raw_Data!G420))</f>
        <v>Jee Prep</v>
      </c>
      <c r="I429" s="23" t="str">
        <f>PROPER(TRIM(Raw_Data!H420))</f>
        <v>Mumbai West</v>
      </c>
      <c r="J429" s="24">
        <f>IF(LEN(TRIM(Raw_Data!I420))=4,VALUE(TRIM(Raw_Data!I420)),IF(ISNUMBER(IFERROR(VALUE(MID(TRIM(Raw_Data!I420),1,4)),"NA")),VALUE(MID(TRIM(Raw_Data!I420),1,4)),VALUE(RIGHT(TRIM(Raw_Data!I420),4))))</f>
        <v>2020</v>
      </c>
      <c r="K429" s="23" t="str">
        <f>PROPER(TRIM(Raw_Data!J420))</f>
        <v>Retired</v>
      </c>
      <c r="L429" s="23" t="str">
        <f t="shared" si="18"/>
        <v>20+</v>
      </c>
      <c r="M429" s="23" t="str">
        <f t="shared" si="19"/>
        <v>Adult Learners</v>
      </c>
      <c r="N429" s="23" t="str">
        <f>IF(ISNUMBER(SEARCH("NON",UPPER(Raw_Data!M420))),"Non-Premium Learner","Premium Learner")</f>
        <v>Non-Premium Learner</v>
      </c>
      <c r="O429" s="23" t="str">
        <f>PROPER(TRIM(Raw_Data!N420))</f>
        <v>Web Only</v>
      </c>
      <c r="P429" s="24">
        <f>IF(Raw_Data!O420="",$C$7,Raw_Data!O420)</f>
        <v>115184.57</v>
      </c>
      <c r="Q429" s="23" t="str">
        <f>IF(Raw_Data!O420="","Missing-Imputed","Original")</f>
        <v>Original</v>
      </c>
      <c r="R429" s="24">
        <f>Raw_Data!P420</f>
        <v>36.700000000000003</v>
      </c>
      <c r="S429" s="24">
        <f>Raw_Data!Q420</f>
        <v>39672.11</v>
      </c>
      <c r="T429" s="23" t="str">
        <f>IF(Raw_Data!R420="","Unknown",IF(ISNUMBER(SEARCH("ACT",UPPER(Raw_Data!R420))),"Active",IF(ISNUMBER(SEARCH("CLOS",UPPER(Raw_Data!R420))),"Closed","None")))</f>
        <v>None</v>
      </c>
      <c r="U429" s="24">
        <f>IF(Raw_Data!S420="",$C$8,VALUE(Raw_Data!S420))</f>
        <v>694</v>
      </c>
      <c r="V429" s="23" t="str">
        <f>IF(Raw_Data!S420="","Missing-Imputed","Original")</f>
        <v>Original</v>
      </c>
      <c r="W429" s="24">
        <f>Raw_Data!T420</f>
        <v>50</v>
      </c>
      <c r="X429" s="23" t="str">
        <f>IF(ISNUMBER(SEARCH("Y",UPPER(TRIM(Raw_Data!U420)))),"Yes","No")</f>
        <v>Yes</v>
      </c>
      <c r="Y429" s="23" t="str">
        <f>IF(ISNUMBER(SEARCH("Y",UPPER(TRIM(Raw_Data!V420)))),"Yes","No")</f>
        <v>Yes</v>
      </c>
      <c r="Z429" s="24">
        <f>Raw_Data!W420</f>
        <v>2</v>
      </c>
      <c r="AA429" s="24">
        <f>Raw_Data!X420</f>
        <v>1.9</v>
      </c>
      <c r="AB429" s="23" t="str">
        <f>IF(COUNTIFS(Raw_Data!$A$2:$A$616,Raw_Data!A420)&gt;1,"Duplicate","Unique")</f>
        <v>Unique</v>
      </c>
      <c r="AC429" s="23" t="str">
        <f t="shared" si="20"/>
        <v>Clean</v>
      </c>
    </row>
    <row r="430" spans="1:29" ht="15" customHeight="1">
      <c r="A430" s="25" t="str">
        <f>Raw_Data!A421</f>
        <v>BYJ1420</v>
      </c>
      <c r="B430" s="25" t="str">
        <f>Raw_Data!B421</f>
        <v>Sanya Bava</v>
      </c>
      <c r="C430" s="26">
        <f>IF(OR(Raw_Data!C421="",Raw_Data!C421&lt;$C$5,Raw_Data!C421&gt;$C$6),$C$4,Raw_Data!C421)</f>
        <v>36</v>
      </c>
      <c r="D430" s="25" t="str">
        <f>IF(Raw_Data!C421="","Missing-Imputed",IF(OR(Raw_Data!C421&lt;$C$5,Raw_Data!C421&gt;$C$6),"Outlier-Imputed","Original"))</f>
        <v>Original</v>
      </c>
      <c r="E430" s="25" t="str">
        <f>IF(OR(UPPER(TRIM(Raw_Data!D421))="M",UPPER(TRIM(Raw_Data!D421))="MALE"),"Male","Female")</f>
        <v>Female</v>
      </c>
      <c r="F430" s="25" t="str">
        <f>PROPER(TRIM(Raw_Data!E421))</f>
        <v>Varanasi</v>
      </c>
      <c r="G430" s="25" t="str">
        <f>PROPER(TRIM(Raw_Data!F421))</f>
        <v>Kerala</v>
      </c>
      <c r="H430" s="25" t="str">
        <f>PROPER(TRIM(Raw_Data!G421))</f>
        <v>Robotics</v>
      </c>
      <c r="I430" s="25" t="str">
        <f>PROPER(TRIM(Raw_Data!H421))</f>
        <v>Ahmedabad Center</v>
      </c>
      <c r="J430" s="26">
        <f>IF(LEN(TRIM(Raw_Data!I421))=4,VALUE(TRIM(Raw_Data!I421)),IF(ISNUMBER(IFERROR(VALUE(MID(TRIM(Raw_Data!I421),1,4)),"NA")),VALUE(MID(TRIM(Raw_Data!I421),1,4)),VALUE(RIGHT(TRIM(Raw_Data!I421),4))))</f>
        <v>2019</v>
      </c>
      <c r="K430" s="25" t="str">
        <f>PROPER(TRIM(Raw_Data!J421))</f>
        <v>Government Employee</v>
      </c>
      <c r="L430" s="25" t="str">
        <f t="shared" si="18"/>
        <v>20+</v>
      </c>
      <c r="M430" s="25" t="str">
        <f t="shared" si="19"/>
        <v>Adult Learners</v>
      </c>
      <c r="N430" s="25" t="str">
        <f>IF(ISNUMBER(SEARCH("NON",UPPER(Raw_Data!M421))),"Non-Premium Learner","Premium Learner")</f>
        <v>Non-Premium Learner</v>
      </c>
      <c r="O430" s="25" t="str">
        <f>PROPER(TRIM(Raw_Data!N421))</f>
        <v>Both App &amp; Web</v>
      </c>
      <c r="P430" s="26">
        <f>IF(Raw_Data!O421="",$C$7,Raw_Data!O421)</f>
        <v>116434.1</v>
      </c>
      <c r="Q430" s="25" t="str">
        <f>IF(Raw_Data!O421="","Missing-Imputed","Original")</f>
        <v>Original</v>
      </c>
      <c r="R430" s="26">
        <f>Raw_Data!P421</f>
        <v>30.3</v>
      </c>
      <c r="S430" s="26">
        <f>Raw_Data!Q421</f>
        <v>53551.61</v>
      </c>
      <c r="T430" s="25" t="str">
        <f>IF(Raw_Data!R421="","Unknown",IF(ISNUMBER(SEARCH("ACT",UPPER(Raw_Data!R421))),"Active",IF(ISNUMBER(SEARCH("CLOS",UPPER(Raw_Data!R421))),"Closed","None")))</f>
        <v>Closed</v>
      </c>
      <c r="U430" s="26">
        <f>IF(Raw_Data!S421="",$C$8,VALUE(Raw_Data!S421))</f>
        <v>799</v>
      </c>
      <c r="V430" s="25" t="str">
        <f>IF(Raw_Data!S421="","Missing-Imputed","Original")</f>
        <v>Original</v>
      </c>
      <c r="W430" s="26">
        <f>Raw_Data!T421</f>
        <v>116</v>
      </c>
      <c r="X430" s="25" t="str">
        <f>IF(ISNUMBER(SEARCH("Y",UPPER(TRIM(Raw_Data!U421)))),"Yes","No")</f>
        <v>Yes</v>
      </c>
      <c r="Y430" s="25" t="str">
        <f>IF(ISNUMBER(SEARCH("Y",UPPER(TRIM(Raw_Data!V421)))),"Yes","No")</f>
        <v>No</v>
      </c>
      <c r="Z430" s="26">
        <f>Raw_Data!W421</f>
        <v>3</v>
      </c>
      <c r="AA430" s="26">
        <f>Raw_Data!X421</f>
        <v>4.0999999999999996</v>
      </c>
      <c r="AB430" s="25" t="str">
        <f>IF(COUNTIFS(Raw_Data!$A$2:$A$616,Raw_Data!A421)&gt;1,"Duplicate","Unique")</f>
        <v>Unique</v>
      </c>
      <c r="AC430" s="25" t="str">
        <f t="shared" si="20"/>
        <v>Clean</v>
      </c>
    </row>
    <row r="431" spans="1:29" ht="15" customHeight="1">
      <c r="A431" s="23" t="str">
        <f>Raw_Data!A422</f>
        <v>BYJ1421</v>
      </c>
      <c r="B431" s="23" t="str">
        <f>Raw_Data!B422</f>
        <v xml:space="preserve">  Reva Kaur  </v>
      </c>
      <c r="C431" s="24">
        <f>IF(OR(Raw_Data!C422="",Raw_Data!C422&lt;$C$5,Raw_Data!C422&gt;$C$6),$C$4,Raw_Data!C422)</f>
        <v>12</v>
      </c>
      <c r="D431" s="23" t="str">
        <f>IF(Raw_Data!C422="","Missing-Imputed",IF(OR(Raw_Data!C422&lt;$C$5,Raw_Data!C422&gt;$C$6),"Outlier-Imputed","Original"))</f>
        <v>Original</v>
      </c>
      <c r="E431" s="23" t="str">
        <f>IF(OR(UPPER(TRIM(Raw_Data!D422))="M",UPPER(TRIM(Raw_Data!D422))="MALE"),"Male","Female")</f>
        <v>Male</v>
      </c>
      <c r="F431" s="23" t="str">
        <f>PROPER(TRIM(Raw_Data!E422))</f>
        <v>Pimpri-Chinchwad</v>
      </c>
      <c r="G431" s="23" t="str">
        <f>PROPER(TRIM(Raw_Data!F422))</f>
        <v>Karnataka</v>
      </c>
      <c r="H431" s="23" t="str">
        <f>PROPER(TRIM(Raw_Data!G422))</f>
        <v>Jee Prep</v>
      </c>
      <c r="I431" s="23" t="str">
        <f>PROPER(TRIM(Raw_Data!H422))</f>
        <v>Mumbai West</v>
      </c>
      <c r="J431" s="24">
        <f>IF(LEN(TRIM(Raw_Data!I422))=4,VALUE(TRIM(Raw_Data!I422)),IF(ISNUMBER(IFERROR(VALUE(MID(TRIM(Raw_Data!I422),1,4)),"NA")),VALUE(MID(TRIM(Raw_Data!I422),1,4)),VALUE(RIGHT(TRIM(Raw_Data!I422),4))))</f>
        <v>2021</v>
      </c>
      <c r="K431" s="23" t="str">
        <f>PROPER(TRIM(Raw_Data!J422))</f>
        <v>Government Employee</v>
      </c>
      <c r="L431" s="23" t="str">
        <f t="shared" si="18"/>
        <v>10-13</v>
      </c>
      <c r="M431" s="23" t="str">
        <f t="shared" si="19"/>
        <v>Kids</v>
      </c>
      <c r="N431" s="23" t="str">
        <f>IF(ISNUMBER(SEARCH("NON",UPPER(Raw_Data!M422))),"Non-Premium Learner","Premium Learner")</f>
        <v>Non-Premium Learner</v>
      </c>
      <c r="O431" s="23" t="str">
        <f>PROPER(TRIM(Raw_Data!N422))</f>
        <v>Both App &amp; Web</v>
      </c>
      <c r="P431" s="24">
        <f>IF(Raw_Data!O422="",$C$7,Raw_Data!O422)</f>
        <v>31478.79</v>
      </c>
      <c r="Q431" s="23" t="str">
        <f>IF(Raw_Data!O422="","Missing-Imputed","Original")</f>
        <v>Original</v>
      </c>
      <c r="R431" s="24">
        <f>Raw_Data!P422</f>
        <v>71.400000000000006</v>
      </c>
      <c r="S431" s="24">
        <f>Raw_Data!Q422</f>
        <v>30654.28</v>
      </c>
      <c r="T431" s="23" t="str">
        <f>IF(Raw_Data!R422="","Unknown",IF(ISNUMBER(SEARCH("ACT",UPPER(Raw_Data!R422))),"Active",IF(ISNUMBER(SEARCH("CLOS",UPPER(Raw_Data!R422))),"Closed","None")))</f>
        <v>Active</v>
      </c>
      <c r="U431" s="24">
        <f>IF(Raw_Data!S422="",$C$8,VALUE(Raw_Data!S422))</f>
        <v>317</v>
      </c>
      <c r="V431" s="23" t="str">
        <f>IF(Raw_Data!S422="","Missing-Imputed","Original")</f>
        <v>Original</v>
      </c>
      <c r="W431" s="24">
        <f>Raw_Data!T422</f>
        <v>190</v>
      </c>
      <c r="X431" s="23" t="str">
        <f>IF(ISNUMBER(SEARCH("Y",UPPER(TRIM(Raw_Data!U422)))),"Yes","No")</f>
        <v>No</v>
      </c>
      <c r="Y431" s="23" t="str">
        <f>IF(ISNUMBER(SEARCH("Y",UPPER(TRIM(Raw_Data!V422)))),"Yes","No")</f>
        <v>Yes</v>
      </c>
      <c r="Z431" s="24">
        <f>Raw_Data!W422</f>
        <v>5</v>
      </c>
      <c r="AA431" s="24">
        <f>Raw_Data!X422</f>
        <v>2.5</v>
      </c>
      <c r="AB431" s="23" t="str">
        <f>IF(COUNTIFS(Raw_Data!$A$2:$A$616,Raw_Data!A422)&gt;1,"Duplicate","Unique")</f>
        <v>Unique</v>
      </c>
      <c r="AC431" s="23" t="str">
        <f t="shared" si="20"/>
        <v>Clean</v>
      </c>
    </row>
    <row r="432" spans="1:29" ht="15" customHeight="1">
      <c r="A432" s="25" t="str">
        <f>Raw_Data!A423</f>
        <v>BYJ1422</v>
      </c>
      <c r="B432" s="25" t="str">
        <f>Raw_Data!B423</f>
        <v>Yahvi Mann</v>
      </c>
      <c r="C432" s="26">
        <f>IF(OR(Raw_Data!C423="",Raw_Data!C423&lt;$C$5,Raw_Data!C423&gt;$C$6),$C$4,Raw_Data!C423)</f>
        <v>29</v>
      </c>
      <c r="D432" s="25" t="str">
        <f>IF(Raw_Data!C423="","Missing-Imputed",IF(OR(Raw_Data!C423&lt;$C$5,Raw_Data!C423&gt;$C$6),"Outlier-Imputed","Original"))</f>
        <v>Original</v>
      </c>
      <c r="E432" s="25" t="str">
        <f>IF(OR(UPPER(TRIM(Raw_Data!D423))="M",UPPER(TRIM(Raw_Data!D423))="MALE"),"Male","Female")</f>
        <v>Male</v>
      </c>
      <c r="F432" s="25" t="str">
        <f>PROPER(TRIM(Raw_Data!E423))</f>
        <v>Ramgarh</v>
      </c>
      <c r="G432" s="25" t="str">
        <f>PROPER(TRIM(Raw_Data!F423))</f>
        <v>Kerala</v>
      </c>
      <c r="H432" s="25" t="str">
        <f>PROPER(TRIM(Raw_Data!G423))</f>
        <v>English</v>
      </c>
      <c r="I432" s="25" t="str">
        <f>PROPER(TRIM(Raw_Data!H423))</f>
        <v>Mumbai West</v>
      </c>
      <c r="J432" s="26">
        <f>IF(LEN(TRIM(Raw_Data!I423))=4,VALUE(TRIM(Raw_Data!I423)),IF(ISNUMBER(IFERROR(VALUE(MID(TRIM(Raw_Data!I423),1,4)),"NA")),VALUE(MID(TRIM(Raw_Data!I423),1,4)),VALUE(RIGHT(TRIM(Raw_Data!I423),4))))</f>
        <v>2024</v>
      </c>
      <c r="K432" s="25" t="str">
        <f>PROPER(TRIM(Raw_Data!J423))</f>
        <v>Homemaker</v>
      </c>
      <c r="L432" s="25" t="str">
        <f t="shared" si="18"/>
        <v>20+</v>
      </c>
      <c r="M432" s="25" t="str">
        <f t="shared" si="19"/>
        <v>Adult Learners</v>
      </c>
      <c r="N432" s="25" t="str">
        <f>IF(ISNUMBER(SEARCH("NON",UPPER(Raw_Data!M423))),"Non-Premium Learner","Premium Learner")</f>
        <v>Premium Learner</v>
      </c>
      <c r="O432" s="25" t="str">
        <f>PROPER(TRIM(Raw_Data!N423))</f>
        <v>Web Only</v>
      </c>
      <c r="P432" s="26">
        <f>IF(Raw_Data!O423="",$C$7,Raw_Data!O423)</f>
        <v>47991.98</v>
      </c>
      <c r="Q432" s="25" t="str">
        <f>IF(Raw_Data!O423="","Missing-Imputed","Original")</f>
        <v>Original</v>
      </c>
      <c r="R432" s="26">
        <f>Raw_Data!P423</f>
        <v>77.900000000000006</v>
      </c>
      <c r="S432" s="26">
        <f>Raw_Data!Q423</f>
        <v>53624.67</v>
      </c>
      <c r="T432" s="25" t="str">
        <f>IF(Raw_Data!R423="","Unknown",IF(ISNUMBER(SEARCH("ACT",UPPER(Raw_Data!R423))),"Active",IF(ISNUMBER(SEARCH("CLOS",UPPER(Raw_Data!R423))),"Closed","None")))</f>
        <v>Closed</v>
      </c>
      <c r="U432" s="26">
        <f>IF(Raw_Data!S423="",$C$8,VALUE(Raw_Data!S423))</f>
        <v>439</v>
      </c>
      <c r="V432" s="25" t="str">
        <f>IF(Raw_Data!S423="","Missing-Imputed","Original")</f>
        <v>Original</v>
      </c>
      <c r="W432" s="26">
        <f>Raw_Data!T423</f>
        <v>76</v>
      </c>
      <c r="X432" s="25" t="str">
        <f>IF(ISNUMBER(SEARCH("Y",UPPER(TRIM(Raw_Data!U423)))),"Yes","No")</f>
        <v>Yes</v>
      </c>
      <c r="Y432" s="25" t="str">
        <f>IF(ISNUMBER(SEARCH("Y",UPPER(TRIM(Raw_Data!V423)))),"Yes","No")</f>
        <v>No</v>
      </c>
      <c r="Z432" s="26">
        <f>Raw_Data!W423</f>
        <v>2</v>
      </c>
      <c r="AA432" s="26">
        <f>Raw_Data!X423</f>
        <v>8.3000000000000007</v>
      </c>
      <c r="AB432" s="25" t="str">
        <f>IF(COUNTIFS(Raw_Data!$A$2:$A$616,Raw_Data!A423)&gt;1,"Duplicate","Unique")</f>
        <v>Unique</v>
      </c>
      <c r="AC432" s="25" t="str">
        <f t="shared" si="20"/>
        <v>Clean</v>
      </c>
    </row>
    <row r="433" spans="1:29" ht="15" customHeight="1">
      <c r="A433" s="23" t="str">
        <f>Raw_Data!A424</f>
        <v>BYJ1423</v>
      </c>
      <c r="B433" s="23" t="str">
        <f>Raw_Data!B424</f>
        <v>Ekani Khalsa</v>
      </c>
      <c r="C433" s="24">
        <f>IF(OR(Raw_Data!C424="",Raw_Data!C424&lt;$C$5,Raw_Data!C424&gt;$C$6),$C$4,Raw_Data!C424)</f>
        <v>9</v>
      </c>
      <c r="D433" s="23" t="str">
        <f>IF(Raw_Data!C424="","Missing-Imputed",IF(OR(Raw_Data!C424&lt;$C$5,Raw_Data!C424&gt;$C$6),"Outlier-Imputed","Original"))</f>
        <v>Original</v>
      </c>
      <c r="E433" s="23" t="str">
        <f>IF(OR(UPPER(TRIM(Raw_Data!D424))="M",UPPER(TRIM(Raw_Data!D424))="MALE"),"Male","Female")</f>
        <v>Female</v>
      </c>
      <c r="F433" s="23" t="str">
        <f>PROPER(TRIM(Raw_Data!E424))</f>
        <v>Asansol</v>
      </c>
      <c r="G433" s="23" t="str">
        <f>PROPER(TRIM(Raw_Data!F424))</f>
        <v>Maharashtra</v>
      </c>
      <c r="H433" s="23" t="str">
        <f>PROPER(TRIM(Raw_Data!G424))</f>
        <v>English</v>
      </c>
      <c r="I433" s="23" t="str">
        <f>PROPER(TRIM(Raw_Data!H424))</f>
        <v>Kolkata Main</v>
      </c>
      <c r="J433" s="24">
        <f>IF(LEN(TRIM(Raw_Data!I424))=4,VALUE(TRIM(Raw_Data!I424)),IF(ISNUMBER(IFERROR(VALUE(MID(TRIM(Raw_Data!I424),1,4)),"NA")),VALUE(MID(TRIM(Raw_Data!I424),1,4)),VALUE(RIGHT(TRIM(Raw_Data!I424),4))))</f>
        <v>2018</v>
      </c>
      <c r="K433" s="23" t="str">
        <f>PROPER(TRIM(Raw_Data!J424))</f>
        <v>Government Employee</v>
      </c>
      <c r="L433" s="23" t="str">
        <f t="shared" si="18"/>
        <v>Under 10</v>
      </c>
      <c r="M433" s="23" t="str">
        <f t="shared" si="19"/>
        <v>Kids</v>
      </c>
      <c r="N433" s="23" t="str">
        <f>IF(ISNUMBER(SEARCH("NON",UPPER(Raw_Data!M424))),"Non-Premium Learner","Premium Learner")</f>
        <v>Premium Learner</v>
      </c>
      <c r="O433" s="23" t="str">
        <f>PROPER(TRIM(Raw_Data!N424))</f>
        <v>App Only</v>
      </c>
      <c r="P433" s="24">
        <f>IF(Raw_Data!O424="",$C$7,Raw_Data!O424)</f>
        <v>37814.230000000003</v>
      </c>
      <c r="Q433" s="23" t="str">
        <f>IF(Raw_Data!O424="","Missing-Imputed","Original")</f>
        <v>Original</v>
      </c>
      <c r="R433" s="24">
        <f>Raw_Data!P424</f>
        <v>15.5</v>
      </c>
      <c r="S433" s="24">
        <f>Raw_Data!Q424</f>
        <v>24086.43</v>
      </c>
      <c r="T433" s="23" t="str">
        <f>IF(Raw_Data!R424="","Unknown",IF(ISNUMBER(SEARCH("ACT",UPPER(Raw_Data!R424))),"Active",IF(ISNUMBER(SEARCH("CLOS",UPPER(Raw_Data!R424))),"Closed","None")))</f>
        <v>Unknown</v>
      </c>
      <c r="U433" s="24">
        <f>IF(Raw_Data!S424="",$C$8,VALUE(Raw_Data!S424))</f>
        <v>455</v>
      </c>
      <c r="V433" s="23" t="str">
        <f>IF(Raw_Data!S424="","Missing-Imputed","Original")</f>
        <v>Original</v>
      </c>
      <c r="W433" s="24">
        <f>Raw_Data!T424</f>
        <v>36</v>
      </c>
      <c r="X433" s="23" t="str">
        <f>IF(ISNUMBER(SEARCH("Y",UPPER(TRIM(Raw_Data!U424)))),"Yes","No")</f>
        <v>No</v>
      </c>
      <c r="Y433" s="23" t="str">
        <f>IF(ISNUMBER(SEARCH("Y",UPPER(TRIM(Raw_Data!V424)))),"Yes","No")</f>
        <v>Yes</v>
      </c>
      <c r="Z433" s="24">
        <f>Raw_Data!W424</f>
        <v>5</v>
      </c>
      <c r="AA433" s="24">
        <f>Raw_Data!X424</f>
        <v>3.1</v>
      </c>
      <c r="AB433" s="23" t="str">
        <f>IF(COUNTIFS(Raw_Data!$A$2:$A$616,Raw_Data!A424)&gt;1,"Duplicate","Unique")</f>
        <v>Unique</v>
      </c>
      <c r="AC433" s="23" t="str">
        <f t="shared" si="20"/>
        <v>Clean</v>
      </c>
    </row>
    <row r="434" spans="1:29" ht="15" customHeight="1">
      <c r="A434" s="25" t="str">
        <f>Raw_Data!A425</f>
        <v>BYJ1424</v>
      </c>
      <c r="B434" s="25" t="str">
        <f>Raw_Data!B425</f>
        <v>Odika Mital</v>
      </c>
      <c r="C434" s="26">
        <f>IF(OR(Raw_Data!C425="",Raw_Data!C425&lt;$C$5,Raw_Data!C425&gt;$C$6),$C$4,Raw_Data!C425)</f>
        <v>36</v>
      </c>
      <c r="D434" s="25" t="str">
        <f>IF(Raw_Data!C425="","Missing-Imputed",IF(OR(Raw_Data!C425&lt;$C$5,Raw_Data!C425&gt;$C$6),"Outlier-Imputed","Original"))</f>
        <v>Original</v>
      </c>
      <c r="E434" s="25" t="str">
        <f>IF(OR(UPPER(TRIM(Raw_Data!D425))="M",UPPER(TRIM(Raw_Data!D425))="MALE"),"Male","Female")</f>
        <v>Male</v>
      </c>
      <c r="F434" s="25" t="str">
        <f>PROPER(TRIM(Raw_Data!E425))</f>
        <v>Ghaziabad</v>
      </c>
      <c r="G434" s="25" t="str">
        <f>PROPER(TRIM(Raw_Data!F425))</f>
        <v>Karnataka</v>
      </c>
      <c r="H434" s="25" t="str">
        <f>PROPER(TRIM(Raw_Data!G425))</f>
        <v>Spoken English</v>
      </c>
      <c r="I434" s="25" t="str">
        <f>PROPER(TRIM(Raw_Data!H425))</f>
        <v>Mumbai West</v>
      </c>
      <c r="J434" s="26">
        <f>IF(LEN(TRIM(Raw_Data!I425))=4,VALUE(TRIM(Raw_Data!I425)),IF(ISNUMBER(IFERROR(VALUE(MID(TRIM(Raw_Data!I425),1,4)),"NA")),VALUE(MID(TRIM(Raw_Data!I425),1,4)),VALUE(RIGHT(TRIM(Raw_Data!I425),4))))</f>
        <v>46033</v>
      </c>
      <c r="K434" s="25" t="str">
        <f>PROPER(TRIM(Raw_Data!J425))</f>
        <v>Salaried</v>
      </c>
      <c r="L434" s="25" t="str">
        <f t="shared" si="18"/>
        <v>20+</v>
      </c>
      <c r="M434" s="25" t="str">
        <f t="shared" si="19"/>
        <v>Adult Learners</v>
      </c>
      <c r="N434" s="25" t="str">
        <f>IF(ISNUMBER(SEARCH("NON",UPPER(Raw_Data!M425))),"Non-Premium Learner","Premium Learner")</f>
        <v>Non-Premium Learner</v>
      </c>
      <c r="O434" s="25" t="str">
        <f>PROPER(TRIM(Raw_Data!N425))</f>
        <v>App Only</v>
      </c>
      <c r="P434" s="26">
        <f>IF(Raw_Data!O425="",$C$7,Raw_Data!O425)</f>
        <v>95900.26</v>
      </c>
      <c r="Q434" s="25" t="str">
        <f>IF(Raw_Data!O425="","Missing-Imputed","Original")</f>
        <v>Original</v>
      </c>
      <c r="R434" s="26">
        <f>Raw_Data!P425</f>
        <v>17.600000000000001</v>
      </c>
      <c r="S434" s="26">
        <f>Raw_Data!Q425</f>
        <v>42585.64</v>
      </c>
      <c r="T434" s="25" t="str">
        <f>IF(Raw_Data!R425="","Unknown",IF(ISNUMBER(SEARCH("ACT",UPPER(Raw_Data!R425))),"Active",IF(ISNUMBER(SEARCH("CLOS",UPPER(Raw_Data!R425))),"Closed","None")))</f>
        <v>Closed</v>
      </c>
      <c r="U434" s="26">
        <f>IF(Raw_Data!S425="",$C$8,VALUE(Raw_Data!S425))</f>
        <v>530</v>
      </c>
      <c r="V434" s="25" t="str">
        <f>IF(Raw_Data!S425="","Missing-Imputed","Original")</f>
        <v>Original</v>
      </c>
      <c r="W434" s="26">
        <f>Raw_Data!T425</f>
        <v>22</v>
      </c>
      <c r="X434" s="25" t="str">
        <f>IF(ISNUMBER(SEARCH("Y",UPPER(TRIM(Raw_Data!U425)))),"Yes","No")</f>
        <v>No</v>
      </c>
      <c r="Y434" s="25" t="str">
        <f>IF(ISNUMBER(SEARCH("Y",UPPER(TRIM(Raw_Data!V425)))),"Yes","No")</f>
        <v>No</v>
      </c>
      <c r="Z434" s="26">
        <f>Raw_Data!W425</f>
        <v>4</v>
      </c>
      <c r="AA434" s="26">
        <f>Raw_Data!X425</f>
        <v>1</v>
      </c>
      <c r="AB434" s="25" t="str">
        <f>IF(COUNTIFS(Raw_Data!$A$2:$A$616,Raw_Data!A425)&gt;1,"Duplicate","Unique")</f>
        <v>Unique</v>
      </c>
      <c r="AC434" s="25" t="str">
        <f t="shared" si="20"/>
        <v>Clean</v>
      </c>
    </row>
    <row r="435" spans="1:29" ht="15" customHeight="1">
      <c r="A435" s="23" t="str">
        <f>Raw_Data!A426</f>
        <v>BYJ1425</v>
      </c>
      <c r="B435" s="23" t="str">
        <f>Raw_Data!B426</f>
        <v>Prisha Tandon</v>
      </c>
      <c r="C435" s="24">
        <f>IF(OR(Raw_Data!C426="",Raw_Data!C426&lt;$C$5,Raw_Data!C426&gt;$C$6),$C$4,Raw_Data!C426)</f>
        <v>23</v>
      </c>
      <c r="D435" s="23" t="str">
        <f>IF(Raw_Data!C426="","Missing-Imputed",IF(OR(Raw_Data!C426&lt;$C$5,Raw_Data!C426&gt;$C$6),"Outlier-Imputed","Original"))</f>
        <v>Original</v>
      </c>
      <c r="E435" s="23" t="str">
        <f>IF(OR(UPPER(TRIM(Raw_Data!D426))="M",UPPER(TRIM(Raw_Data!D426))="MALE"),"Male","Female")</f>
        <v>Female</v>
      </c>
      <c r="F435" s="23" t="str">
        <f>PROPER(TRIM(Raw_Data!E426))</f>
        <v>Hapur</v>
      </c>
      <c r="G435" s="23" t="str">
        <f>PROPER(TRIM(Raw_Data!F426))</f>
        <v>Telangana</v>
      </c>
      <c r="H435" s="23" t="str">
        <f>PROPER(TRIM(Raw_Data!G426))</f>
        <v>Neet Prep</v>
      </c>
      <c r="I435" s="23" t="str">
        <f>PROPER(TRIM(Raw_Data!H426))</f>
        <v>Bengaluru South</v>
      </c>
      <c r="J435" s="24">
        <f>IF(LEN(TRIM(Raw_Data!I426))=4,VALUE(TRIM(Raw_Data!I426)),IF(ISNUMBER(IFERROR(VALUE(MID(TRIM(Raw_Data!I426),1,4)),"NA")),VALUE(MID(TRIM(Raw_Data!I426),1,4)),VALUE(RIGHT(TRIM(Raw_Data!I426),4))))</f>
        <v>2016</v>
      </c>
      <c r="K435" s="23" t="str">
        <f>PROPER(TRIM(Raw_Data!J426))</f>
        <v>Business</v>
      </c>
      <c r="L435" s="23" t="str">
        <f t="shared" si="18"/>
        <v>20+</v>
      </c>
      <c r="M435" s="23" t="str">
        <f t="shared" si="19"/>
        <v>Adult Learners</v>
      </c>
      <c r="N435" s="23" t="str">
        <f>IF(ISNUMBER(SEARCH("NON",UPPER(Raw_Data!M426))),"Non-Premium Learner","Premium Learner")</f>
        <v>Non-Premium Learner</v>
      </c>
      <c r="O435" s="23" t="str">
        <f>PROPER(TRIM(Raw_Data!N426))</f>
        <v>Web Only</v>
      </c>
      <c r="P435" s="24">
        <f>IF(Raw_Data!O426="",$C$7,Raw_Data!O426)</f>
        <v>101516.13</v>
      </c>
      <c r="Q435" s="23" t="str">
        <f>IF(Raw_Data!O426="","Missing-Imputed","Original")</f>
        <v>Original</v>
      </c>
      <c r="R435" s="24">
        <f>Raw_Data!P426</f>
        <v>63.6</v>
      </c>
      <c r="S435" s="24">
        <f>Raw_Data!Q426</f>
        <v>42511.75</v>
      </c>
      <c r="T435" s="23" t="str">
        <f>IF(Raw_Data!R426="","Unknown",IF(ISNUMBER(SEARCH("ACT",UPPER(Raw_Data!R426))),"Active",IF(ISNUMBER(SEARCH("CLOS",UPPER(Raw_Data!R426))),"Closed","None")))</f>
        <v>Unknown</v>
      </c>
      <c r="U435" s="24">
        <f>IF(Raw_Data!S426="",$C$8,VALUE(Raw_Data!S426))</f>
        <v>879</v>
      </c>
      <c r="V435" s="23" t="str">
        <f>IF(Raw_Data!S426="","Missing-Imputed","Original")</f>
        <v>Original</v>
      </c>
      <c r="W435" s="24">
        <f>Raw_Data!T426</f>
        <v>132</v>
      </c>
      <c r="X435" s="23" t="str">
        <f>IF(ISNUMBER(SEARCH("Y",UPPER(TRIM(Raw_Data!U426)))),"Yes","No")</f>
        <v>No</v>
      </c>
      <c r="Y435" s="23" t="str">
        <f>IF(ISNUMBER(SEARCH("Y",UPPER(TRIM(Raw_Data!V426)))),"Yes","No")</f>
        <v>Yes</v>
      </c>
      <c r="Z435" s="24">
        <f>Raw_Data!W426</f>
        <v>5</v>
      </c>
      <c r="AA435" s="24">
        <f>Raw_Data!X426</f>
        <v>1.3</v>
      </c>
      <c r="AB435" s="23" t="str">
        <f>IF(COUNTIFS(Raw_Data!$A$2:$A$616,Raw_Data!A426)&gt;1,"Duplicate","Unique")</f>
        <v>Unique</v>
      </c>
      <c r="AC435" s="23" t="str">
        <f t="shared" si="20"/>
        <v>Clean</v>
      </c>
    </row>
    <row r="436" spans="1:29" ht="15" customHeight="1">
      <c r="A436" s="25" t="str">
        <f>Raw_Data!A427</f>
        <v>BYJ1426</v>
      </c>
      <c r="B436" s="25" t="str">
        <f>Raw_Data!B427</f>
        <v>Eiravati Saha</v>
      </c>
      <c r="C436" s="26">
        <f>IF(OR(Raw_Data!C427="",Raw_Data!C427&lt;$C$5,Raw_Data!C427&gt;$C$6),$C$4,Raw_Data!C427)</f>
        <v>43</v>
      </c>
      <c r="D436" s="25" t="str">
        <f>IF(Raw_Data!C427="","Missing-Imputed",IF(OR(Raw_Data!C427&lt;$C$5,Raw_Data!C427&gt;$C$6),"Outlier-Imputed","Original"))</f>
        <v>Original</v>
      </c>
      <c r="E436" s="25" t="str">
        <f>IF(OR(UPPER(TRIM(Raw_Data!D427))="M",UPPER(TRIM(Raw_Data!D427))="MALE"),"Male","Female")</f>
        <v>Female</v>
      </c>
      <c r="F436" s="25" t="str">
        <f>PROPER(TRIM(Raw_Data!E427))</f>
        <v>Jalgaon</v>
      </c>
      <c r="G436" s="25" t="str">
        <f>PROPER(TRIM(Raw_Data!F427))</f>
        <v>Tamil Nadu</v>
      </c>
      <c r="H436" s="25" t="str">
        <f>PROPER(TRIM(Raw_Data!G427))</f>
        <v>Neet Prep</v>
      </c>
      <c r="I436" s="25" t="str">
        <f>PROPER(TRIM(Raw_Data!H427))</f>
        <v>Ahmedabad Center</v>
      </c>
      <c r="J436" s="26">
        <f>IF(LEN(TRIM(Raw_Data!I427))=4,VALUE(TRIM(Raw_Data!I427)),IF(ISNUMBER(IFERROR(VALUE(MID(TRIM(Raw_Data!I427),1,4)),"NA")),VALUE(MID(TRIM(Raw_Data!I427),1,4)),VALUE(RIGHT(TRIM(Raw_Data!I427),4))))</f>
        <v>2023</v>
      </c>
      <c r="K436" s="25" t="str">
        <f>PROPER(TRIM(Raw_Data!J427))</f>
        <v>Self-Employed</v>
      </c>
      <c r="L436" s="25" t="str">
        <f t="shared" si="18"/>
        <v>20+</v>
      </c>
      <c r="M436" s="25" t="str">
        <f t="shared" si="19"/>
        <v>Adult Learners</v>
      </c>
      <c r="N436" s="25" t="str">
        <f>IF(ISNUMBER(SEARCH("NON",UPPER(Raw_Data!M427))),"Non-Premium Learner","Premium Learner")</f>
        <v>Non-Premium Learner</v>
      </c>
      <c r="O436" s="25" t="str">
        <f>PROPER(TRIM(Raw_Data!N427))</f>
        <v>Web Only</v>
      </c>
      <c r="P436" s="26">
        <f>IF(Raw_Data!O427="",$C$7,Raw_Data!O427)</f>
        <v>102014.91</v>
      </c>
      <c r="Q436" s="25" t="str">
        <f>IF(Raw_Data!O427="","Missing-Imputed","Original")</f>
        <v>Original</v>
      </c>
      <c r="R436" s="26">
        <f>Raw_Data!P427</f>
        <v>47.5</v>
      </c>
      <c r="S436" s="26">
        <f>Raw_Data!Q427</f>
        <v>1448.67</v>
      </c>
      <c r="T436" s="25" t="str">
        <f>IF(Raw_Data!R427="","Unknown",IF(ISNUMBER(SEARCH("ACT",UPPER(Raw_Data!R427))),"Active",IF(ISNUMBER(SEARCH("CLOS",UPPER(Raw_Data!R427))),"Closed","None")))</f>
        <v>Closed</v>
      </c>
      <c r="U436" s="26">
        <f>IF(Raw_Data!S427="",$C$8,VALUE(Raw_Data!S427))</f>
        <v>599</v>
      </c>
      <c r="V436" s="25" t="str">
        <f>IF(Raw_Data!S427="","Missing-Imputed","Original")</f>
        <v>Original</v>
      </c>
      <c r="W436" s="26">
        <f>Raw_Data!T427</f>
        <v>7</v>
      </c>
      <c r="X436" s="25" t="str">
        <f>IF(ISNUMBER(SEARCH("Y",UPPER(TRIM(Raw_Data!U427)))),"Yes","No")</f>
        <v>No</v>
      </c>
      <c r="Y436" s="25" t="str">
        <f>IF(ISNUMBER(SEARCH("Y",UPPER(TRIM(Raw_Data!V427)))),"Yes","No")</f>
        <v>No</v>
      </c>
      <c r="Z436" s="26">
        <f>Raw_Data!W427</f>
        <v>3</v>
      </c>
      <c r="AA436" s="26">
        <f>Raw_Data!X427</f>
        <v>8.8000000000000007</v>
      </c>
      <c r="AB436" s="25" t="str">
        <f>IF(COUNTIFS(Raw_Data!$A$2:$A$616,Raw_Data!A427)&gt;1,"Duplicate","Unique")</f>
        <v>Unique</v>
      </c>
      <c r="AC436" s="25" t="str">
        <f t="shared" si="20"/>
        <v>Clean</v>
      </c>
    </row>
    <row r="437" spans="1:29" ht="15" customHeight="1">
      <c r="A437" s="23" t="str">
        <f>Raw_Data!A428</f>
        <v>BYJ1427</v>
      </c>
      <c r="B437" s="23" t="str">
        <f>Raw_Data!B428</f>
        <v>Krisha Gour</v>
      </c>
      <c r="C437" s="24">
        <f>IF(OR(Raw_Data!C428="",Raw_Data!C428&lt;$C$5,Raw_Data!C428&gt;$C$6),$C$4,Raw_Data!C428)</f>
        <v>9</v>
      </c>
      <c r="D437" s="23" t="str">
        <f>IF(Raw_Data!C428="","Missing-Imputed",IF(OR(Raw_Data!C428&lt;$C$5,Raw_Data!C428&gt;$C$6),"Outlier-Imputed","Original"))</f>
        <v>Original</v>
      </c>
      <c r="E437" s="23" t="str">
        <f>IF(OR(UPPER(TRIM(Raw_Data!D428))="M",UPPER(TRIM(Raw_Data!D428))="MALE"),"Male","Female")</f>
        <v>Female</v>
      </c>
      <c r="F437" s="23" t="str">
        <f>PROPER(TRIM(Raw_Data!E428))</f>
        <v>New Delhi</v>
      </c>
      <c r="G437" s="23" t="str">
        <f>PROPER(TRIM(Raw_Data!F428))</f>
        <v>Telangana</v>
      </c>
      <c r="H437" s="23" t="str">
        <f>PROPER(TRIM(Raw_Data!G428))</f>
        <v>Science</v>
      </c>
      <c r="I437" s="23" t="str">
        <f>PROPER(TRIM(Raw_Data!H428))</f>
        <v>Delhi North</v>
      </c>
      <c r="J437" s="24">
        <f>IF(LEN(TRIM(Raw_Data!I428))=4,VALUE(TRIM(Raw_Data!I428)),IF(ISNUMBER(IFERROR(VALUE(MID(TRIM(Raw_Data!I428),1,4)),"NA")),VALUE(MID(TRIM(Raw_Data!I428),1,4)),VALUE(RIGHT(TRIM(Raw_Data!I428),4))))</f>
        <v>2024</v>
      </c>
      <c r="K437" s="23" t="str">
        <f>PROPER(TRIM(Raw_Data!J428))</f>
        <v>Retired</v>
      </c>
      <c r="L437" s="23" t="str">
        <f t="shared" si="18"/>
        <v>Under 10</v>
      </c>
      <c r="M437" s="23" t="str">
        <f t="shared" si="19"/>
        <v>Kids</v>
      </c>
      <c r="N437" s="23" t="str">
        <f>IF(ISNUMBER(SEARCH("NON",UPPER(Raw_Data!M428))),"Non-Premium Learner","Premium Learner")</f>
        <v>Non-Premium Learner</v>
      </c>
      <c r="O437" s="23" t="str">
        <f>PROPER(TRIM(Raw_Data!N428))</f>
        <v>App Only</v>
      </c>
      <c r="P437" s="24">
        <f>IF(Raw_Data!O428="",$C$7,Raw_Data!O428)</f>
        <v>127484.38</v>
      </c>
      <c r="Q437" s="23" t="str">
        <f>IF(Raw_Data!O428="","Missing-Imputed","Original")</f>
        <v>Original</v>
      </c>
      <c r="R437" s="24">
        <f>Raw_Data!P428</f>
        <v>30</v>
      </c>
      <c r="S437" s="24">
        <f>Raw_Data!Q428</f>
        <v>36984.160000000003</v>
      </c>
      <c r="T437" s="23" t="str">
        <f>IF(Raw_Data!R428="","Unknown",IF(ISNUMBER(SEARCH("ACT",UPPER(Raw_Data!R428))),"Active",IF(ISNUMBER(SEARCH("CLOS",UPPER(Raw_Data!R428))),"Closed","None")))</f>
        <v>None</v>
      </c>
      <c r="U437" s="24">
        <f>IF(Raw_Data!S428="",$C$8,VALUE(Raw_Data!S428))</f>
        <v>624</v>
      </c>
      <c r="V437" s="23" t="str">
        <f>IF(Raw_Data!S428="","Missing-Imputed","Original")</f>
        <v>Original</v>
      </c>
      <c r="W437" s="24">
        <f>Raw_Data!T428</f>
        <v>25</v>
      </c>
      <c r="X437" s="23" t="str">
        <f>IF(ISNUMBER(SEARCH("Y",UPPER(TRIM(Raw_Data!U428)))),"Yes","No")</f>
        <v>Yes</v>
      </c>
      <c r="Y437" s="23" t="str">
        <f>IF(ISNUMBER(SEARCH("Y",UPPER(TRIM(Raw_Data!V428)))),"Yes","No")</f>
        <v>No</v>
      </c>
      <c r="Z437" s="24">
        <f>Raw_Data!W428</f>
        <v>2</v>
      </c>
      <c r="AA437" s="24">
        <f>Raw_Data!X428</f>
        <v>6.9</v>
      </c>
      <c r="AB437" s="23" t="str">
        <f>IF(COUNTIFS(Raw_Data!$A$2:$A$616,Raw_Data!A428)&gt;1,"Duplicate","Unique")</f>
        <v>Unique</v>
      </c>
      <c r="AC437" s="23" t="str">
        <f t="shared" si="20"/>
        <v>Clean</v>
      </c>
    </row>
    <row r="438" spans="1:29" ht="15" customHeight="1">
      <c r="A438" s="25" t="str">
        <f>Raw_Data!A429</f>
        <v>BYJ1428</v>
      </c>
      <c r="B438" s="25" t="str">
        <f>Raw_Data!B429</f>
        <v>Charita Dhawan</v>
      </c>
      <c r="C438" s="26">
        <f>IF(OR(Raw_Data!C429="",Raw_Data!C429&lt;$C$5,Raw_Data!C429&gt;$C$6),$C$4,Raw_Data!C429)</f>
        <v>37</v>
      </c>
      <c r="D438" s="25" t="str">
        <f>IF(Raw_Data!C429="","Missing-Imputed",IF(OR(Raw_Data!C429&lt;$C$5,Raw_Data!C429&gt;$C$6),"Outlier-Imputed","Original"))</f>
        <v>Original</v>
      </c>
      <c r="E438" s="25" t="str">
        <f>IF(OR(UPPER(TRIM(Raw_Data!D429))="M",UPPER(TRIM(Raw_Data!D429))="MALE"),"Male","Female")</f>
        <v>Female</v>
      </c>
      <c r="F438" s="25" t="str">
        <f>PROPER(TRIM(Raw_Data!E429))</f>
        <v>Howrah</v>
      </c>
      <c r="G438" s="25" t="str">
        <f>PROPER(TRIM(Raw_Data!F429))</f>
        <v>Gujarat</v>
      </c>
      <c r="H438" s="25" t="str">
        <f>PROPER(TRIM(Raw_Data!G429))</f>
        <v>Science</v>
      </c>
      <c r="I438" s="25" t="str">
        <f>PROPER(TRIM(Raw_Data!H429))</f>
        <v>Mumbai West</v>
      </c>
      <c r="J438" s="26">
        <f>IF(LEN(TRIM(Raw_Data!I429))=4,VALUE(TRIM(Raw_Data!I429)),IF(ISNUMBER(IFERROR(VALUE(MID(TRIM(Raw_Data!I429),1,4)),"NA")),VALUE(MID(TRIM(Raw_Data!I429),1,4)),VALUE(RIGHT(TRIM(Raw_Data!I429),4))))</f>
        <v>2021</v>
      </c>
      <c r="K438" s="25" t="str">
        <f>PROPER(TRIM(Raw_Data!J429))</f>
        <v>Government Employee</v>
      </c>
      <c r="L438" s="25" t="str">
        <f t="shared" si="18"/>
        <v>20+</v>
      </c>
      <c r="M438" s="25" t="str">
        <f t="shared" si="19"/>
        <v>Adult Learners</v>
      </c>
      <c r="N438" s="25" t="str">
        <f>IF(ISNUMBER(SEARCH("NON",UPPER(Raw_Data!M429))),"Non-Premium Learner","Premium Learner")</f>
        <v>Non-Premium Learner</v>
      </c>
      <c r="O438" s="25" t="str">
        <f>PROPER(TRIM(Raw_Data!N429))</f>
        <v>Both App &amp; Web</v>
      </c>
      <c r="P438" s="26">
        <f>IF(Raw_Data!O429="",$C$7,Raw_Data!O429)</f>
        <v>86270.37</v>
      </c>
      <c r="Q438" s="25" t="str">
        <f>IF(Raw_Data!O429="","Missing-Imputed","Original")</f>
        <v>Original</v>
      </c>
      <c r="R438" s="26">
        <f>Raw_Data!P429</f>
        <v>45.4</v>
      </c>
      <c r="S438" s="26">
        <f>Raw_Data!Q429</f>
        <v>23878.27</v>
      </c>
      <c r="T438" s="25" t="str">
        <f>IF(Raw_Data!R429="","Unknown",IF(ISNUMBER(SEARCH("ACT",UPPER(Raw_Data!R429))),"Active",IF(ISNUMBER(SEARCH("CLOS",UPPER(Raw_Data!R429))),"Closed","None")))</f>
        <v>None</v>
      </c>
      <c r="U438" s="26">
        <f>IF(Raw_Data!S429="",$C$8,VALUE(Raw_Data!S429))</f>
        <v>503</v>
      </c>
      <c r="V438" s="25" t="str">
        <f>IF(Raw_Data!S429="","Missing-Imputed","Original")</f>
        <v>Original</v>
      </c>
      <c r="W438" s="26">
        <f>Raw_Data!T429</f>
        <v>182</v>
      </c>
      <c r="X438" s="25" t="str">
        <f>IF(ISNUMBER(SEARCH("Y",UPPER(TRIM(Raw_Data!U429)))),"Yes","No")</f>
        <v>No</v>
      </c>
      <c r="Y438" s="25" t="str">
        <f>IF(ISNUMBER(SEARCH("Y",UPPER(TRIM(Raw_Data!V429)))),"Yes","No")</f>
        <v>Yes</v>
      </c>
      <c r="Z438" s="26">
        <f>Raw_Data!W429</f>
        <v>5</v>
      </c>
      <c r="AA438" s="26">
        <f>Raw_Data!X429</f>
        <v>3.5</v>
      </c>
      <c r="AB438" s="25" t="str">
        <f>IF(COUNTIFS(Raw_Data!$A$2:$A$616,Raw_Data!A429)&gt;1,"Duplicate","Unique")</f>
        <v>Unique</v>
      </c>
      <c r="AC438" s="25" t="str">
        <f t="shared" si="20"/>
        <v>Clean</v>
      </c>
    </row>
    <row r="439" spans="1:29" ht="15" customHeight="1">
      <c r="A439" s="23" t="str">
        <f>Raw_Data!A430</f>
        <v>BYJ1429</v>
      </c>
      <c r="B439" s="23" t="str">
        <f>Raw_Data!B430</f>
        <v>Omaja Wagle</v>
      </c>
      <c r="C439" s="24">
        <f>IF(OR(Raw_Data!C430="",Raw_Data!C430&lt;$C$5,Raw_Data!C430&gt;$C$6),$C$4,Raw_Data!C430)</f>
        <v>24</v>
      </c>
      <c r="D439" s="23" t="str">
        <f>IF(Raw_Data!C430="","Missing-Imputed",IF(OR(Raw_Data!C430&lt;$C$5,Raw_Data!C430&gt;$C$6),"Outlier-Imputed","Original"))</f>
        <v>Original</v>
      </c>
      <c r="E439" s="23" t="str">
        <f>IF(OR(UPPER(TRIM(Raw_Data!D430))="M",UPPER(TRIM(Raw_Data!D430))="MALE"),"Male","Female")</f>
        <v>Male</v>
      </c>
      <c r="F439" s="23" t="str">
        <f>PROPER(TRIM(Raw_Data!E430))</f>
        <v>Munger</v>
      </c>
      <c r="G439" s="23" t="str">
        <f>PROPER(TRIM(Raw_Data!F430))</f>
        <v>Rajasthan</v>
      </c>
      <c r="H439" s="23" t="str">
        <f>PROPER(TRIM(Raw_Data!G430))</f>
        <v>Coding</v>
      </c>
      <c r="I439" s="23" t="str">
        <f>PROPER(TRIM(Raw_Data!H430))</f>
        <v>Delhi North</v>
      </c>
      <c r="J439" s="24">
        <f>IF(LEN(TRIM(Raw_Data!I430))=4,VALUE(TRIM(Raw_Data!I430)),IF(ISNUMBER(IFERROR(VALUE(MID(TRIM(Raw_Data!I430),1,4)),"NA")),VALUE(MID(TRIM(Raw_Data!I430),1,4)),VALUE(RIGHT(TRIM(Raw_Data!I430),4))))</f>
        <v>2024</v>
      </c>
      <c r="K439" s="23" t="str">
        <f>PROPER(TRIM(Raw_Data!J430))</f>
        <v>Salaried</v>
      </c>
      <c r="L439" s="23" t="str">
        <f t="shared" si="18"/>
        <v>20+</v>
      </c>
      <c r="M439" s="23" t="str">
        <f t="shared" si="19"/>
        <v>Adult Learners</v>
      </c>
      <c r="N439" s="23" t="str">
        <f>IF(ISNUMBER(SEARCH("NON",UPPER(Raw_Data!M430))),"Non-Premium Learner","Premium Learner")</f>
        <v>Non-Premium Learner</v>
      </c>
      <c r="O439" s="23" t="str">
        <f>PROPER(TRIM(Raw_Data!N430))</f>
        <v>App Only</v>
      </c>
      <c r="P439" s="24">
        <f>IF(Raw_Data!O430="",$C$7,Raw_Data!O430)</f>
        <v>40576</v>
      </c>
      <c r="Q439" s="23" t="str">
        <f>IF(Raw_Data!O430="","Missing-Imputed","Original")</f>
        <v>Original</v>
      </c>
      <c r="R439" s="24">
        <f>Raw_Data!P430</f>
        <v>53.6</v>
      </c>
      <c r="S439" s="24">
        <f>Raw_Data!Q430</f>
        <v>12958.09</v>
      </c>
      <c r="T439" s="23" t="str">
        <f>IF(Raw_Data!R430="","Unknown",IF(ISNUMBER(SEARCH("ACT",UPPER(Raw_Data!R430))),"Active",IF(ISNUMBER(SEARCH("CLOS",UPPER(Raw_Data!R430))),"Closed","None")))</f>
        <v>Active</v>
      </c>
      <c r="U439" s="24">
        <f>IF(Raw_Data!S430="",$C$8,VALUE(Raw_Data!S430))</f>
        <v>549</v>
      </c>
      <c r="V439" s="23" t="str">
        <f>IF(Raw_Data!S430="","Missing-Imputed","Original")</f>
        <v>Original</v>
      </c>
      <c r="W439" s="24">
        <f>Raw_Data!T430</f>
        <v>156</v>
      </c>
      <c r="X439" s="23" t="str">
        <f>IF(ISNUMBER(SEARCH("Y",UPPER(TRIM(Raw_Data!U430)))),"Yes","No")</f>
        <v>No</v>
      </c>
      <c r="Y439" s="23" t="str">
        <f>IF(ISNUMBER(SEARCH("Y",UPPER(TRIM(Raw_Data!V430)))),"Yes","No")</f>
        <v>No</v>
      </c>
      <c r="Z439" s="24">
        <f>Raw_Data!W430</f>
        <v>4</v>
      </c>
      <c r="AA439" s="24">
        <f>Raw_Data!X430</f>
        <v>2.1</v>
      </c>
      <c r="AB439" s="23" t="str">
        <f>IF(COUNTIFS(Raw_Data!$A$2:$A$616,Raw_Data!A430)&gt;1,"Duplicate","Unique")</f>
        <v>Unique</v>
      </c>
      <c r="AC439" s="23" t="str">
        <f t="shared" si="20"/>
        <v>Clean</v>
      </c>
    </row>
    <row r="440" spans="1:29" ht="15" customHeight="1">
      <c r="A440" s="25" t="str">
        <f>Raw_Data!A431</f>
        <v>BYJ1430</v>
      </c>
      <c r="B440" s="25" t="str">
        <f>Raw_Data!B431</f>
        <v>Aadhya Jani</v>
      </c>
      <c r="C440" s="26">
        <f>IF(OR(Raw_Data!C431="",Raw_Data!C431&lt;$C$5,Raw_Data!C431&gt;$C$6),$C$4,Raw_Data!C431)</f>
        <v>42</v>
      </c>
      <c r="D440" s="25" t="str">
        <f>IF(Raw_Data!C431="","Missing-Imputed",IF(OR(Raw_Data!C431&lt;$C$5,Raw_Data!C431&gt;$C$6),"Outlier-Imputed","Original"))</f>
        <v>Original</v>
      </c>
      <c r="E440" s="25" t="str">
        <f>IF(OR(UPPER(TRIM(Raw_Data!D431))="M",UPPER(TRIM(Raw_Data!D431))="MALE"),"Male","Female")</f>
        <v>Female</v>
      </c>
      <c r="F440" s="25" t="str">
        <f>PROPER(TRIM(Raw_Data!E431))</f>
        <v>Vijayawada</v>
      </c>
      <c r="G440" s="25" t="str">
        <f>PROPER(TRIM(Raw_Data!F431))</f>
        <v>Gujarat</v>
      </c>
      <c r="H440" s="25" t="str">
        <f>PROPER(TRIM(Raw_Data!G431))</f>
        <v>Jee Prep</v>
      </c>
      <c r="I440" s="25" t="str">
        <f>PROPER(TRIM(Raw_Data!H431))</f>
        <v>Kolkata Main</v>
      </c>
      <c r="J440" s="26">
        <f>IF(LEN(TRIM(Raw_Data!I431))=4,VALUE(TRIM(Raw_Data!I431)),IF(ISNUMBER(IFERROR(VALUE(MID(TRIM(Raw_Data!I431),1,4)),"NA")),VALUE(MID(TRIM(Raw_Data!I431),1,4)),VALUE(RIGHT(TRIM(Raw_Data!I431),4))))</f>
        <v>2021</v>
      </c>
      <c r="K440" s="25" t="str">
        <f>PROPER(TRIM(Raw_Data!J431))</f>
        <v>Government Employee</v>
      </c>
      <c r="L440" s="25" t="str">
        <f t="shared" si="18"/>
        <v>20+</v>
      </c>
      <c r="M440" s="25" t="str">
        <f t="shared" si="19"/>
        <v>Adult Learners</v>
      </c>
      <c r="N440" s="25" t="str">
        <f>IF(ISNUMBER(SEARCH("NON",UPPER(Raw_Data!M431))),"Non-Premium Learner","Premium Learner")</f>
        <v>Non-Premium Learner</v>
      </c>
      <c r="O440" s="25" t="str">
        <f>PROPER(TRIM(Raw_Data!N431))</f>
        <v>App Only</v>
      </c>
      <c r="P440" s="26">
        <f>IF(Raw_Data!O431="",$C$7,Raw_Data!O431)</f>
        <v>51641.07</v>
      </c>
      <c r="Q440" s="25" t="str">
        <f>IF(Raw_Data!O431="","Missing-Imputed","Original")</f>
        <v>Original</v>
      </c>
      <c r="R440" s="26">
        <f>Raw_Data!P431</f>
        <v>57.7</v>
      </c>
      <c r="S440" s="26">
        <f>Raw_Data!Q431</f>
        <v>47733.42</v>
      </c>
      <c r="T440" s="25" t="str">
        <f>IF(Raw_Data!R431="","Unknown",IF(ISNUMBER(SEARCH("ACT",UPPER(Raw_Data!R431))),"Active",IF(ISNUMBER(SEARCH("CLOS",UPPER(Raw_Data!R431))),"Closed","None")))</f>
        <v>None</v>
      </c>
      <c r="U440" s="26">
        <f>IF(Raw_Data!S431="",$C$8,VALUE(Raw_Data!S431))</f>
        <v>398</v>
      </c>
      <c r="V440" s="25" t="str">
        <f>IF(Raw_Data!S431="","Missing-Imputed","Original")</f>
        <v>Original</v>
      </c>
      <c r="W440" s="26">
        <f>Raw_Data!T431</f>
        <v>200</v>
      </c>
      <c r="X440" s="25" t="str">
        <f>IF(ISNUMBER(SEARCH("Y",UPPER(TRIM(Raw_Data!U431)))),"Yes","No")</f>
        <v>No</v>
      </c>
      <c r="Y440" s="25" t="str">
        <f>IF(ISNUMBER(SEARCH("Y",UPPER(TRIM(Raw_Data!V431)))),"Yes","No")</f>
        <v>Yes</v>
      </c>
      <c r="Z440" s="26">
        <f>Raw_Data!W431</f>
        <v>3</v>
      </c>
      <c r="AA440" s="26">
        <f>Raw_Data!X431</f>
        <v>6.6</v>
      </c>
      <c r="AB440" s="25" t="str">
        <f>IF(COUNTIFS(Raw_Data!$A$2:$A$616,Raw_Data!A431)&gt;1,"Duplicate","Unique")</f>
        <v>Unique</v>
      </c>
      <c r="AC440" s="25" t="str">
        <f t="shared" si="20"/>
        <v>Clean</v>
      </c>
    </row>
    <row r="441" spans="1:29" ht="15" customHeight="1">
      <c r="A441" s="23" t="str">
        <f>Raw_Data!A432</f>
        <v>BYJ1431</v>
      </c>
      <c r="B441" s="23" t="str">
        <f>Raw_Data!B432</f>
        <v>Kamala Chanda</v>
      </c>
      <c r="C441" s="24">
        <f>IF(OR(Raw_Data!C432="",Raw_Data!C432&lt;$C$5,Raw_Data!C432&gt;$C$6),$C$4,Raw_Data!C432)</f>
        <v>20</v>
      </c>
      <c r="D441" s="23" t="str">
        <f>IF(Raw_Data!C432="","Missing-Imputed",IF(OR(Raw_Data!C432&lt;$C$5,Raw_Data!C432&gt;$C$6),"Outlier-Imputed","Original"))</f>
        <v>Original</v>
      </c>
      <c r="E441" s="23" t="str">
        <f>IF(OR(UPPER(TRIM(Raw_Data!D432))="M",UPPER(TRIM(Raw_Data!D432))="MALE"),"Male","Female")</f>
        <v>Female</v>
      </c>
      <c r="F441" s="23" t="str">
        <f>PROPER(TRIM(Raw_Data!E432))</f>
        <v>Faridabad</v>
      </c>
      <c r="G441" s="23" t="str">
        <f>PROPER(TRIM(Raw_Data!F432))</f>
        <v>Tamil Nadu</v>
      </c>
      <c r="H441" s="23" t="str">
        <f>PROPER(TRIM(Raw_Data!G432))</f>
        <v>Spoken English</v>
      </c>
      <c r="I441" s="23" t="str">
        <f>PROPER(TRIM(Raw_Data!H432))</f>
        <v>Lucknow Hub</v>
      </c>
      <c r="J441" s="24">
        <f>IF(LEN(TRIM(Raw_Data!I432))=4,VALUE(TRIM(Raw_Data!I432)),IF(ISNUMBER(IFERROR(VALUE(MID(TRIM(Raw_Data!I432),1,4)),"NA")),VALUE(MID(TRIM(Raw_Data!I432),1,4)),VALUE(RIGHT(TRIM(Raw_Data!I432),4))))</f>
        <v>2023</v>
      </c>
      <c r="K441" s="23" t="str">
        <f>PROPER(TRIM(Raw_Data!J432))</f>
        <v>Salaried</v>
      </c>
      <c r="L441" s="23" t="str">
        <f t="shared" si="18"/>
        <v>20+</v>
      </c>
      <c r="M441" s="23" t="str">
        <f t="shared" si="19"/>
        <v>Adult Learners</v>
      </c>
      <c r="N441" s="23" t="str">
        <f>IF(ISNUMBER(SEARCH("NON",UPPER(Raw_Data!M432))),"Non-Premium Learner","Premium Learner")</f>
        <v>Non-Premium Learner</v>
      </c>
      <c r="O441" s="23" t="str">
        <f>PROPER(TRIM(Raw_Data!N432))</f>
        <v>Both App &amp; Web</v>
      </c>
      <c r="P441" s="24">
        <f>IF(Raw_Data!O432="",$C$7,Raw_Data!O432)</f>
        <v>70027.899999999994</v>
      </c>
      <c r="Q441" s="23" t="str">
        <f>IF(Raw_Data!O432="","Missing-Imputed","Original")</f>
        <v>Original</v>
      </c>
      <c r="R441" s="24">
        <f>Raw_Data!P432</f>
        <v>72.2</v>
      </c>
      <c r="S441" s="24">
        <f>Raw_Data!Q432</f>
        <v>28597.59</v>
      </c>
      <c r="T441" s="23" t="str">
        <f>IF(Raw_Data!R432="","Unknown",IF(ISNUMBER(SEARCH("ACT",UPPER(Raw_Data!R432))),"Active",IF(ISNUMBER(SEARCH("CLOS",UPPER(Raw_Data!R432))),"Closed","None")))</f>
        <v>None</v>
      </c>
      <c r="U441" s="24">
        <f>IF(Raw_Data!S432="",$C$8,VALUE(Raw_Data!S432))</f>
        <v>365</v>
      </c>
      <c r="V441" s="23" t="str">
        <f>IF(Raw_Data!S432="","Missing-Imputed","Original")</f>
        <v>Original</v>
      </c>
      <c r="W441" s="24">
        <f>Raw_Data!T432</f>
        <v>16</v>
      </c>
      <c r="X441" s="23" t="str">
        <f>IF(ISNUMBER(SEARCH("Y",UPPER(TRIM(Raw_Data!U432)))),"Yes","No")</f>
        <v>No</v>
      </c>
      <c r="Y441" s="23" t="str">
        <f>IF(ISNUMBER(SEARCH("Y",UPPER(TRIM(Raw_Data!V432)))),"Yes","No")</f>
        <v>Yes</v>
      </c>
      <c r="Z441" s="24">
        <f>Raw_Data!W432</f>
        <v>4</v>
      </c>
      <c r="AA441" s="24">
        <f>Raw_Data!X432</f>
        <v>6.5</v>
      </c>
      <c r="AB441" s="23" t="str">
        <f>IF(COUNTIFS(Raw_Data!$A$2:$A$616,Raw_Data!A432)&gt;1,"Duplicate","Unique")</f>
        <v>Unique</v>
      </c>
      <c r="AC441" s="23" t="str">
        <f t="shared" si="20"/>
        <v>Clean</v>
      </c>
    </row>
    <row r="442" spans="1:29" ht="15" customHeight="1">
      <c r="A442" s="25" t="str">
        <f>Raw_Data!A433</f>
        <v>BYJ1432</v>
      </c>
      <c r="B442" s="25" t="str">
        <f>Raw_Data!B433</f>
        <v>Krishna Baral</v>
      </c>
      <c r="C442" s="26">
        <f>IF(OR(Raw_Data!C433="",Raw_Data!C433&lt;$C$5,Raw_Data!C433&gt;$C$6),$C$4,Raw_Data!C433)</f>
        <v>19</v>
      </c>
      <c r="D442" s="25" t="str">
        <f>IF(Raw_Data!C433="","Missing-Imputed",IF(OR(Raw_Data!C433&lt;$C$5,Raw_Data!C433&gt;$C$6),"Outlier-Imputed","Original"))</f>
        <v>Original</v>
      </c>
      <c r="E442" s="25" t="str">
        <f>IF(OR(UPPER(TRIM(Raw_Data!D433))="M",UPPER(TRIM(Raw_Data!D433))="MALE"),"Male","Female")</f>
        <v>Female</v>
      </c>
      <c r="F442" s="25" t="str">
        <f>PROPER(TRIM(Raw_Data!E433))</f>
        <v>Maheshtala</v>
      </c>
      <c r="G442" s="25" t="str">
        <f>PROPER(TRIM(Raw_Data!F433))</f>
        <v>Telangana</v>
      </c>
      <c r="H442" s="25" t="str">
        <f>PROPER(TRIM(Raw_Data!G433))</f>
        <v>Neet Prep</v>
      </c>
      <c r="I442" s="25" t="str">
        <f>PROPER(TRIM(Raw_Data!H433))</f>
        <v>Delhi North</v>
      </c>
      <c r="J442" s="26">
        <f>IF(LEN(TRIM(Raw_Data!I433))=4,VALUE(TRIM(Raw_Data!I433)),IF(ISNUMBER(IFERROR(VALUE(MID(TRIM(Raw_Data!I433),1,4)),"NA")),VALUE(MID(TRIM(Raw_Data!I433),1,4)),VALUE(RIGHT(TRIM(Raw_Data!I433),4))))</f>
        <v>2025</v>
      </c>
      <c r="K442" s="25" t="str">
        <f>PROPER(TRIM(Raw_Data!J433))</f>
        <v>Government Employee</v>
      </c>
      <c r="L442" s="25" t="str">
        <f t="shared" si="18"/>
        <v>17-19</v>
      </c>
      <c r="M442" s="25" t="str">
        <f t="shared" si="19"/>
        <v>Teens</v>
      </c>
      <c r="N442" s="25" t="str">
        <f>IF(ISNUMBER(SEARCH("NON",UPPER(Raw_Data!M433))),"Non-Premium Learner","Premium Learner")</f>
        <v>Non-Premium Learner</v>
      </c>
      <c r="O442" s="25" t="str">
        <f>PROPER(TRIM(Raw_Data!N433))</f>
        <v>App Only</v>
      </c>
      <c r="P442" s="26">
        <f>IF(Raw_Data!O433="",$C$7,Raw_Data!O433)</f>
        <v>145778.84</v>
      </c>
      <c r="Q442" s="25" t="str">
        <f>IF(Raw_Data!O433="","Missing-Imputed","Original")</f>
        <v>Original</v>
      </c>
      <c r="R442" s="26">
        <f>Raw_Data!P433</f>
        <v>61.6</v>
      </c>
      <c r="S442" s="26">
        <f>Raw_Data!Q433</f>
        <v>35246.86</v>
      </c>
      <c r="T442" s="25" t="str">
        <f>IF(Raw_Data!R433="","Unknown",IF(ISNUMBER(SEARCH("ACT",UPPER(Raw_Data!R433))),"Active",IF(ISNUMBER(SEARCH("CLOS",UPPER(Raw_Data!R433))),"Closed","None")))</f>
        <v>Active</v>
      </c>
      <c r="U442" s="26">
        <f>IF(Raw_Data!S433="",$C$8,VALUE(Raw_Data!S433))</f>
        <v>842</v>
      </c>
      <c r="V442" s="25" t="str">
        <f>IF(Raw_Data!S433="","Missing-Imputed","Original")</f>
        <v>Original</v>
      </c>
      <c r="W442" s="26">
        <f>Raw_Data!T433</f>
        <v>41</v>
      </c>
      <c r="X442" s="25" t="str">
        <f>IF(ISNUMBER(SEARCH("Y",UPPER(TRIM(Raw_Data!U433)))),"Yes","No")</f>
        <v>Yes</v>
      </c>
      <c r="Y442" s="25" t="str">
        <f>IF(ISNUMBER(SEARCH("Y",UPPER(TRIM(Raw_Data!V433)))),"Yes","No")</f>
        <v>Yes</v>
      </c>
      <c r="Z442" s="26">
        <f>Raw_Data!W433</f>
        <v>1</v>
      </c>
      <c r="AA442" s="26">
        <f>Raw_Data!X433</f>
        <v>6</v>
      </c>
      <c r="AB442" s="25" t="str">
        <f>IF(COUNTIFS(Raw_Data!$A$2:$A$616,Raw_Data!A433)&gt;1,"Duplicate","Unique")</f>
        <v>Unique</v>
      </c>
      <c r="AC442" s="25" t="str">
        <f t="shared" si="20"/>
        <v>Clean</v>
      </c>
    </row>
    <row r="443" spans="1:29" ht="15" customHeight="1">
      <c r="A443" s="23" t="str">
        <f>Raw_Data!A434</f>
        <v>BYJ1433</v>
      </c>
      <c r="B443" s="23" t="str">
        <f>Raw_Data!B434</f>
        <v>Varenya Joshi</v>
      </c>
      <c r="C443" s="24">
        <f>IF(OR(Raw_Data!C434="",Raw_Data!C434&lt;$C$5,Raw_Data!C434&gt;$C$6),$C$4,Raw_Data!C434)</f>
        <v>11</v>
      </c>
      <c r="D443" s="23" t="str">
        <f>IF(Raw_Data!C434="","Missing-Imputed",IF(OR(Raw_Data!C434&lt;$C$5,Raw_Data!C434&gt;$C$6),"Outlier-Imputed","Original"))</f>
        <v>Original</v>
      </c>
      <c r="E443" s="23" t="str">
        <f>IF(OR(UPPER(TRIM(Raw_Data!D434))="M",UPPER(TRIM(Raw_Data!D434))="MALE"),"Male","Female")</f>
        <v>Male</v>
      </c>
      <c r="F443" s="23" t="str">
        <f>PROPER(TRIM(Raw_Data!E434))</f>
        <v>Avadi</v>
      </c>
      <c r="G443" s="23" t="str">
        <f>PROPER(TRIM(Raw_Data!F434))</f>
        <v>West Bengal</v>
      </c>
      <c r="H443" s="23" t="str">
        <f>PROPER(TRIM(Raw_Data!G434))</f>
        <v>Robotics</v>
      </c>
      <c r="I443" s="23" t="str">
        <f>PROPER(TRIM(Raw_Data!H434))</f>
        <v>Kolkata Main</v>
      </c>
      <c r="J443" s="24">
        <f>IF(LEN(TRIM(Raw_Data!I434))=4,VALUE(TRIM(Raw_Data!I434)),IF(ISNUMBER(IFERROR(VALUE(MID(TRIM(Raw_Data!I434),1,4)),"NA")),VALUE(MID(TRIM(Raw_Data!I434),1,4)),VALUE(RIGHT(TRIM(Raw_Data!I434),4))))</f>
        <v>2023</v>
      </c>
      <c r="K443" s="23" t="str">
        <f>PROPER(TRIM(Raw_Data!J434))</f>
        <v>Business</v>
      </c>
      <c r="L443" s="23" t="str">
        <f t="shared" si="18"/>
        <v>10-13</v>
      </c>
      <c r="M443" s="23" t="str">
        <f t="shared" si="19"/>
        <v>Kids</v>
      </c>
      <c r="N443" s="23" t="str">
        <f>IF(ISNUMBER(SEARCH("NON",UPPER(Raw_Data!M434))),"Non-Premium Learner","Premium Learner")</f>
        <v>Premium Learner</v>
      </c>
      <c r="O443" s="23" t="str">
        <f>PROPER(TRIM(Raw_Data!N434))</f>
        <v>Both App &amp; Web</v>
      </c>
      <c r="P443" s="24">
        <f>IF(Raw_Data!O434="",$C$7,Raw_Data!O434)</f>
        <v>67402.33</v>
      </c>
      <c r="Q443" s="23" t="str">
        <f>IF(Raw_Data!O434="","Missing-Imputed","Original")</f>
        <v>Original</v>
      </c>
      <c r="R443" s="24">
        <f>Raw_Data!P434</f>
        <v>11.8</v>
      </c>
      <c r="S443" s="24">
        <f>Raw_Data!Q434</f>
        <v>15630.33</v>
      </c>
      <c r="T443" s="23" t="str">
        <f>IF(Raw_Data!R434="","Unknown",IF(ISNUMBER(SEARCH("ACT",UPPER(Raw_Data!R434))),"Active",IF(ISNUMBER(SEARCH("CLOS",UPPER(Raw_Data!R434))),"Closed","None")))</f>
        <v>Active</v>
      </c>
      <c r="U443" s="24">
        <f>IF(Raw_Data!S434="",$C$8,VALUE(Raw_Data!S434))</f>
        <v>659</v>
      </c>
      <c r="V443" s="23" t="str">
        <f>IF(Raw_Data!S434="","Missing-Imputed","Original")</f>
        <v>Original</v>
      </c>
      <c r="W443" s="24">
        <f>Raw_Data!T434</f>
        <v>162</v>
      </c>
      <c r="X443" s="23" t="str">
        <f>IF(ISNUMBER(SEARCH("Y",UPPER(TRIM(Raw_Data!U434)))),"Yes","No")</f>
        <v>Yes</v>
      </c>
      <c r="Y443" s="23" t="str">
        <f>IF(ISNUMBER(SEARCH("Y",UPPER(TRIM(Raw_Data!V434)))),"Yes","No")</f>
        <v>No</v>
      </c>
      <c r="Z443" s="24">
        <f>Raw_Data!W434</f>
        <v>5</v>
      </c>
      <c r="AA443" s="24">
        <f>Raw_Data!X434</f>
        <v>2.7</v>
      </c>
      <c r="AB443" s="23" t="str">
        <f>IF(COUNTIFS(Raw_Data!$A$2:$A$616,Raw_Data!A434)&gt;1,"Duplicate","Unique")</f>
        <v>Unique</v>
      </c>
      <c r="AC443" s="23" t="str">
        <f t="shared" si="20"/>
        <v>Clean</v>
      </c>
    </row>
    <row r="444" spans="1:29" ht="15" customHeight="1">
      <c r="A444" s="25" t="str">
        <f>Raw_Data!A435</f>
        <v>BYJ1434</v>
      </c>
      <c r="B444" s="25" t="str">
        <f>Raw_Data!B435</f>
        <v>Siddharth Gupta</v>
      </c>
      <c r="C444" s="26">
        <f>IF(OR(Raw_Data!C435="",Raw_Data!C435&lt;$C$5,Raw_Data!C435&gt;$C$6),$C$4,Raw_Data!C435)</f>
        <v>41</v>
      </c>
      <c r="D444" s="25" t="str">
        <f>IF(Raw_Data!C435="","Missing-Imputed",IF(OR(Raw_Data!C435&lt;$C$5,Raw_Data!C435&gt;$C$6),"Outlier-Imputed","Original"))</f>
        <v>Original</v>
      </c>
      <c r="E444" s="25" t="str">
        <f>IF(OR(UPPER(TRIM(Raw_Data!D435))="M",UPPER(TRIM(Raw_Data!D435))="MALE"),"Male","Female")</f>
        <v>Male</v>
      </c>
      <c r="F444" s="25" t="str">
        <f>PROPER(TRIM(Raw_Data!E435))</f>
        <v>Nangloi Jat</v>
      </c>
      <c r="G444" s="25" t="str">
        <f>PROPER(TRIM(Raw_Data!F435))</f>
        <v>Tamil Nadu</v>
      </c>
      <c r="H444" s="25" t="str">
        <f>PROPER(TRIM(Raw_Data!G435))</f>
        <v>Coding</v>
      </c>
      <c r="I444" s="25" t="str">
        <f>PROPER(TRIM(Raw_Data!H435))</f>
        <v>Chennai Central</v>
      </c>
      <c r="J444" s="26">
        <f>IF(LEN(TRIM(Raw_Data!I435))=4,VALUE(TRIM(Raw_Data!I435)),IF(ISNUMBER(IFERROR(VALUE(MID(TRIM(Raw_Data!I435),1,4)),"NA")),VALUE(MID(TRIM(Raw_Data!I435),1,4)),VALUE(RIGHT(TRIM(Raw_Data!I435),4))))</f>
        <v>2021</v>
      </c>
      <c r="K444" s="25" t="str">
        <f>PROPER(TRIM(Raw_Data!J435))</f>
        <v>Government Employee</v>
      </c>
      <c r="L444" s="25" t="str">
        <f t="shared" si="18"/>
        <v>20+</v>
      </c>
      <c r="M444" s="25" t="str">
        <f t="shared" si="19"/>
        <v>Adult Learners</v>
      </c>
      <c r="N444" s="25" t="str">
        <f>IF(ISNUMBER(SEARCH("NON",UPPER(Raw_Data!M435))),"Non-Premium Learner","Premium Learner")</f>
        <v>Non-Premium Learner</v>
      </c>
      <c r="O444" s="25" t="str">
        <f>PROPER(TRIM(Raw_Data!N435))</f>
        <v>App Only</v>
      </c>
      <c r="P444" s="26">
        <f>IF(Raw_Data!O435="",$C$7,Raw_Data!O435)</f>
        <v>32329.9</v>
      </c>
      <c r="Q444" s="25" t="str">
        <f>IF(Raw_Data!O435="","Missing-Imputed","Original")</f>
        <v>Original</v>
      </c>
      <c r="R444" s="26">
        <f>Raw_Data!P435</f>
        <v>18.600000000000001</v>
      </c>
      <c r="S444" s="26">
        <f>Raw_Data!Q435</f>
        <v>13102.43</v>
      </c>
      <c r="T444" s="25" t="str">
        <f>IF(Raw_Data!R435="","Unknown",IF(ISNUMBER(SEARCH("ACT",UPPER(Raw_Data!R435))),"Active",IF(ISNUMBER(SEARCH("CLOS",UPPER(Raw_Data!R435))),"Closed","None")))</f>
        <v>Closed</v>
      </c>
      <c r="U444" s="26">
        <f>IF(Raw_Data!S435="",$C$8,VALUE(Raw_Data!S435))</f>
        <v>458</v>
      </c>
      <c r="V444" s="25" t="str">
        <f>IF(Raw_Data!S435="","Missing-Imputed","Original")</f>
        <v>Original</v>
      </c>
      <c r="W444" s="26">
        <f>Raw_Data!T435</f>
        <v>146</v>
      </c>
      <c r="X444" s="25" t="str">
        <f>IF(ISNUMBER(SEARCH("Y",UPPER(TRIM(Raw_Data!U435)))),"Yes","No")</f>
        <v>Yes</v>
      </c>
      <c r="Y444" s="25" t="str">
        <f>IF(ISNUMBER(SEARCH("Y",UPPER(TRIM(Raw_Data!V435)))),"Yes","No")</f>
        <v>Yes</v>
      </c>
      <c r="Z444" s="26">
        <f>Raw_Data!W435</f>
        <v>4</v>
      </c>
      <c r="AA444" s="26">
        <f>Raw_Data!X435</f>
        <v>0.8</v>
      </c>
      <c r="AB444" s="25" t="str">
        <f>IF(COUNTIFS(Raw_Data!$A$2:$A$616,Raw_Data!A435)&gt;1,"Duplicate","Unique")</f>
        <v>Unique</v>
      </c>
      <c r="AC444" s="25" t="str">
        <f t="shared" si="20"/>
        <v>Clean</v>
      </c>
    </row>
    <row r="445" spans="1:29" ht="15" customHeight="1">
      <c r="A445" s="23" t="str">
        <f>Raw_Data!A436</f>
        <v>BYJ1435</v>
      </c>
      <c r="B445" s="23" t="str">
        <f>Raw_Data!B436</f>
        <v xml:space="preserve">  Samarth Ranganathan  </v>
      </c>
      <c r="C445" s="24">
        <f>IF(OR(Raw_Data!C436="",Raw_Data!C436&lt;$C$5,Raw_Data!C436&gt;$C$6),$C$4,Raw_Data!C436)</f>
        <v>13</v>
      </c>
      <c r="D445" s="23" t="str">
        <f>IF(Raw_Data!C436="","Missing-Imputed",IF(OR(Raw_Data!C436&lt;$C$5,Raw_Data!C436&gt;$C$6),"Outlier-Imputed","Original"))</f>
        <v>Original</v>
      </c>
      <c r="E445" s="23" t="str">
        <f>IF(OR(UPPER(TRIM(Raw_Data!D436))="M",UPPER(TRIM(Raw_Data!D436))="MALE"),"Male","Female")</f>
        <v>Female</v>
      </c>
      <c r="F445" s="23" t="str">
        <f>PROPER(TRIM(Raw_Data!E436))</f>
        <v>Suryapet</v>
      </c>
      <c r="G445" s="23" t="str">
        <f>PROPER(TRIM(Raw_Data!F436))</f>
        <v>Maharashtra</v>
      </c>
      <c r="H445" s="23" t="str">
        <f>PROPER(TRIM(Raw_Data!G436))</f>
        <v>Science</v>
      </c>
      <c r="I445" s="23" t="str">
        <f>PROPER(TRIM(Raw_Data!H436))</f>
        <v>Bengaluru South</v>
      </c>
      <c r="J445" s="24">
        <f>IF(LEN(TRIM(Raw_Data!I436))=4,VALUE(TRIM(Raw_Data!I436)),IF(ISNUMBER(IFERROR(VALUE(MID(TRIM(Raw_Data!I436),1,4)),"NA")),VALUE(MID(TRIM(Raw_Data!I436),1,4)),VALUE(RIGHT(TRIM(Raw_Data!I436),4))))</f>
        <v>2023</v>
      </c>
      <c r="K445" s="23" t="str">
        <f>PROPER(TRIM(Raw_Data!J436))</f>
        <v>Government Employee</v>
      </c>
      <c r="L445" s="23" t="str">
        <f t="shared" si="18"/>
        <v>10-13</v>
      </c>
      <c r="M445" s="23" t="str">
        <f t="shared" si="19"/>
        <v>Kids</v>
      </c>
      <c r="N445" s="23" t="str">
        <f>IF(ISNUMBER(SEARCH("NON",UPPER(Raw_Data!M436))),"Non-Premium Learner","Premium Learner")</f>
        <v>Non-Premium Learner</v>
      </c>
      <c r="O445" s="23" t="str">
        <f>PROPER(TRIM(Raw_Data!N436))</f>
        <v>Both App &amp; Web</v>
      </c>
      <c r="P445" s="24">
        <f>IF(Raw_Data!O436="",$C$7,Raw_Data!O436)</f>
        <v>84457.16</v>
      </c>
      <c r="Q445" s="23" t="str">
        <f>IF(Raw_Data!O436="","Missing-Imputed","Original")</f>
        <v>Original</v>
      </c>
      <c r="R445" s="24">
        <f>Raw_Data!P436</f>
        <v>38.6</v>
      </c>
      <c r="S445" s="24">
        <f>Raw_Data!Q436</f>
        <v>6982.9</v>
      </c>
      <c r="T445" s="23" t="str">
        <f>IF(Raw_Data!R436="","Unknown",IF(ISNUMBER(SEARCH("ACT",UPPER(Raw_Data!R436))),"Active",IF(ISNUMBER(SEARCH("CLOS",UPPER(Raw_Data!R436))),"Closed","None")))</f>
        <v>None</v>
      </c>
      <c r="U445" s="24">
        <f>IF(Raw_Data!S436="",$C$8,VALUE(Raw_Data!S436))</f>
        <v>646</v>
      </c>
      <c r="V445" s="23" t="str">
        <f>IF(Raw_Data!S436="","Missing-Imputed","Original")</f>
        <v>Original</v>
      </c>
      <c r="W445" s="24">
        <f>Raw_Data!T436</f>
        <v>36</v>
      </c>
      <c r="X445" s="23" t="str">
        <f>IF(ISNUMBER(SEARCH("Y",UPPER(TRIM(Raw_Data!U436)))),"Yes","No")</f>
        <v>Yes</v>
      </c>
      <c r="Y445" s="23" t="str">
        <f>IF(ISNUMBER(SEARCH("Y",UPPER(TRIM(Raw_Data!V436)))),"Yes","No")</f>
        <v>Yes</v>
      </c>
      <c r="Z445" s="24">
        <f>Raw_Data!W436</f>
        <v>1</v>
      </c>
      <c r="AA445" s="24">
        <f>Raw_Data!X436</f>
        <v>3.5</v>
      </c>
      <c r="AB445" s="23" t="str">
        <f>IF(COUNTIFS(Raw_Data!$A$2:$A$616,Raw_Data!A436)&gt;1,"Duplicate","Unique")</f>
        <v>Unique</v>
      </c>
      <c r="AC445" s="23" t="str">
        <f t="shared" si="20"/>
        <v>Clean</v>
      </c>
    </row>
    <row r="446" spans="1:29" ht="15" customHeight="1">
      <c r="A446" s="25" t="str">
        <f>Raw_Data!A437</f>
        <v>BYJ1436</v>
      </c>
      <c r="B446" s="25" t="str">
        <f>Raw_Data!B437</f>
        <v>Barkha Rai</v>
      </c>
      <c r="C446" s="26">
        <f>IF(OR(Raw_Data!C437="",Raw_Data!C437&lt;$C$5,Raw_Data!C437&gt;$C$6),$C$4,Raw_Data!C437)</f>
        <v>43</v>
      </c>
      <c r="D446" s="25" t="str">
        <f>IF(Raw_Data!C437="","Missing-Imputed",IF(OR(Raw_Data!C437&lt;$C$5,Raw_Data!C437&gt;$C$6),"Outlier-Imputed","Original"))</f>
        <v>Original</v>
      </c>
      <c r="E446" s="25" t="str">
        <f>IF(OR(UPPER(TRIM(Raw_Data!D437))="M",UPPER(TRIM(Raw_Data!D437))="MALE"),"Male","Female")</f>
        <v>Male</v>
      </c>
      <c r="F446" s="25" t="str">
        <f>PROPER(TRIM(Raw_Data!E437))</f>
        <v>Deoghar</v>
      </c>
      <c r="G446" s="25" t="str">
        <f>PROPER(TRIM(Raw_Data!F437))</f>
        <v>Gujarat</v>
      </c>
      <c r="H446" s="25" t="str">
        <f>PROPER(TRIM(Raw_Data!G437))</f>
        <v>Robotics</v>
      </c>
      <c r="I446" s="25" t="str">
        <f>PROPER(TRIM(Raw_Data!H437))</f>
        <v>Jaipur Center</v>
      </c>
      <c r="J446" s="26">
        <f>IF(LEN(TRIM(Raw_Data!I437))=4,VALUE(TRIM(Raw_Data!I437)),IF(ISNUMBER(IFERROR(VALUE(MID(TRIM(Raw_Data!I437),1,4)),"NA")),VALUE(MID(TRIM(Raw_Data!I437),1,4)),VALUE(RIGHT(TRIM(Raw_Data!I437),4))))</f>
        <v>2019</v>
      </c>
      <c r="K446" s="25" t="str">
        <f>PROPER(TRIM(Raw_Data!J437))</f>
        <v>Self-Employed</v>
      </c>
      <c r="L446" s="25" t="str">
        <f t="shared" si="18"/>
        <v>20+</v>
      </c>
      <c r="M446" s="25" t="str">
        <f t="shared" si="19"/>
        <v>Adult Learners</v>
      </c>
      <c r="N446" s="25" t="str">
        <f>IF(ISNUMBER(SEARCH("NON",UPPER(Raw_Data!M437))),"Non-Premium Learner","Premium Learner")</f>
        <v>Non-Premium Learner</v>
      </c>
      <c r="O446" s="25" t="str">
        <f>PROPER(TRIM(Raw_Data!N437))</f>
        <v>Both App &amp; Web</v>
      </c>
      <c r="P446" s="26">
        <f>IF(Raw_Data!O437="",$C$7,Raw_Data!O437)</f>
        <v>66816.28</v>
      </c>
      <c r="Q446" s="25" t="str">
        <f>IF(Raw_Data!O437="","Missing-Imputed","Original")</f>
        <v>Original</v>
      </c>
      <c r="R446" s="26">
        <f>Raw_Data!P437</f>
        <v>11.2</v>
      </c>
      <c r="S446" s="26">
        <f>Raw_Data!Q437</f>
        <v>1430.05</v>
      </c>
      <c r="T446" s="25" t="str">
        <f>IF(Raw_Data!R437="","Unknown",IF(ISNUMBER(SEARCH("ACT",UPPER(Raw_Data!R437))),"Active",IF(ISNUMBER(SEARCH("CLOS",UPPER(Raw_Data!R437))),"Closed","None")))</f>
        <v>Active</v>
      </c>
      <c r="U446" s="26">
        <f>IF(Raw_Data!S437="",$C$8,VALUE(Raw_Data!S437))</f>
        <v>874</v>
      </c>
      <c r="V446" s="25" t="str">
        <f>IF(Raw_Data!S437="","Missing-Imputed","Original")</f>
        <v>Original</v>
      </c>
      <c r="W446" s="26">
        <f>Raw_Data!T437</f>
        <v>99</v>
      </c>
      <c r="X446" s="25" t="str">
        <f>IF(ISNUMBER(SEARCH("Y",UPPER(TRIM(Raw_Data!U437)))),"Yes","No")</f>
        <v>No</v>
      </c>
      <c r="Y446" s="25" t="str">
        <f>IF(ISNUMBER(SEARCH("Y",UPPER(TRIM(Raw_Data!V437)))),"Yes","No")</f>
        <v>No</v>
      </c>
      <c r="Z446" s="26">
        <f>Raw_Data!W437</f>
        <v>5</v>
      </c>
      <c r="AA446" s="26">
        <f>Raw_Data!X437</f>
        <v>7.6</v>
      </c>
      <c r="AB446" s="25" t="str">
        <f>IF(COUNTIFS(Raw_Data!$A$2:$A$616,Raw_Data!A437)&gt;1,"Duplicate","Unique")</f>
        <v>Unique</v>
      </c>
      <c r="AC446" s="25" t="str">
        <f t="shared" si="20"/>
        <v>Clean</v>
      </c>
    </row>
    <row r="447" spans="1:29" ht="15" customHeight="1">
      <c r="A447" s="23" t="str">
        <f>Raw_Data!A438</f>
        <v>BYJ1437</v>
      </c>
      <c r="B447" s="23" t="str">
        <f>Raw_Data!B438</f>
        <v>Darika Lal</v>
      </c>
      <c r="C447" s="24">
        <f>IF(OR(Raw_Data!C438="",Raw_Data!C438&lt;$C$5,Raw_Data!C438&gt;$C$6),$C$4,Raw_Data!C438)</f>
        <v>43</v>
      </c>
      <c r="D447" s="23" t="str">
        <f>IF(Raw_Data!C438="","Missing-Imputed",IF(OR(Raw_Data!C438&lt;$C$5,Raw_Data!C438&gt;$C$6),"Outlier-Imputed","Original"))</f>
        <v>Original</v>
      </c>
      <c r="E447" s="23" t="str">
        <f>IF(OR(UPPER(TRIM(Raw_Data!D438))="M",UPPER(TRIM(Raw_Data!D438))="MALE"),"Male","Female")</f>
        <v>Male</v>
      </c>
      <c r="F447" s="23" t="str">
        <f>PROPER(TRIM(Raw_Data!E438))</f>
        <v>Anand</v>
      </c>
      <c r="G447" s="23" t="str">
        <f>PROPER(TRIM(Raw_Data!F438))</f>
        <v>Uttar Pradesh</v>
      </c>
      <c r="H447" s="23" t="str">
        <f>PROPER(TRIM(Raw_Data!G438))</f>
        <v>Coding</v>
      </c>
      <c r="I447" s="23" t="str">
        <f>PROPER(TRIM(Raw_Data!H438))</f>
        <v>Chennai Central</v>
      </c>
      <c r="J447" s="24">
        <f>IF(LEN(TRIM(Raw_Data!I438))=4,VALUE(TRIM(Raw_Data!I438)),IF(ISNUMBER(IFERROR(VALUE(MID(TRIM(Raw_Data!I438),1,4)),"NA")),VALUE(MID(TRIM(Raw_Data!I438),1,4)),VALUE(RIGHT(TRIM(Raw_Data!I438),4))))</f>
        <v>2020</v>
      </c>
      <c r="K447" s="23" t="str">
        <f>PROPER(TRIM(Raw_Data!J438))</f>
        <v>Government Employee</v>
      </c>
      <c r="L447" s="23" t="str">
        <f t="shared" si="18"/>
        <v>20+</v>
      </c>
      <c r="M447" s="23" t="str">
        <f t="shared" si="19"/>
        <v>Adult Learners</v>
      </c>
      <c r="N447" s="23" t="str">
        <f>IF(ISNUMBER(SEARCH("NON",UPPER(Raw_Data!M438))),"Non-Premium Learner","Premium Learner")</f>
        <v>Premium Learner</v>
      </c>
      <c r="O447" s="23" t="str">
        <f>PROPER(TRIM(Raw_Data!N438))</f>
        <v>Web Only</v>
      </c>
      <c r="P447" s="24">
        <f>IF(Raw_Data!O438="",$C$7,Raw_Data!O438)</f>
        <v>112088.31</v>
      </c>
      <c r="Q447" s="23" t="str">
        <f>IF(Raw_Data!O438="","Missing-Imputed","Original")</f>
        <v>Original</v>
      </c>
      <c r="R447" s="24">
        <f>Raw_Data!P438</f>
        <v>18.399999999999999</v>
      </c>
      <c r="S447" s="24">
        <f>Raw_Data!Q438</f>
        <v>22249.439999999999</v>
      </c>
      <c r="T447" s="23" t="str">
        <f>IF(Raw_Data!R438="","Unknown",IF(ISNUMBER(SEARCH("ACT",UPPER(Raw_Data!R438))),"Active",IF(ISNUMBER(SEARCH("CLOS",UPPER(Raw_Data!R438))),"Closed","None")))</f>
        <v>None</v>
      </c>
      <c r="U447" s="24">
        <f>IF(Raw_Data!S438="",$C$8,VALUE(Raw_Data!S438))</f>
        <v>519</v>
      </c>
      <c r="V447" s="23" t="str">
        <f>IF(Raw_Data!S438="","Missing-Imputed","Original")</f>
        <v>Original</v>
      </c>
      <c r="W447" s="24">
        <f>Raw_Data!T438</f>
        <v>47</v>
      </c>
      <c r="X447" s="23" t="str">
        <f>IF(ISNUMBER(SEARCH("Y",UPPER(TRIM(Raw_Data!U438)))),"Yes","No")</f>
        <v>Yes</v>
      </c>
      <c r="Y447" s="23" t="str">
        <f>IF(ISNUMBER(SEARCH("Y",UPPER(TRIM(Raw_Data!V438)))),"Yes","No")</f>
        <v>Yes</v>
      </c>
      <c r="Z447" s="24">
        <f>Raw_Data!W438</f>
        <v>4</v>
      </c>
      <c r="AA447" s="24">
        <f>Raw_Data!X438</f>
        <v>2.2999999999999998</v>
      </c>
      <c r="AB447" s="23" t="str">
        <f>IF(COUNTIFS(Raw_Data!$A$2:$A$616,Raw_Data!A438)&gt;1,"Duplicate","Unique")</f>
        <v>Unique</v>
      </c>
      <c r="AC447" s="23" t="str">
        <f t="shared" si="20"/>
        <v>Clean</v>
      </c>
    </row>
    <row r="448" spans="1:29" ht="15" customHeight="1">
      <c r="A448" s="25" t="str">
        <f>Raw_Data!A439</f>
        <v>BYJ1438</v>
      </c>
      <c r="B448" s="25" t="str">
        <f>Raw_Data!B439</f>
        <v>Unnati Chaudhari</v>
      </c>
      <c r="C448" s="26">
        <f>IF(OR(Raw_Data!C439="",Raw_Data!C439&lt;$C$5,Raw_Data!C439&gt;$C$6),$C$4,Raw_Data!C439)</f>
        <v>24</v>
      </c>
      <c r="D448" s="25" t="str">
        <f>IF(Raw_Data!C439="","Missing-Imputed",IF(OR(Raw_Data!C439&lt;$C$5,Raw_Data!C439&gt;$C$6),"Outlier-Imputed","Original"))</f>
        <v>Missing-Imputed</v>
      </c>
      <c r="E448" s="25" t="str">
        <f>IF(OR(UPPER(TRIM(Raw_Data!D439))="M",UPPER(TRIM(Raw_Data!D439))="MALE"),"Male","Female")</f>
        <v>Female</v>
      </c>
      <c r="F448" s="25" t="str">
        <f>PROPER(TRIM(Raw_Data!E439))</f>
        <v>Imphal</v>
      </c>
      <c r="G448" s="25" t="str">
        <f>PROPER(TRIM(Raw_Data!F439))</f>
        <v>Karnataka</v>
      </c>
      <c r="H448" s="25" t="str">
        <f>PROPER(TRIM(Raw_Data!G439))</f>
        <v>Jee Prep</v>
      </c>
      <c r="I448" s="25" t="str">
        <f>PROPER(TRIM(Raw_Data!H439))</f>
        <v>Chennai Central</v>
      </c>
      <c r="J448" s="26">
        <f>IF(LEN(TRIM(Raw_Data!I439))=4,VALUE(TRIM(Raw_Data!I439)),IF(ISNUMBER(IFERROR(VALUE(MID(TRIM(Raw_Data!I439),1,4)),"NA")),VALUE(MID(TRIM(Raw_Data!I439),1,4)),VALUE(RIGHT(TRIM(Raw_Data!I439),4))))</f>
        <v>46049</v>
      </c>
      <c r="K448" s="25" t="str">
        <f>PROPER(TRIM(Raw_Data!J439))</f>
        <v>Business</v>
      </c>
      <c r="L448" s="25" t="str">
        <f t="shared" si="18"/>
        <v>20+</v>
      </c>
      <c r="M448" s="25" t="str">
        <f t="shared" si="19"/>
        <v>Adult Learners</v>
      </c>
      <c r="N448" s="25" t="str">
        <f>IF(ISNUMBER(SEARCH("NON",UPPER(Raw_Data!M439))),"Non-Premium Learner","Premium Learner")</f>
        <v>Non-Premium Learner</v>
      </c>
      <c r="O448" s="25" t="str">
        <f>PROPER(TRIM(Raw_Data!N439))</f>
        <v>Web Only</v>
      </c>
      <c r="P448" s="26">
        <f>IF(Raw_Data!O439="",$C$7,Raw_Data!O439)</f>
        <v>138049.64000000001</v>
      </c>
      <c r="Q448" s="25" t="str">
        <f>IF(Raw_Data!O439="","Missing-Imputed","Original")</f>
        <v>Original</v>
      </c>
      <c r="R448" s="26">
        <f>Raw_Data!P439</f>
        <v>16.7</v>
      </c>
      <c r="S448" s="26">
        <f>Raw_Data!Q439</f>
        <v>35925.1</v>
      </c>
      <c r="T448" s="25" t="str">
        <f>IF(Raw_Data!R439="","Unknown",IF(ISNUMBER(SEARCH("ACT",UPPER(Raw_Data!R439))),"Active",IF(ISNUMBER(SEARCH("CLOS",UPPER(Raw_Data!R439))),"Closed","None")))</f>
        <v>None</v>
      </c>
      <c r="U448" s="26">
        <f>IF(Raw_Data!S439="",$C$8,VALUE(Raw_Data!S439))</f>
        <v>732</v>
      </c>
      <c r="V448" s="25" t="str">
        <f>IF(Raw_Data!S439="","Missing-Imputed","Original")</f>
        <v>Original</v>
      </c>
      <c r="W448" s="26">
        <f>Raw_Data!T439</f>
        <v>181</v>
      </c>
      <c r="X448" s="25" t="str">
        <f>IF(ISNUMBER(SEARCH("Y",UPPER(TRIM(Raw_Data!U439)))),"Yes","No")</f>
        <v>No</v>
      </c>
      <c r="Y448" s="25" t="str">
        <f>IF(ISNUMBER(SEARCH("Y",UPPER(TRIM(Raw_Data!V439)))),"Yes","No")</f>
        <v>No</v>
      </c>
      <c r="Z448" s="26">
        <f>Raw_Data!W439</f>
        <v>1</v>
      </c>
      <c r="AA448" s="26">
        <f>Raw_Data!X439</f>
        <v>4</v>
      </c>
      <c r="AB448" s="25" t="str">
        <f>IF(COUNTIFS(Raw_Data!$A$2:$A$616,Raw_Data!A439)&gt;1,"Duplicate","Unique")</f>
        <v>Unique</v>
      </c>
      <c r="AC448" s="25" t="str">
        <f t="shared" si="20"/>
        <v>Imputed</v>
      </c>
    </row>
    <row r="449" spans="1:29" ht="15" customHeight="1">
      <c r="A449" s="23" t="str">
        <f>Raw_Data!A440</f>
        <v>BYJ1439</v>
      </c>
      <c r="B449" s="23" t="str">
        <f>Raw_Data!B440</f>
        <v>Kamala Munshi</v>
      </c>
      <c r="C449" s="24">
        <f>IF(OR(Raw_Data!C440="",Raw_Data!C440&lt;$C$5,Raw_Data!C440&gt;$C$6),$C$4,Raw_Data!C440)</f>
        <v>18</v>
      </c>
      <c r="D449" s="23" t="str">
        <f>IF(Raw_Data!C440="","Missing-Imputed",IF(OR(Raw_Data!C440&lt;$C$5,Raw_Data!C440&gt;$C$6),"Outlier-Imputed","Original"))</f>
        <v>Original</v>
      </c>
      <c r="E449" s="23" t="str">
        <f>IF(OR(UPPER(TRIM(Raw_Data!D440))="M",UPPER(TRIM(Raw_Data!D440))="MALE"),"Male","Female")</f>
        <v>Female</v>
      </c>
      <c r="F449" s="23" t="str">
        <f>PROPER(TRIM(Raw_Data!E440))</f>
        <v>Ranchi</v>
      </c>
      <c r="G449" s="23" t="str">
        <f>PROPER(TRIM(Raw_Data!F440))</f>
        <v>West Bengal</v>
      </c>
      <c r="H449" s="23" t="str">
        <f>PROPER(TRIM(Raw_Data!G440))</f>
        <v>Coding</v>
      </c>
      <c r="I449" s="23" t="str">
        <f>PROPER(TRIM(Raw_Data!H440))</f>
        <v>Ahmedabad Center</v>
      </c>
      <c r="J449" s="24">
        <f>IF(LEN(TRIM(Raw_Data!I440))=4,VALUE(TRIM(Raw_Data!I440)),IF(ISNUMBER(IFERROR(VALUE(MID(TRIM(Raw_Data!I440),1,4)),"NA")),VALUE(MID(TRIM(Raw_Data!I440),1,4)),VALUE(RIGHT(TRIM(Raw_Data!I440),4))))</f>
        <v>2018</v>
      </c>
      <c r="K449" s="23" t="str">
        <f>PROPER(TRIM(Raw_Data!J440))</f>
        <v>Salaried</v>
      </c>
      <c r="L449" s="23" t="str">
        <f t="shared" si="18"/>
        <v>17-19</v>
      </c>
      <c r="M449" s="23" t="str">
        <f t="shared" si="19"/>
        <v>Teens</v>
      </c>
      <c r="N449" s="23" t="str">
        <f>IF(ISNUMBER(SEARCH("NON",UPPER(Raw_Data!M440))),"Non-Premium Learner","Premium Learner")</f>
        <v>Non-Premium Learner</v>
      </c>
      <c r="O449" s="23" t="str">
        <f>PROPER(TRIM(Raw_Data!N440))</f>
        <v>Web Only</v>
      </c>
      <c r="P449" s="24">
        <f>IF(Raw_Data!O440="",$C$7,Raw_Data!O440)</f>
        <v>14642.55</v>
      </c>
      <c r="Q449" s="23" t="str">
        <f>IF(Raw_Data!O440="","Missing-Imputed","Original")</f>
        <v>Original</v>
      </c>
      <c r="R449" s="24">
        <f>Raw_Data!P440</f>
        <v>17.600000000000001</v>
      </c>
      <c r="S449" s="24">
        <f>Raw_Data!Q440</f>
        <v>44405.58</v>
      </c>
      <c r="T449" s="23" t="str">
        <f>IF(Raw_Data!R440="","Unknown",IF(ISNUMBER(SEARCH("ACT",UPPER(Raw_Data!R440))),"Active",IF(ISNUMBER(SEARCH("CLOS",UPPER(Raw_Data!R440))),"Closed","None")))</f>
        <v>None</v>
      </c>
      <c r="U449" s="24">
        <f>IF(Raw_Data!S440="",$C$8,VALUE(Raw_Data!S440))</f>
        <v>591</v>
      </c>
      <c r="V449" s="23" t="str">
        <f>IF(Raw_Data!S440="","Missing-Imputed","Original")</f>
        <v>Original</v>
      </c>
      <c r="W449" s="24">
        <f>Raw_Data!T440</f>
        <v>72</v>
      </c>
      <c r="X449" s="23" t="str">
        <f>IF(ISNUMBER(SEARCH("Y",UPPER(TRIM(Raw_Data!U440)))),"Yes","No")</f>
        <v>No</v>
      </c>
      <c r="Y449" s="23" t="str">
        <f>IF(ISNUMBER(SEARCH("Y",UPPER(TRIM(Raw_Data!V440)))),"Yes","No")</f>
        <v>Yes</v>
      </c>
      <c r="Z449" s="24">
        <f>Raw_Data!W440</f>
        <v>2</v>
      </c>
      <c r="AA449" s="24">
        <f>Raw_Data!X440</f>
        <v>8.6</v>
      </c>
      <c r="AB449" s="23" t="str">
        <f>IF(COUNTIFS(Raw_Data!$A$2:$A$616,Raw_Data!A440)&gt;1,"Duplicate","Unique")</f>
        <v>Unique</v>
      </c>
      <c r="AC449" s="23" t="str">
        <f t="shared" si="20"/>
        <v>Clean</v>
      </c>
    </row>
    <row r="450" spans="1:29" ht="15" customHeight="1">
      <c r="A450" s="25" t="str">
        <f>Raw_Data!A441</f>
        <v>BYJ1440</v>
      </c>
      <c r="B450" s="25" t="str">
        <f>Raw_Data!B441</f>
        <v>Madhav Babu</v>
      </c>
      <c r="C450" s="26">
        <f>IF(OR(Raw_Data!C441="",Raw_Data!C441&lt;$C$5,Raw_Data!C441&gt;$C$6),$C$4,Raw_Data!C441)</f>
        <v>14</v>
      </c>
      <c r="D450" s="25" t="str">
        <f>IF(Raw_Data!C441="","Missing-Imputed",IF(OR(Raw_Data!C441&lt;$C$5,Raw_Data!C441&gt;$C$6),"Outlier-Imputed","Original"))</f>
        <v>Original</v>
      </c>
      <c r="E450" s="25" t="str">
        <f>IF(OR(UPPER(TRIM(Raw_Data!D441))="M",UPPER(TRIM(Raw_Data!D441))="MALE"),"Male","Female")</f>
        <v>Male</v>
      </c>
      <c r="F450" s="25" t="str">
        <f>PROPER(TRIM(Raw_Data!E441))</f>
        <v>Begusarai</v>
      </c>
      <c r="G450" s="25" t="str">
        <f>PROPER(TRIM(Raw_Data!F441))</f>
        <v>Karnataka</v>
      </c>
      <c r="H450" s="25" t="str">
        <f>PROPER(TRIM(Raw_Data!G441))</f>
        <v>English</v>
      </c>
      <c r="I450" s="25" t="str">
        <f>PROPER(TRIM(Raw_Data!H441))</f>
        <v>Chennai Central</v>
      </c>
      <c r="J450" s="26">
        <f>IF(LEN(TRIM(Raw_Data!I441))=4,VALUE(TRIM(Raw_Data!I441)),IF(ISNUMBER(IFERROR(VALUE(MID(TRIM(Raw_Data!I441),1,4)),"NA")),VALUE(MID(TRIM(Raw_Data!I441),1,4)),VALUE(RIGHT(TRIM(Raw_Data!I441),4))))</f>
        <v>2022</v>
      </c>
      <c r="K450" s="25" t="str">
        <f>PROPER(TRIM(Raw_Data!J441))</f>
        <v>Business</v>
      </c>
      <c r="L450" s="25" t="str">
        <f t="shared" si="18"/>
        <v>14-16</v>
      </c>
      <c r="M450" s="25" t="str">
        <f t="shared" si="19"/>
        <v>Teens</v>
      </c>
      <c r="N450" s="25" t="str">
        <f>IF(ISNUMBER(SEARCH("NON",UPPER(Raw_Data!M441))),"Non-Premium Learner","Premium Learner")</f>
        <v>Non-Premium Learner</v>
      </c>
      <c r="O450" s="25" t="str">
        <f>PROPER(TRIM(Raw_Data!N441))</f>
        <v>Both App &amp; Web</v>
      </c>
      <c r="P450" s="26">
        <f>IF(Raw_Data!O441="",$C$7,Raw_Data!O441)</f>
        <v>25700.01</v>
      </c>
      <c r="Q450" s="25" t="str">
        <f>IF(Raw_Data!O441="","Missing-Imputed","Original")</f>
        <v>Original</v>
      </c>
      <c r="R450" s="26">
        <f>Raw_Data!P441</f>
        <v>8.1</v>
      </c>
      <c r="S450" s="26">
        <f>Raw_Data!Q441</f>
        <v>56016.94</v>
      </c>
      <c r="T450" s="25" t="str">
        <f>IF(Raw_Data!R441="","Unknown",IF(ISNUMBER(SEARCH("ACT",UPPER(Raw_Data!R441))),"Active",IF(ISNUMBER(SEARCH("CLOS",UPPER(Raw_Data!R441))),"Closed","None")))</f>
        <v>Active</v>
      </c>
      <c r="U450" s="26">
        <f>IF(Raw_Data!S441="",$C$8,VALUE(Raw_Data!S441))</f>
        <v>625</v>
      </c>
      <c r="V450" s="25" t="str">
        <f>IF(Raw_Data!S441="","Missing-Imputed","Original")</f>
        <v>Original</v>
      </c>
      <c r="W450" s="26">
        <f>Raw_Data!T441</f>
        <v>3</v>
      </c>
      <c r="X450" s="25" t="str">
        <f>IF(ISNUMBER(SEARCH("Y",UPPER(TRIM(Raw_Data!U441)))),"Yes","No")</f>
        <v>Yes</v>
      </c>
      <c r="Y450" s="25" t="str">
        <f>IF(ISNUMBER(SEARCH("Y",UPPER(TRIM(Raw_Data!V441)))),"Yes","No")</f>
        <v>No</v>
      </c>
      <c r="Z450" s="26">
        <f>Raw_Data!W441</f>
        <v>3</v>
      </c>
      <c r="AA450" s="26">
        <f>Raw_Data!X441</f>
        <v>4.4000000000000004</v>
      </c>
      <c r="AB450" s="25" t="str">
        <f>IF(COUNTIFS(Raw_Data!$A$2:$A$616,Raw_Data!A441)&gt;1,"Duplicate","Unique")</f>
        <v>Unique</v>
      </c>
      <c r="AC450" s="25" t="str">
        <f t="shared" si="20"/>
        <v>Clean</v>
      </c>
    </row>
    <row r="451" spans="1:29" ht="15" customHeight="1">
      <c r="A451" s="23" t="str">
        <f>Raw_Data!A442</f>
        <v>BYJ1441</v>
      </c>
      <c r="B451" s="23" t="str">
        <f>Raw_Data!B442</f>
        <v>Chakrika Dua</v>
      </c>
      <c r="C451" s="24">
        <f>IF(OR(Raw_Data!C442="",Raw_Data!C442&lt;$C$5,Raw_Data!C442&gt;$C$6),$C$4,Raw_Data!C442)</f>
        <v>30</v>
      </c>
      <c r="D451" s="23" t="str">
        <f>IF(Raw_Data!C442="","Missing-Imputed",IF(OR(Raw_Data!C442&lt;$C$5,Raw_Data!C442&gt;$C$6),"Outlier-Imputed","Original"))</f>
        <v>Original</v>
      </c>
      <c r="E451" s="23" t="str">
        <f>IF(OR(UPPER(TRIM(Raw_Data!D442))="M",UPPER(TRIM(Raw_Data!D442))="MALE"),"Male","Female")</f>
        <v>Male</v>
      </c>
      <c r="F451" s="23" t="str">
        <f>PROPER(TRIM(Raw_Data!E442))</f>
        <v>Ozhukarai</v>
      </c>
      <c r="G451" s="23" t="str">
        <f>PROPER(TRIM(Raw_Data!F442))</f>
        <v>Delhi</v>
      </c>
      <c r="H451" s="23" t="str">
        <f>PROPER(TRIM(Raw_Data!G442))</f>
        <v>Science</v>
      </c>
      <c r="I451" s="23" t="str">
        <f>PROPER(TRIM(Raw_Data!H442))</f>
        <v>Delhi North</v>
      </c>
      <c r="J451" s="24">
        <f>IF(LEN(TRIM(Raw_Data!I442))=4,VALUE(TRIM(Raw_Data!I442)),IF(ISNUMBER(IFERROR(VALUE(MID(TRIM(Raw_Data!I442),1,4)),"NA")),VALUE(MID(TRIM(Raw_Data!I442),1,4)),VALUE(RIGHT(TRIM(Raw_Data!I442),4))))</f>
        <v>2021</v>
      </c>
      <c r="K451" s="23" t="str">
        <f>PROPER(TRIM(Raw_Data!J442))</f>
        <v>Salaried</v>
      </c>
      <c r="L451" s="23" t="str">
        <f t="shared" si="18"/>
        <v>20+</v>
      </c>
      <c r="M451" s="23" t="str">
        <f t="shared" si="19"/>
        <v>Adult Learners</v>
      </c>
      <c r="N451" s="23" t="str">
        <f>IF(ISNUMBER(SEARCH("NON",UPPER(Raw_Data!M442))),"Non-Premium Learner","Premium Learner")</f>
        <v>Non-Premium Learner</v>
      </c>
      <c r="O451" s="23" t="str">
        <f>PROPER(TRIM(Raw_Data!N442))</f>
        <v>App Only</v>
      </c>
      <c r="P451" s="24">
        <f>IF(Raw_Data!O442="",$C$7,Raw_Data!O442)</f>
        <v>92240.71</v>
      </c>
      <c r="Q451" s="23" t="str">
        <f>IF(Raw_Data!O442="","Missing-Imputed","Original")</f>
        <v>Original</v>
      </c>
      <c r="R451" s="24">
        <f>Raw_Data!P442</f>
        <v>17.100000000000001</v>
      </c>
      <c r="S451" s="24">
        <f>Raw_Data!Q442</f>
        <v>32827.4</v>
      </c>
      <c r="T451" s="23" t="str">
        <f>IF(Raw_Data!R442="","Unknown",IF(ISNUMBER(SEARCH("ACT",UPPER(Raw_Data!R442))),"Active",IF(ISNUMBER(SEARCH("CLOS",UPPER(Raw_Data!R442))),"Closed","None")))</f>
        <v>Closed</v>
      </c>
      <c r="U451" s="24">
        <f>IF(Raw_Data!S442="",$C$8,VALUE(Raw_Data!S442))</f>
        <v>414</v>
      </c>
      <c r="V451" s="23" t="str">
        <f>IF(Raw_Data!S442="","Missing-Imputed","Original")</f>
        <v>Original</v>
      </c>
      <c r="W451" s="24">
        <f>Raw_Data!T442</f>
        <v>104</v>
      </c>
      <c r="X451" s="23" t="str">
        <f>IF(ISNUMBER(SEARCH("Y",UPPER(TRIM(Raw_Data!U442)))),"Yes","No")</f>
        <v>Yes</v>
      </c>
      <c r="Y451" s="23" t="str">
        <f>IF(ISNUMBER(SEARCH("Y",UPPER(TRIM(Raw_Data!V442)))),"Yes","No")</f>
        <v>No</v>
      </c>
      <c r="Z451" s="24">
        <f>Raw_Data!W442</f>
        <v>1</v>
      </c>
      <c r="AA451" s="24">
        <f>Raw_Data!X442</f>
        <v>1.7</v>
      </c>
      <c r="AB451" s="23" t="str">
        <f>IF(COUNTIFS(Raw_Data!$A$2:$A$616,Raw_Data!A442)&gt;1,"Duplicate","Unique")</f>
        <v>Unique</v>
      </c>
      <c r="AC451" s="23" t="str">
        <f t="shared" si="20"/>
        <v>Clean</v>
      </c>
    </row>
    <row r="452" spans="1:29" ht="15" customHeight="1">
      <c r="A452" s="25" t="str">
        <f>Raw_Data!A443</f>
        <v>BYJ1442</v>
      </c>
      <c r="B452" s="25" t="str">
        <f>Raw_Data!B443</f>
        <v>Ladli Korpal</v>
      </c>
      <c r="C452" s="26">
        <f>IF(OR(Raw_Data!C443="",Raw_Data!C443&lt;$C$5,Raw_Data!C443&gt;$C$6),$C$4,Raw_Data!C443)</f>
        <v>30</v>
      </c>
      <c r="D452" s="25" t="str">
        <f>IF(Raw_Data!C443="","Missing-Imputed",IF(OR(Raw_Data!C443&lt;$C$5,Raw_Data!C443&gt;$C$6),"Outlier-Imputed","Original"))</f>
        <v>Original</v>
      </c>
      <c r="E452" s="25" t="str">
        <f>IF(OR(UPPER(TRIM(Raw_Data!D443))="M",UPPER(TRIM(Raw_Data!D443))="MALE"),"Male","Female")</f>
        <v>Male</v>
      </c>
      <c r="F452" s="25" t="str">
        <f>PROPER(TRIM(Raw_Data!E443))</f>
        <v>Jamalpur</v>
      </c>
      <c r="G452" s="25" t="str">
        <f>PROPER(TRIM(Raw_Data!F443))</f>
        <v>West Bengal</v>
      </c>
      <c r="H452" s="25" t="str">
        <f>PROPER(TRIM(Raw_Data!G443))</f>
        <v>Mathematics</v>
      </c>
      <c r="I452" s="25" t="str">
        <f>PROPER(TRIM(Raw_Data!H443))</f>
        <v>Delhi North</v>
      </c>
      <c r="J452" s="26">
        <f>IF(LEN(TRIM(Raw_Data!I443))=4,VALUE(TRIM(Raw_Data!I443)),IF(ISNUMBER(IFERROR(VALUE(MID(TRIM(Raw_Data!I443),1,4)),"NA")),VALUE(MID(TRIM(Raw_Data!I443),1,4)),VALUE(RIGHT(TRIM(Raw_Data!I443),4))))</f>
        <v>2016</v>
      </c>
      <c r="K452" s="25" t="str">
        <f>PROPER(TRIM(Raw_Data!J443))</f>
        <v>Salaried</v>
      </c>
      <c r="L452" s="25" t="str">
        <f t="shared" si="18"/>
        <v>20+</v>
      </c>
      <c r="M452" s="25" t="str">
        <f t="shared" si="19"/>
        <v>Adult Learners</v>
      </c>
      <c r="N452" s="25" t="str">
        <f>IF(ISNUMBER(SEARCH("NON",UPPER(Raw_Data!M443))),"Non-Premium Learner","Premium Learner")</f>
        <v>Non-Premium Learner</v>
      </c>
      <c r="O452" s="25" t="str">
        <f>PROPER(TRIM(Raw_Data!N443))</f>
        <v>Both App &amp; Web</v>
      </c>
      <c r="P452" s="26">
        <f>IF(Raw_Data!O443="",$C$7,Raw_Data!O443)</f>
        <v>98494.57</v>
      </c>
      <c r="Q452" s="25" t="str">
        <f>IF(Raw_Data!O443="","Missing-Imputed","Original")</f>
        <v>Original</v>
      </c>
      <c r="R452" s="26">
        <f>Raw_Data!P443</f>
        <v>51.2</v>
      </c>
      <c r="S452" s="26">
        <f>Raw_Data!Q443</f>
        <v>26980.27</v>
      </c>
      <c r="T452" s="25" t="str">
        <f>IF(Raw_Data!R443="","Unknown",IF(ISNUMBER(SEARCH("ACT",UPPER(Raw_Data!R443))),"Active",IF(ISNUMBER(SEARCH("CLOS",UPPER(Raw_Data!R443))),"Closed","None")))</f>
        <v>None</v>
      </c>
      <c r="U452" s="26">
        <f>IF(Raw_Data!S443="",$C$8,VALUE(Raw_Data!S443))</f>
        <v>802</v>
      </c>
      <c r="V452" s="25" t="str">
        <f>IF(Raw_Data!S443="","Missing-Imputed","Original")</f>
        <v>Original</v>
      </c>
      <c r="W452" s="26">
        <f>Raw_Data!T443</f>
        <v>88</v>
      </c>
      <c r="X452" s="25" t="str">
        <f>IF(ISNUMBER(SEARCH("Y",UPPER(TRIM(Raw_Data!U443)))),"Yes","No")</f>
        <v>No</v>
      </c>
      <c r="Y452" s="25" t="str">
        <f>IF(ISNUMBER(SEARCH("Y",UPPER(TRIM(Raw_Data!V443)))),"Yes","No")</f>
        <v>Yes</v>
      </c>
      <c r="Z452" s="26">
        <f>Raw_Data!W443</f>
        <v>5</v>
      </c>
      <c r="AA452" s="26">
        <f>Raw_Data!X443</f>
        <v>8</v>
      </c>
      <c r="AB452" s="25" t="str">
        <f>IF(COUNTIFS(Raw_Data!$A$2:$A$616,Raw_Data!A443)&gt;1,"Duplicate","Unique")</f>
        <v>Unique</v>
      </c>
      <c r="AC452" s="25" t="str">
        <f t="shared" si="20"/>
        <v>Clean</v>
      </c>
    </row>
    <row r="453" spans="1:29" ht="15" customHeight="1">
      <c r="A453" s="23" t="str">
        <f>Raw_Data!A444</f>
        <v>BYJ1443</v>
      </c>
      <c r="B453" s="23" t="str">
        <f>Raw_Data!B444</f>
        <v>Aarini Suresh</v>
      </c>
      <c r="C453" s="24">
        <f>IF(OR(Raw_Data!C444="",Raw_Data!C444&lt;$C$5,Raw_Data!C444&gt;$C$6),$C$4,Raw_Data!C444)</f>
        <v>17</v>
      </c>
      <c r="D453" s="23" t="str">
        <f>IF(Raw_Data!C444="","Missing-Imputed",IF(OR(Raw_Data!C444&lt;$C$5,Raw_Data!C444&gt;$C$6),"Outlier-Imputed","Original"))</f>
        <v>Original</v>
      </c>
      <c r="E453" s="23" t="str">
        <f>IF(OR(UPPER(TRIM(Raw_Data!D444))="M",UPPER(TRIM(Raw_Data!D444))="MALE"),"Male","Female")</f>
        <v>Female</v>
      </c>
      <c r="F453" s="23" t="str">
        <f>PROPER(TRIM(Raw_Data!E444))</f>
        <v>Jaunpur</v>
      </c>
      <c r="G453" s="23" t="str">
        <f>PROPER(TRIM(Raw_Data!F444))</f>
        <v>Gujarat</v>
      </c>
      <c r="H453" s="23" t="str">
        <f>PROPER(TRIM(Raw_Data!G444))</f>
        <v>Coding</v>
      </c>
      <c r="I453" s="23" t="str">
        <f>PROPER(TRIM(Raw_Data!H444))</f>
        <v>Kolkata Main</v>
      </c>
      <c r="J453" s="24">
        <f>IF(LEN(TRIM(Raw_Data!I444))=4,VALUE(TRIM(Raw_Data!I444)),IF(ISNUMBER(IFERROR(VALUE(MID(TRIM(Raw_Data!I444),1,4)),"NA")),VALUE(MID(TRIM(Raw_Data!I444),1,4)),VALUE(RIGHT(TRIM(Raw_Data!I444),4))))</f>
        <v>2020</v>
      </c>
      <c r="K453" s="23" t="str">
        <f>PROPER(TRIM(Raw_Data!J444))</f>
        <v>Self-Employed</v>
      </c>
      <c r="L453" s="23" t="str">
        <f t="shared" si="18"/>
        <v>17-19</v>
      </c>
      <c r="M453" s="23" t="str">
        <f t="shared" si="19"/>
        <v>Teens</v>
      </c>
      <c r="N453" s="23" t="str">
        <f>IF(ISNUMBER(SEARCH("NON",UPPER(Raw_Data!M444))),"Non-Premium Learner","Premium Learner")</f>
        <v>Non-Premium Learner</v>
      </c>
      <c r="O453" s="23" t="str">
        <f>PROPER(TRIM(Raw_Data!N444))</f>
        <v>App Only</v>
      </c>
      <c r="P453" s="24">
        <f>IF(Raw_Data!O444="",$C$7,Raw_Data!O444)</f>
        <v>148185.96</v>
      </c>
      <c r="Q453" s="23" t="str">
        <f>IF(Raw_Data!O444="","Missing-Imputed","Original")</f>
        <v>Original</v>
      </c>
      <c r="R453" s="24">
        <f>Raw_Data!P444</f>
        <v>52</v>
      </c>
      <c r="S453" s="24">
        <f>Raw_Data!Q444</f>
        <v>12486.06</v>
      </c>
      <c r="T453" s="23" t="str">
        <f>IF(Raw_Data!R444="","Unknown",IF(ISNUMBER(SEARCH("ACT",UPPER(Raw_Data!R444))),"Active",IF(ISNUMBER(SEARCH("CLOS",UPPER(Raw_Data!R444))),"Closed","None")))</f>
        <v>Closed</v>
      </c>
      <c r="U453" s="24">
        <f>IF(Raw_Data!S444="",$C$8,VALUE(Raw_Data!S444))</f>
        <v>727</v>
      </c>
      <c r="V453" s="23" t="str">
        <f>IF(Raw_Data!S444="","Missing-Imputed","Original")</f>
        <v>Original</v>
      </c>
      <c r="W453" s="24">
        <f>Raw_Data!T444</f>
        <v>115</v>
      </c>
      <c r="X453" s="23" t="str">
        <f>IF(ISNUMBER(SEARCH("Y",UPPER(TRIM(Raw_Data!U444)))),"Yes","No")</f>
        <v>No</v>
      </c>
      <c r="Y453" s="23" t="str">
        <f>IF(ISNUMBER(SEARCH("Y",UPPER(TRIM(Raw_Data!V444)))),"Yes","No")</f>
        <v>No</v>
      </c>
      <c r="Z453" s="24">
        <f>Raw_Data!W444</f>
        <v>3</v>
      </c>
      <c r="AA453" s="24">
        <f>Raw_Data!X444</f>
        <v>3.3</v>
      </c>
      <c r="AB453" s="23" t="str">
        <f>IF(COUNTIFS(Raw_Data!$A$2:$A$616,Raw_Data!A444)&gt;1,"Duplicate","Unique")</f>
        <v>Unique</v>
      </c>
      <c r="AC453" s="23" t="str">
        <f t="shared" si="20"/>
        <v>Clean</v>
      </c>
    </row>
    <row r="454" spans="1:29" ht="15" customHeight="1">
      <c r="A454" s="25" t="str">
        <f>Raw_Data!A445</f>
        <v>BYJ1444</v>
      </c>
      <c r="B454" s="25" t="str">
        <f>Raw_Data!B445</f>
        <v>Indira Gara</v>
      </c>
      <c r="C454" s="26">
        <f>IF(OR(Raw_Data!C445="",Raw_Data!C445&lt;$C$5,Raw_Data!C445&gt;$C$6),$C$4,Raw_Data!C445)</f>
        <v>19</v>
      </c>
      <c r="D454" s="25" t="str">
        <f>IF(Raw_Data!C445="","Missing-Imputed",IF(OR(Raw_Data!C445&lt;$C$5,Raw_Data!C445&gt;$C$6),"Outlier-Imputed","Original"))</f>
        <v>Original</v>
      </c>
      <c r="E454" s="25" t="str">
        <f>IF(OR(UPPER(TRIM(Raw_Data!D445))="M",UPPER(TRIM(Raw_Data!D445))="MALE"),"Male","Female")</f>
        <v>Male</v>
      </c>
      <c r="F454" s="25" t="str">
        <f>PROPER(TRIM(Raw_Data!E445))</f>
        <v>Bongaigaon</v>
      </c>
      <c r="G454" s="25" t="str">
        <f>PROPER(TRIM(Raw_Data!F445))</f>
        <v>Kerala</v>
      </c>
      <c r="H454" s="25" t="str">
        <f>PROPER(TRIM(Raw_Data!G445))</f>
        <v>English</v>
      </c>
      <c r="I454" s="25" t="str">
        <f>PROPER(TRIM(Raw_Data!H445))</f>
        <v>Lucknow Hub</v>
      </c>
      <c r="J454" s="26">
        <f>IF(LEN(TRIM(Raw_Data!I445))=4,VALUE(TRIM(Raw_Data!I445)),IF(ISNUMBER(IFERROR(VALUE(MID(TRIM(Raw_Data!I445),1,4)),"NA")),VALUE(MID(TRIM(Raw_Data!I445),1,4)),VALUE(RIGHT(TRIM(Raw_Data!I445),4))))</f>
        <v>2021</v>
      </c>
      <c r="K454" s="25" t="str">
        <f>PROPER(TRIM(Raw_Data!J445))</f>
        <v>Homemaker</v>
      </c>
      <c r="L454" s="25" t="str">
        <f t="shared" si="18"/>
        <v>17-19</v>
      </c>
      <c r="M454" s="25" t="str">
        <f t="shared" si="19"/>
        <v>Teens</v>
      </c>
      <c r="N454" s="25" t="str">
        <f>IF(ISNUMBER(SEARCH("NON",UPPER(Raw_Data!M445))),"Non-Premium Learner","Premium Learner")</f>
        <v>Non-Premium Learner</v>
      </c>
      <c r="O454" s="25" t="str">
        <f>PROPER(TRIM(Raw_Data!N445))</f>
        <v>App Only</v>
      </c>
      <c r="P454" s="26">
        <f>IF(Raw_Data!O445="",$C$7,Raw_Data!O445)</f>
        <v>73183.710000000006</v>
      </c>
      <c r="Q454" s="25" t="str">
        <f>IF(Raw_Data!O445="","Missing-Imputed","Original")</f>
        <v>Original</v>
      </c>
      <c r="R454" s="26">
        <f>Raw_Data!P445</f>
        <v>38.9</v>
      </c>
      <c r="S454" s="26">
        <f>Raw_Data!Q445</f>
        <v>54280.56</v>
      </c>
      <c r="T454" s="25" t="str">
        <f>IF(Raw_Data!R445="","Unknown",IF(ISNUMBER(SEARCH("ACT",UPPER(Raw_Data!R445))),"Active",IF(ISNUMBER(SEARCH("CLOS",UPPER(Raw_Data!R445))),"Closed","None")))</f>
        <v>None</v>
      </c>
      <c r="U454" s="26">
        <f>IF(Raw_Data!S445="",$C$8,VALUE(Raw_Data!S445))</f>
        <v>352</v>
      </c>
      <c r="V454" s="25" t="str">
        <f>IF(Raw_Data!S445="","Missing-Imputed","Original")</f>
        <v>Original</v>
      </c>
      <c r="W454" s="26">
        <f>Raw_Data!T445</f>
        <v>86</v>
      </c>
      <c r="X454" s="25" t="str">
        <f>IF(ISNUMBER(SEARCH("Y",UPPER(TRIM(Raw_Data!U445)))),"Yes","No")</f>
        <v>Yes</v>
      </c>
      <c r="Y454" s="25" t="str">
        <f>IF(ISNUMBER(SEARCH("Y",UPPER(TRIM(Raw_Data!V445)))),"Yes","No")</f>
        <v>No</v>
      </c>
      <c r="Z454" s="26">
        <f>Raw_Data!W445</f>
        <v>4</v>
      </c>
      <c r="AA454" s="26">
        <f>Raw_Data!X445</f>
        <v>0.7</v>
      </c>
      <c r="AB454" s="25" t="str">
        <f>IF(COUNTIFS(Raw_Data!$A$2:$A$616,Raw_Data!A445)&gt;1,"Duplicate","Unique")</f>
        <v>Unique</v>
      </c>
      <c r="AC454" s="25" t="str">
        <f t="shared" si="20"/>
        <v>Clean</v>
      </c>
    </row>
    <row r="455" spans="1:29" ht="15" customHeight="1">
      <c r="A455" s="23" t="str">
        <f>Raw_Data!A446</f>
        <v>BYJ1445</v>
      </c>
      <c r="B455" s="23" t="str">
        <f>Raw_Data!B446</f>
        <v>Qarin Bhargava</v>
      </c>
      <c r="C455" s="24">
        <f>IF(OR(Raw_Data!C446="",Raw_Data!C446&lt;$C$5,Raw_Data!C446&gt;$C$6),$C$4,Raw_Data!C446)</f>
        <v>17</v>
      </c>
      <c r="D455" s="23" t="str">
        <f>IF(Raw_Data!C446="","Missing-Imputed",IF(OR(Raw_Data!C446&lt;$C$5,Raw_Data!C446&gt;$C$6),"Outlier-Imputed","Original"))</f>
        <v>Original</v>
      </c>
      <c r="E455" s="23" t="str">
        <f>IF(OR(UPPER(TRIM(Raw_Data!D446))="M",UPPER(TRIM(Raw_Data!D446))="MALE"),"Male","Female")</f>
        <v>Female</v>
      </c>
      <c r="F455" s="23" t="str">
        <f>PROPER(TRIM(Raw_Data!E446))</f>
        <v>Aurangabad</v>
      </c>
      <c r="G455" s="23" t="str">
        <f>PROPER(TRIM(Raw_Data!F446))</f>
        <v>West Bengal</v>
      </c>
      <c r="H455" s="23" t="str">
        <f>PROPER(TRIM(Raw_Data!G446))</f>
        <v>English</v>
      </c>
      <c r="I455" s="23" t="str">
        <f>PROPER(TRIM(Raw_Data!H446))</f>
        <v>Mumbai West</v>
      </c>
      <c r="J455" s="24">
        <f>IF(LEN(TRIM(Raw_Data!I446))=4,VALUE(TRIM(Raw_Data!I446)),IF(ISNUMBER(IFERROR(VALUE(MID(TRIM(Raw_Data!I446),1,4)),"NA")),VALUE(MID(TRIM(Raw_Data!I446),1,4)),VALUE(RIGHT(TRIM(Raw_Data!I446),4))))</f>
        <v>2022</v>
      </c>
      <c r="K455" s="23" t="str">
        <f>PROPER(TRIM(Raw_Data!J446))</f>
        <v>Retired</v>
      </c>
      <c r="L455" s="23" t="str">
        <f t="shared" si="18"/>
        <v>17-19</v>
      </c>
      <c r="M455" s="23" t="str">
        <f t="shared" si="19"/>
        <v>Teens</v>
      </c>
      <c r="N455" s="23" t="str">
        <f>IF(ISNUMBER(SEARCH("NON",UPPER(Raw_Data!M446))),"Non-Premium Learner","Premium Learner")</f>
        <v>Premium Learner</v>
      </c>
      <c r="O455" s="23" t="str">
        <f>PROPER(TRIM(Raw_Data!N446))</f>
        <v>Web Only</v>
      </c>
      <c r="P455" s="24">
        <f>IF(Raw_Data!O446="",$C$7,Raw_Data!O446)</f>
        <v>93501.92</v>
      </c>
      <c r="Q455" s="23" t="str">
        <f>IF(Raw_Data!O446="","Missing-Imputed","Original")</f>
        <v>Original</v>
      </c>
      <c r="R455" s="24">
        <f>Raw_Data!P446</f>
        <v>44.8</v>
      </c>
      <c r="S455" s="24">
        <f>Raw_Data!Q446</f>
        <v>37685.14</v>
      </c>
      <c r="T455" s="23" t="str">
        <f>IF(Raw_Data!R446="","Unknown",IF(ISNUMBER(SEARCH("ACT",UPPER(Raw_Data!R446))),"Active",IF(ISNUMBER(SEARCH("CLOS",UPPER(Raw_Data!R446))),"Closed","None")))</f>
        <v>Active</v>
      </c>
      <c r="U455" s="24">
        <f>IF(Raw_Data!S446="",$C$8,VALUE(Raw_Data!S446))</f>
        <v>366</v>
      </c>
      <c r="V455" s="23" t="str">
        <f>IF(Raw_Data!S446="","Missing-Imputed","Original")</f>
        <v>Original</v>
      </c>
      <c r="W455" s="24">
        <f>Raw_Data!T446</f>
        <v>2</v>
      </c>
      <c r="X455" s="23" t="str">
        <f>IF(ISNUMBER(SEARCH("Y",UPPER(TRIM(Raw_Data!U446)))),"Yes","No")</f>
        <v>Yes</v>
      </c>
      <c r="Y455" s="23" t="str">
        <f>IF(ISNUMBER(SEARCH("Y",UPPER(TRIM(Raw_Data!V446)))),"Yes","No")</f>
        <v>Yes</v>
      </c>
      <c r="Z455" s="24">
        <f>Raw_Data!W446</f>
        <v>3</v>
      </c>
      <c r="AA455" s="24">
        <f>Raw_Data!X446</f>
        <v>2.2000000000000002</v>
      </c>
      <c r="AB455" s="23" t="str">
        <f>IF(COUNTIFS(Raw_Data!$A$2:$A$616,Raw_Data!A446)&gt;1,"Duplicate","Unique")</f>
        <v>Unique</v>
      </c>
      <c r="AC455" s="23" t="str">
        <f t="shared" si="20"/>
        <v>Clean</v>
      </c>
    </row>
    <row r="456" spans="1:29" ht="15" customHeight="1">
      <c r="A456" s="25" t="str">
        <f>Raw_Data!A447</f>
        <v>BYJ1446</v>
      </c>
      <c r="B456" s="25" t="str">
        <f>Raw_Data!B447</f>
        <v>Abeer Sachar</v>
      </c>
      <c r="C456" s="26">
        <f>IF(OR(Raw_Data!C447="",Raw_Data!C447&lt;$C$5,Raw_Data!C447&gt;$C$6),$C$4,Raw_Data!C447)</f>
        <v>10</v>
      </c>
      <c r="D456" s="25" t="str">
        <f>IF(Raw_Data!C447="","Missing-Imputed",IF(OR(Raw_Data!C447&lt;$C$5,Raw_Data!C447&gt;$C$6),"Outlier-Imputed","Original"))</f>
        <v>Original</v>
      </c>
      <c r="E456" s="25" t="str">
        <f>IF(OR(UPPER(TRIM(Raw_Data!D447))="M",UPPER(TRIM(Raw_Data!D447))="MALE"),"Male","Female")</f>
        <v>Female</v>
      </c>
      <c r="F456" s="25" t="str">
        <f>PROPER(TRIM(Raw_Data!E447))</f>
        <v>Ahmednagar</v>
      </c>
      <c r="G456" s="25" t="str">
        <f>PROPER(TRIM(Raw_Data!F447))</f>
        <v>Kerala</v>
      </c>
      <c r="H456" s="25" t="str">
        <f>PROPER(TRIM(Raw_Data!G447))</f>
        <v>Spoken English</v>
      </c>
      <c r="I456" s="25" t="str">
        <f>PROPER(TRIM(Raw_Data!H447))</f>
        <v>Ahmedabad Center</v>
      </c>
      <c r="J456" s="26">
        <f>IF(LEN(TRIM(Raw_Data!I447))=4,VALUE(TRIM(Raw_Data!I447)),IF(ISNUMBER(IFERROR(VALUE(MID(TRIM(Raw_Data!I447),1,4)),"NA")),VALUE(MID(TRIM(Raw_Data!I447),1,4)),VALUE(RIGHT(TRIM(Raw_Data!I447),4))))</f>
        <v>46028</v>
      </c>
      <c r="K456" s="25" t="str">
        <f>PROPER(TRIM(Raw_Data!J447))</f>
        <v>Homemaker</v>
      </c>
      <c r="L456" s="25" t="str">
        <f t="shared" si="18"/>
        <v>10-13</v>
      </c>
      <c r="M456" s="25" t="str">
        <f t="shared" si="19"/>
        <v>Kids</v>
      </c>
      <c r="N456" s="25" t="str">
        <f>IF(ISNUMBER(SEARCH("NON",UPPER(Raw_Data!M447))),"Non-Premium Learner","Premium Learner")</f>
        <v>Premium Learner</v>
      </c>
      <c r="O456" s="25" t="str">
        <f>PROPER(TRIM(Raw_Data!N447))</f>
        <v>App Only</v>
      </c>
      <c r="P456" s="26">
        <f>IF(Raw_Data!O447="",$C$7,Raw_Data!O447)</f>
        <v>28672.23</v>
      </c>
      <c r="Q456" s="25" t="str">
        <f>IF(Raw_Data!O447="","Missing-Imputed","Original")</f>
        <v>Original</v>
      </c>
      <c r="R456" s="26">
        <f>Raw_Data!P447</f>
        <v>73.3</v>
      </c>
      <c r="S456" s="26">
        <f>Raw_Data!Q447</f>
        <v>24580.79</v>
      </c>
      <c r="T456" s="25" t="str">
        <f>IF(Raw_Data!R447="","Unknown",IF(ISNUMBER(SEARCH("ACT",UPPER(Raw_Data!R447))),"Active",IF(ISNUMBER(SEARCH("CLOS",UPPER(Raw_Data!R447))),"Closed","None")))</f>
        <v>Unknown</v>
      </c>
      <c r="U456" s="26">
        <f>IF(Raw_Data!S447="",$C$8,VALUE(Raw_Data!S447))</f>
        <v>780</v>
      </c>
      <c r="V456" s="25" t="str">
        <f>IF(Raw_Data!S447="","Missing-Imputed","Original")</f>
        <v>Original</v>
      </c>
      <c r="W456" s="26">
        <f>Raw_Data!T447</f>
        <v>71</v>
      </c>
      <c r="X456" s="25" t="str">
        <f>IF(ISNUMBER(SEARCH("Y",UPPER(TRIM(Raw_Data!U447)))),"Yes","No")</f>
        <v>Yes</v>
      </c>
      <c r="Y456" s="25" t="str">
        <f>IF(ISNUMBER(SEARCH("Y",UPPER(TRIM(Raw_Data!V447)))),"Yes","No")</f>
        <v>Yes</v>
      </c>
      <c r="Z456" s="26">
        <f>Raw_Data!W447</f>
        <v>1</v>
      </c>
      <c r="AA456" s="26">
        <f>Raw_Data!X447</f>
        <v>6.9</v>
      </c>
      <c r="AB456" s="25" t="str">
        <f>IF(COUNTIFS(Raw_Data!$A$2:$A$616,Raw_Data!A447)&gt;1,"Duplicate","Unique")</f>
        <v>Unique</v>
      </c>
      <c r="AC456" s="25" t="str">
        <f t="shared" si="20"/>
        <v>Clean</v>
      </c>
    </row>
    <row r="457" spans="1:29" ht="15" customHeight="1">
      <c r="A457" s="23" t="str">
        <f>Raw_Data!A448</f>
        <v>BYJ1447</v>
      </c>
      <c r="B457" s="23" t="str">
        <f>Raw_Data!B448</f>
        <v>Matthew Andra</v>
      </c>
      <c r="C457" s="24">
        <f>IF(OR(Raw_Data!C448="",Raw_Data!C448&lt;$C$5,Raw_Data!C448&gt;$C$6),$C$4,Raw_Data!C448)</f>
        <v>30</v>
      </c>
      <c r="D457" s="23" t="str">
        <f>IF(Raw_Data!C448="","Missing-Imputed",IF(OR(Raw_Data!C448&lt;$C$5,Raw_Data!C448&gt;$C$6),"Outlier-Imputed","Original"))</f>
        <v>Original</v>
      </c>
      <c r="E457" s="23" t="str">
        <f>IF(OR(UPPER(TRIM(Raw_Data!D448))="M",UPPER(TRIM(Raw_Data!D448))="MALE"),"Male","Female")</f>
        <v>Female</v>
      </c>
      <c r="F457" s="23" t="str">
        <f>PROPER(TRIM(Raw_Data!E448))</f>
        <v>Dibrugarh</v>
      </c>
      <c r="G457" s="23" t="str">
        <f>PROPER(TRIM(Raw_Data!F448))</f>
        <v>Kerala</v>
      </c>
      <c r="H457" s="23" t="str">
        <f>PROPER(TRIM(Raw_Data!G448))</f>
        <v>Neet Prep</v>
      </c>
      <c r="I457" s="23" t="str">
        <f>PROPER(TRIM(Raw_Data!H448))</f>
        <v>Ahmedabad Center</v>
      </c>
      <c r="J457" s="24">
        <f>IF(LEN(TRIM(Raw_Data!I448))=4,VALUE(TRIM(Raw_Data!I448)),IF(ISNUMBER(IFERROR(VALUE(MID(TRIM(Raw_Data!I448),1,4)),"NA")),VALUE(MID(TRIM(Raw_Data!I448),1,4)),VALUE(RIGHT(TRIM(Raw_Data!I448),4))))</f>
        <v>2025</v>
      </c>
      <c r="K457" s="23" t="str">
        <f>PROPER(TRIM(Raw_Data!J448))</f>
        <v>Salaried</v>
      </c>
      <c r="L457" s="23" t="str">
        <f t="shared" si="18"/>
        <v>20+</v>
      </c>
      <c r="M457" s="23" t="str">
        <f t="shared" si="19"/>
        <v>Adult Learners</v>
      </c>
      <c r="N457" s="23" t="str">
        <f>IF(ISNUMBER(SEARCH("NON",UPPER(Raw_Data!M448))),"Non-Premium Learner","Premium Learner")</f>
        <v>Non-Premium Learner</v>
      </c>
      <c r="O457" s="23" t="str">
        <f>PROPER(TRIM(Raw_Data!N448))</f>
        <v>Both App &amp; Web</v>
      </c>
      <c r="P457" s="24">
        <f>IF(Raw_Data!O448="",$C$7,Raw_Data!O448)</f>
        <v>54855.18</v>
      </c>
      <c r="Q457" s="23" t="str">
        <f>IF(Raw_Data!O448="","Missing-Imputed","Original")</f>
        <v>Original</v>
      </c>
      <c r="R457" s="24">
        <f>Raw_Data!P448</f>
        <v>11.4</v>
      </c>
      <c r="S457" s="24">
        <f>Raw_Data!Q448</f>
        <v>22198.09</v>
      </c>
      <c r="T457" s="23" t="str">
        <f>IF(Raw_Data!R448="","Unknown",IF(ISNUMBER(SEARCH("ACT",UPPER(Raw_Data!R448))),"Active",IF(ISNUMBER(SEARCH("CLOS",UPPER(Raw_Data!R448))),"Closed","None")))</f>
        <v>Active</v>
      </c>
      <c r="U457" s="24">
        <f>IF(Raw_Data!S448="",$C$8,VALUE(Raw_Data!S448))</f>
        <v>607</v>
      </c>
      <c r="V457" s="23" t="str">
        <f>IF(Raw_Data!S448="","Missing-Imputed","Original")</f>
        <v>Original</v>
      </c>
      <c r="W457" s="24">
        <f>Raw_Data!T448</f>
        <v>38</v>
      </c>
      <c r="X457" s="23" t="str">
        <f>IF(ISNUMBER(SEARCH("Y",UPPER(TRIM(Raw_Data!U448)))),"Yes","No")</f>
        <v>Yes</v>
      </c>
      <c r="Y457" s="23" t="str">
        <f>IF(ISNUMBER(SEARCH("Y",UPPER(TRIM(Raw_Data!V448)))),"Yes","No")</f>
        <v>No</v>
      </c>
      <c r="Z457" s="24">
        <f>Raw_Data!W448</f>
        <v>1</v>
      </c>
      <c r="AA457" s="24">
        <f>Raw_Data!X448</f>
        <v>3.5</v>
      </c>
      <c r="AB457" s="23" t="str">
        <f>IF(COUNTIFS(Raw_Data!$A$2:$A$616,Raw_Data!A448)&gt;1,"Duplicate","Unique")</f>
        <v>Unique</v>
      </c>
      <c r="AC457" s="23" t="str">
        <f t="shared" si="20"/>
        <v>Clean</v>
      </c>
    </row>
    <row r="458" spans="1:29" ht="15" customHeight="1">
      <c r="A458" s="25" t="str">
        <f>Raw_Data!A449</f>
        <v>BYJ1448</v>
      </c>
      <c r="B458" s="25" t="str">
        <f>Raw_Data!B449</f>
        <v>Kashvi Bhasin</v>
      </c>
      <c r="C458" s="26">
        <f>IF(OR(Raw_Data!C449="",Raw_Data!C449&lt;$C$5,Raw_Data!C449&gt;$C$6),$C$4,Raw_Data!C449)</f>
        <v>45</v>
      </c>
      <c r="D458" s="25" t="str">
        <f>IF(Raw_Data!C449="","Missing-Imputed",IF(OR(Raw_Data!C449&lt;$C$5,Raw_Data!C449&gt;$C$6),"Outlier-Imputed","Original"))</f>
        <v>Original</v>
      </c>
      <c r="E458" s="25" t="str">
        <f>IF(OR(UPPER(TRIM(Raw_Data!D449))="M",UPPER(TRIM(Raw_Data!D449))="MALE"),"Male","Female")</f>
        <v>Female</v>
      </c>
      <c r="F458" s="25" t="str">
        <f>PROPER(TRIM(Raw_Data!E449))</f>
        <v>Morbi</v>
      </c>
      <c r="G458" s="25" t="str">
        <f>PROPER(TRIM(Raw_Data!F449))</f>
        <v>Telangana</v>
      </c>
      <c r="H458" s="25" t="str">
        <f>PROPER(TRIM(Raw_Data!G449))</f>
        <v>English</v>
      </c>
      <c r="I458" s="25" t="str">
        <f>PROPER(TRIM(Raw_Data!H449))</f>
        <v>Jaipur Center</v>
      </c>
      <c r="J458" s="26">
        <f>IF(LEN(TRIM(Raw_Data!I449))=4,VALUE(TRIM(Raw_Data!I449)),IF(ISNUMBER(IFERROR(VALUE(MID(TRIM(Raw_Data!I449),1,4)),"NA")),VALUE(MID(TRIM(Raw_Data!I449),1,4)),VALUE(RIGHT(TRIM(Raw_Data!I449),4))))</f>
        <v>2020</v>
      </c>
      <c r="K458" s="25" t="str">
        <f>PROPER(TRIM(Raw_Data!J449))</f>
        <v>Homemaker</v>
      </c>
      <c r="L458" s="25" t="str">
        <f t="shared" si="18"/>
        <v>20+</v>
      </c>
      <c r="M458" s="25" t="str">
        <f t="shared" si="19"/>
        <v>Adult Learners</v>
      </c>
      <c r="N458" s="25" t="str">
        <f>IF(ISNUMBER(SEARCH("NON",UPPER(Raw_Data!M449))),"Non-Premium Learner","Premium Learner")</f>
        <v>Non-Premium Learner</v>
      </c>
      <c r="O458" s="25" t="str">
        <f>PROPER(TRIM(Raw_Data!N449))</f>
        <v>App Only</v>
      </c>
      <c r="P458" s="26">
        <f>IF(Raw_Data!O449="",$C$7,Raw_Data!O449)</f>
        <v>106574.66</v>
      </c>
      <c r="Q458" s="25" t="str">
        <f>IF(Raw_Data!O449="","Missing-Imputed","Original")</f>
        <v>Original</v>
      </c>
      <c r="R458" s="26">
        <f>Raw_Data!P449</f>
        <v>79.7</v>
      </c>
      <c r="S458" s="26">
        <f>Raw_Data!Q449</f>
        <v>20251.07</v>
      </c>
      <c r="T458" s="25" t="str">
        <f>IF(Raw_Data!R449="","Unknown",IF(ISNUMBER(SEARCH("ACT",UPPER(Raw_Data!R449))),"Active",IF(ISNUMBER(SEARCH("CLOS",UPPER(Raw_Data!R449))),"Closed","None")))</f>
        <v>Closed</v>
      </c>
      <c r="U458" s="26">
        <f>IF(Raw_Data!S449="",$C$8,VALUE(Raw_Data!S449))</f>
        <v>769</v>
      </c>
      <c r="V458" s="25" t="str">
        <f>IF(Raw_Data!S449="","Missing-Imputed","Original")</f>
        <v>Original</v>
      </c>
      <c r="W458" s="26">
        <f>Raw_Data!T449</f>
        <v>85</v>
      </c>
      <c r="X458" s="25" t="str">
        <f>IF(ISNUMBER(SEARCH("Y",UPPER(TRIM(Raw_Data!U449)))),"Yes","No")</f>
        <v>Yes</v>
      </c>
      <c r="Y458" s="25" t="str">
        <f>IF(ISNUMBER(SEARCH("Y",UPPER(TRIM(Raw_Data!V449)))),"Yes","No")</f>
        <v>Yes</v>
      </c>
      <c r="Z458" s="26">
        <f>Raw_Data!W449</f>
        <v>3</v>
      </c>
      <c r="AA458" s="26">
        <f>Raw_Data!X449</f>
        <v>3.7</v>
      </c>
      <c r="AB458" s="25" t="str">
        <f>IF(COUNTIFS(Raw_Data!$A$2:$A$616,Raw_Data!A449)&gt;1,"Duplicate","Unique")</f>
        <v>Unique</v>
      </c>
      <c r="AC458" s="25" t="str">
        <f t="shared" si="20"/>
        <v>Clean</v>
      </c>
    </row>
    <row r="459" spans="1:29" ht="15" customHeight="1">
      <c r="A459" s="23" t="str">
        <f>Raw_Data!A450</f>
        <v>BYJ1449</v>
      </c>
      <c r="B459" s="23" t="str">
        <f>Raw_Data!B450</f>
        <v>Abeer Wali</v>
      </c>
      <c r="C459" s="24">
        <f>IF(OR(Raw_Data!C450="",Raw_Data!C450&lt;$C$5,Raw_Data!C450&gt;$C$6),$C$4,Raw_Data!C450)</f>
        <v>8</v>
      </c>
      <c r="D459" s="23" t="str">
        <f>IF(Raw_Data!C450="","Missing-Imputed",IF(OR(Raw_Data!C450&lt;$C$5,Raw_Data!C450&gt;$C$6),"Outlier-Imputed","Original"))</f>
        <v>Original</v>
      </c>
      <c r="E459" s="23" t="str">
        <f>IF(OR(UPPER(TRIM(Raw_Data!D450))="M",UPPER(TRIM(Raw_Data!D450))="MALE"),"Male","Female")</f>
        <v>Female</v>
      </c>
      <c r="F459" s="23" t="str">
        <f>PROPER(TRIM(Raw_Data!E450))</f>
        <v>Ahmedabad</v>
      </c>
      <c r="G459" s="23" t="str">
        <f>PROPER(TRIM(Raw_Data!F450))</f>
        <v>Uttar Pradesh</v>
      </c>
      <c r="H459" s="23" t="str">
        <f>PROPER(TRIM(Raw_Data!G450))</f>
        <v>Robotics</v>
      </c>
      <c r="I459" s="23" t="str">
        <f>PROPER(TRIM(Raw_Data!H450))</f>
        <v>Kolkata Main</v>
      </c>
      <c r="J459" s="24">
        <f>IF(LEN(TRIM(Raw_Data!I450))=4,VALUE(TRIM(Raw_Data!I450)),IF(ISNUMBER(IFERROR(VALUE(MID(TRIM(Raw_Data!I450),1,4)),"NA")),VALUE(MID(TRIM(Raw_Data!I450),1,4)),VALUE(RIGHT(TRIM(Raw_Data!I450),4))))</f>
        <v>2021</v>
      </c>
      <c r="K459" s="23" t="str">
        <f>PROPER(TRIM(Raw_Data!J450))</f>
        <v>Government Employee</v>
      </c>
      <c r="L459" s="23" t="str">
        <f t="shared" ref="L459:L522" si="21">IF(C459&lt;10,"Under 10",IF(C459&lt;=13,"10-13",IF(C459&lt;=16,"14-16",IF(C459&lt;=19,"17-19","20+"))))</f>
        <v>Under 10</v>
      </c>
      <c r="M459" s="23" t="str">
        <f t="shared" ref="M459:M522" si="22">IF(OR(L459="Under 10",L459="10-13"),"Kids",IF(OR(L459="14-16",L459="17-19"),"Teens","Adult Learners"))</f>
        <v>Kids</v>
      </c>
      <c r="N459" s="23" t="str">
        <f>IF(ISNUMBER(SEARCH("NON",UPPER(Raw_Data!M450))),"Non-Premium Learner","Premium Learner")</f>
        <v>Premium Learner</v>
      </c>
      <c r="O459" s="23" t="str">
        <f>PROPER(TRIM(Raw_Data!N450))</f>
        <v>App Only</v>
      </c>
      <c r="P459" s="24">
        <f>IF(Raw_Data!O450="",$C$7,Raw_Data!O450)</f>
        <v>137436.82</v>
      </c>
      <c r="Q459" s="23" t="str">
        <f>IF(Raw_Data!O450="","Missing-Imputed","Original")</f>
        <v>Original</v>
      </c>
      <c r="R459" s="24">
        <f>Raw_Data!P450</f>
        <v>11.4</v>
      </c>
      <c r="S459" s="24">
        <f>Raw_Data!Q450</f>
        <v>39973.360000000001</v>
      </c>
      <c r="T459" s="23" t="str">
        <f>IF(Raw_Data!R450="","Unknown",IF(ISNUMBER(SEARCH("ACT",UPPER(Raw_Data!R450))),"Active",IF(ISNUMBER(SEARCH("CLOS",UPPER(Raw_Data!R450))),"Closed","None")))</f>
        <v>Closed</v>
      </c>
      <c r="U459" s="24">
        <f>IF(Raw_Data!S450="",$C$8,VALUE(Raw_Data!S450))</f>
        <v>416</v>
      </c>
      <c r="V459" s="23" t="str">
        <f>IF(Raw_Data!S450="","Missing-Imputed","Original")</f>
        <v>Original</v>
      </c>
      <c r="W459" s="24">
        <f>Raw_Data!T450</f>
        <v>32</v>
      </c>
      <c r="X459" s="23" t="str">
        <f>IF(ISNUMBER(SEARCH("Y",UPPER(TRIM(Raw_Data!U450)))),"Yes","No")</f>
        <v>Yes</v>
      </c>
      <c r="Y459" s="23" t="str">
        <f>IF(ISNUMBER(SEARCH("Y",UPPER(TRIM(Raw_Data!V450)))),"Yes","No")</f>
        <v>Yes</v>
      </c>
      <c r="Z459" s="24">
        <f>Raw_Data!W450</f>
        <v>3</v>
      </c>
      <c r="AA459" s="24">
        <f>Raw_Data!X450</f>
        <v>1.1000000000000001</v>
      </c>
      <c r="AB459" s="23" t="str">
        <f>IF(COUNTIFS(Raw_Data!$A$2:$A$616,Raw_Data!A450)&gt;1,"Duplicate","Unique")</f>
        <v>Unique</v>
      </c>
      <c r="AC459" s="23" t="str">
        <f t="shared" ref="AC459:AC522" si="23">IF(AB459="Duplicate","Review-Duplicate",IF(OR(D459&lt;&gt;"Original",Q459&lt;&gt;"Original",V459&lt;&gt;"Original"),"Imputed","Clean"))</f>
        <v>Clean</v>
      </c>
    </row>
    <row r="460" spans="1:29" ht="15" customHeight="1">
      <c r="A460" s="25" t="str">
        <f>Raw_Data!A451</f>
        <v>BYJ1450</v>
      </c>
      <c r="B460" s="25" t="str">
        <f>Raw_Data!B451</f>
        <v>Anvi Wason</v>
      </c>
      <c r="C460" s="26">
        <f>IF(OR(Raw_Data!C451="",Raw_Data!C451&lt;$C$5,Raw_Data!C451&gt;$C$6),$C$4,Raw_Data!C451)</f>
        <v>11</v>
      </c>
      <c r="D460" s="25" t="str">
        <f>IF(Raw_Data!C451="","Missing-Imputed",IF(OR(Raw_Data!C451&lt;$C$5,Raw_Data!C451&gt;$C$6),"Outlier-Imputed","Original"))</f>
        <v>Original</v>
      </c>
      <c r="E460" s="25" t="str">
        <f>IF(OR(UPPER(TRIM(Raw_Data!D451))="M",UPPER(TRIM(Raw_Data!D451))="MALE"),"Male","Female")</f>
        <v>Male</v>
      </c>
      <c r="F460" s="25" t="str">
        <f>PROPER(TRIM(Raw_Data!E451))</f>
        <v>Pune</v>
      </c>
      <c r="G460" s="25" t="str">
        <f>PROPER(TRIM(Raw_Data!F451))</f>
        <v>Gujarat</v>
      </c>
      <c r="H460" s="25" t="str">
        <f>PROPER(TRIM(Raw_Data!G451))</f>
        <v>Mathematics</v>
      </c>
      <c r="I460" s="25" t="str">
        <f>PROPER(TRIM(Raw_Data!H451))</f>
        <v>Mumbai West</v>
      </c>
      <c r="J460" s="26">
        <f>IF(LEN(TRIM(Raw_Data!I451))=4,VALUE(TRIM(Raw_Data!I451)),IF(ISNUMBER(IFERROR(VALUE(MID(TRIM(Raw_Data!I451),1,4)),"NA")),VALUE(MID(TRIM(Raw_Data!I451),1,4)),VALUE(RIGHT(TRIM(Raw_Data!I451),4))))</f>
        <v>2025</v>
      </c>
      <c r="K460" s="25" t="str">
        <f>PROPER(TRIM(Raw_Data!J451))</f>
        <v>Retired</v>
      </c>
      <c r="L460" s="25" t="str">
        <f t="shared" si="21"/>
        <v>10-13</v>
      </c>
      <c r="M460" s="25" t="str">
        <f t="shared" si="22"/>
        <v>Kids</v>
      </c>
      <c r="N460" s="25" t="str">
        <f>IF(ISNUMBER(SEARCH("NON",UPPER(Raw_Data!M451))),"Non-Premium Learner","Premium Learner")</f>
        <v>Non-Premium Learner</v>
      </c>
      <c r="O460" s="25" t="str">
        <f>PROPER(TRIM(Raw_Data!N451))</f>
        <v>App Only</v>
      </c>
      <c r="P460" s="26">
        <f>IF(Raw_Data!O451="",$C$7,Raw_Data!O451)</f>
        <v>93821.95</v>
      </c>
      <c r="Q460" s="25" t="str">
        <f>IF(Raw_Data!O451="","Missing-Imputed","Original")</f>
        <v>Original</v>
      </c>
      <c r="R460" s="26">
        <f>Raw_Data!P451</f>
        <v>15.4</v>
      </c>
      <c r="S460" s="26">
        <f>Raw_Data!Q451</f>
        <v>55080.13</v>
      </c>
      <c r="T460" s="25" t="str">
        <f>IF(Raw_Data!R451="","Unknown",IF(ISNUMBER(SEARCH("ACT",UPPER(Raw_Data!R451))),"Active",IF(ISNUMBER(SEARCH("CLOS",UPPER(Raw_Data!R451))),"Closed","None")))</f>
        <v>Active</v>
      </c>
      <c r="U460" s="26">
        <f>IF(Raw_Data!S451="",$C$8,VALUE(Raw_Data!S451))</f>
        <v>393</v>
      </c>
      <c r="V460" s="25" t="str">
        <f>IF(Raw_Data!S451="","Missing-Imputed","Original")</f>
        <v>Original</v>
      </c>
      <c r="W460" s="26">
        <f>Raw_Data!T451</f>
        <v>23</v>
      </c>
      <c r="X460" s="25" t="str">
        <f>IF(ISNUMBER(SEARCH("Y",UPPER(TRIM(Raw_Data!U451)))),"Yes","No")</f>
        <v>Yes</v>
      </c>
      <c r="Y460" s="25" t="str">
        <f>IF(ISNUMBER(SEARCH("Y",UPPER(TRIM(Raw_Data!V451)))),"Yes","No")</f>
        <v>Yes</v>
      </c>
      <c r="Z460" s="26">
        <f>Raw_Data!W451</f>
        <v>1</v>
      </c>
      <c r="AA460" s="26">
        <f>Raw_Data!X451</f>
        <v>6.6</v>
      </c>
      <c r="AB460" s="25" t="str">
        <f>IF(COUNTIFS(Raw_Data!$A$2:$A$616,Raw_Data!A451)&gt;1,"Duplicate","Unique")</f>
        <v>Unique</v>
      </c>
      <c r="AC460" s="25" t="str">
        <f t="shared" si="23"/>
        <v>Clean</v>
      </c>
    </row>
    <row r="461" spans="1:29" ht="15" customHeight="1">
      <c r="A461" s="23" t="str">
        <f>Raw_Data!A452</f>
        <v>BYJ1451</v>
      </c>
      <c r="B461" s="23" t="str">
        <f>Raw_Data!B452</f>
        <v>Praneel Chhabra</v>
      </c>
      <c r="C461" s="24">
        <f>IF(OR(Raw_Data!C452="",Raw_Data!C452&lt;$C$5,Raw_Data!C452&gt;$C$6),$C$4,Raw_Data!C452)</f>
        <v>18</v>
      </c>
      <c r="D461" s="23" t="str">
        <f>IF(Raw_Data!C452="","Missing-Imputed",IF(OR(Raw_Data!C452&lt;$C$5,Raw_Data!C452&gt;$C$6),"Outlier-Imputed","Original"))</f>
        <v>Original</v>
      </c>
      <c r="E461" s="23" t="str">
        <f>IF(OR(UPPER(TRIM(Raw_Data!D452))="M",UPPER(TRIM(Raw_Data!D452))="MALE"),"Male","Female")</f>
        <v>Female</v>
      </c>
      <c r="F461" s="23" t="str">
        <f>PROPER(TRIM(Raw_Data!E452))</f>
        <v>Loni</v>
      </c>
      <c r="G461" s="23" t="str">
        <f>PROPER(TRIM(Raw_Data!F452))</f>
        <v>Rajasthan</v>
      </c>
      <c r="H461" s="23" t="str">
        <f>PROPER(TRIM(Raw_Data!G452))</f>
        <v>Science</v>
      </c>
      <c r="I461" s="23" t="str">
        <f>PROPER(TRIM(Raw_Data!H452))</f>
        <v>Ahmedabad Center</v>
      </c>
      <c r="J461" s="24">
        <f>IF(LEN(TRIM(Raw_Data!I452))=4,VALUE(TRIM(Raw_Data!I452)),IF(ISNUMBER(IFERROR(VALUE(MID(TRIM(Raw_Data!I452),1,4)),"NA")),VALUE(MID(TRIM(Raw_Data!I452),1,4)),VALUE(RIGHT(TRIM(Raw_Data!I452),4))))</f>
        <v>2020</v>
      </c>
      <c r="K461" s="23" t="str">
        <f>PROPER(TRIM(Raw_Data!J452))</f>
        <v>Self-Employed</v>
      </c>
      <c r="L461" s="23" t="str">
        <f t="shared" si="21"/>
        <v>17-19</v>
      </c>
      <c r="M461" s="23" t="str">
        <f t="shared" si="22"/>
        <v>Teens</v>
      </c>
      <c r="N461" s="23" t="str">
        <f>IF(ISNUMBER(SEARCH("NON",UPPER(Raw_Data!M452))),"Non-Premium Learner","Premium Learner")</f>
        <v>Premium Learner</v>
      </c>
      <c r="O461" s="23" t="str">
        <f>PROPER(TRIM(Raw_Data!N452))</f>
        <v>App Only</v>
      </c>
      <c r="P461" s="24">
        <f>IF(Raw_Data!O452="",$C$7,Raw_Data!O452)</f>
        <v>146257.60000000001</v>
      </c>
      <c r="Q461" s="23" t="str">
        <f>IF(Raw_Data!O452="","Missing-Imputed","Original")</f>
        <v>Original</v>
      </c>
      <c r="R461" s="24">
        <f>Raw_Data!P452</f>
        <v>70.900000000000006</v>
      </c>
      <c r="S461" s="24">
        <f>Raw_Data!Q452</f>
        <v>34526.04</v>
      </c>
      <c r="T461" s="23" t="str">
        <f>IF(Raw_Data!R452="","Unknown",IF(ISNUMBER(SEARCH("ACT",UPPER(Raw_Data!R452))),"Active",IF(ISNUMBER(SEARCH("CLOS",UPPER(Raw_Data!R452))),"Closed","None")))</f>
        <v>Active</v>
      </c>
      <c r="U461" s="24">
        <f>IF(Raw_Data!S452="",$C$8,VALUE(Raw_Data!S452))</f>
        <v>377</v>
      </c>
      <c r="V461" s="23" t="str">
        <f>IF(Raw_Data!S452="","Missing-Imputed","Original")</f>
        <v>Original</v>
      </c>
      <c r="W461" s="24">
        <f>Raw_Data!T452</f>
        <v>82</v>
      </c>
      <c r="X461" s="23" t="str">
        <f>IF(ISNUMBER(SEARCH("Y",UPPER(TRIM(Raw_Data!U452)))),"Yes","No")</f>
        <v>Yes</v>
      </c>
      <c r="Y461" s="23" t="str">
        <f>IF(ISNUMBER(SEARCH("Y",UPPER(TRIM(Raw_Data!V452)))),"Yes","No")</f>
        <v>No</v>
      </c>
      <c r="Z461" s="24">
        <f>Raw_Data!W452</f>
        <v>5</v>
      </c>
      <c r="AA461" s="24">
        <f>Raw_Data!X452</f>
        <v>4</v>
      </c>
      <c r="AB461" s="23" t="str">
        <f>IF(COUNTIFS(Raw_Data!$A$2:$A$616,Raw_Data!A452)&gt;1,"Duplicate","Unique")</f>
        <v>Unique</v>
      </c>
      <c r="AC461" s="23" t="str">
        <f t="shared" si="23"/>
        <v>Clean</v>
      </c>
    </row>
    <row r="462" spans="1:29" ht="15" customHeight="1">
      <c r="A462" s="25" t="str">
        <f>Raw_Data!A453</f>
        <v>BYJ1452</v>
      </c>
      <c r="B462" s="25" t="str">
        <f>Raw_Data!B453</f>
        <v>Wridesh Handa</v>
      </c>
      <c r="C462" s="26">
        <f>IF(OR(Raw_Data!C453="",Raw_Data!C453&lt;$C$5,Raw_Data!C453&gt;$C$6),$C$4,Raw_Data!C453)</f>
        <v>22</v>
      </c>
      <c r="D462" s="25" t="str">
        <f>IF(Raw_Data!C453="","Missing-Imputed",IF(OR(Raw_Data!C453&lt;$C$5,Raw_Data!C453&gt;$C$6),"Outlier-Imputed","Original"))</f>
        <v>Original</v>
      </c>
      <c r="E462" s="25" t="str">
        <f>IF(OR(UPPER(TRIM(Raw_Data!D453))="M",UPPER(TRIM(Raw_Data!D453))="MALE"),"Male","Female")</f>
        <v>Female</v>
      </c>
      <c r="F462" s="25" t="str">
        <f>PROPER(TRIM(Raw_Data!E453))</f>
        <v>Raichur</v>
      </c>
      <c r="G462" s="25" t="str">
        <f>PROPER(TRIM(Raw_Data!F453))</f>
        <v>Telangana</v>
      </c>
      <c r="H462" s="25" t="str">
        <f>PROPER(TRIM(Raw_Data!G453))</f>
        <v>Jee Prep</v>
      </c>
      <c r="I462" s="25" t="str">
        <f>PROPER(TRIM(Raw_Data!H453))</f>
        <v>Mumbai West</v>
      </c>
      <c r="J462" s="26">
        <f>IF(LEN(TRIM(Raw_Data!I453))=4,VALUE(TRIM(Raw_Data!I453)),IF(ISNUMBER(IFERROR(VALUE(MID(TRIM(Raw_Data!I453),1,4)),"NA")),VALUE(MID(TRIM(Raw_Data!I453),1,4)),VALUE(RIGHT(TRIM(Raw_Data!I453),4))))</f>
        <v>2017</v>
      </c>
      <c r="K462" s="25" t="str">
        <f>PROPER(TRIM(Raw_Data!J453))</f>
        <v>Homemaker</v>
      </c>
      <c r="L462" s="25" t="str">
        <f t="shared" si="21"/>
        <v>20+</v>
      </c>
      <c r="M462" s="25" t="str">
        <f t="shared" si="22"/>
        <v>Adult Learners</v>
      </c>
      <c r="N462" s="25" t="str">
        <f>IF(ISNUMBER(SEARCH("NON",UPPER(Raw_Data!M453))),"Non-Premium Learner","Premium Learner")</f>
        <v>Non-Premium Learner</v>
      </c>
      <c r="O462" s="25" t="str">
        <f>PROPER(TRIM(Raw_Data!N453))</f>
        <v>Web Only</v>
      </c>
      <c r="P462" s="26">
        <f>IF(Raw_Data!O453="",$C$7,Raw_Data!O453)</f>
        <v>16592.98</v>
      </c>
      <c r="Q462" s="25" t="str">
        <f>IF(Raw_Data!O453="","Missing-Imputed","Original")</f>
        <v>Original</v>
      </c>
      <c r="R462" s="26">
        <f>Raw_Data!P453</f>
        <v>58.7</v>
      </c>
      <c r="S462" s="26">
        <f>Raw_Data!Q453</f>
        <v>719.94</v>
      </c>
      <c r="T462" s="25" t="str">
        <f>IF(Raw_Data!R453="","Unknown",IF(ISNUMBER(SEARCH("ACT",UPPER(Raw_Data!R453))),"Active",IF(ISNUMBER(SEARCH("CLOS",UPPER(Raw_Data!R453))),"Closed","None")))</f>
        <v>None</v>
      </c>
      <c r="U462" s="26">
        <f>IF(Raw_Data!S453="",$C$8,VALUE(Raw_Data!S453))</f>
        <v>626</v>
      </c>
      <c r="V462" s="25" t="str">
        <f>IF(Raw_Data!S453="","Missing-Imputed","Original")</f>
        <v>Original</v>
      </c>
      <c r="W462" s="26">
        <f>Raw_Data!T453</f>
        <v>92</v>
      </c>
      <c r="X462" s="25" t="str">
        <f>IF(ISNUMBER(SEARCH("Y",UPPER(TRIM(Raw_Data!U453)))),"Yes","No")</f>
        <v>Yes</v>
      </c>
      <c r="Y462" s="25" t="str">
        <f>IF(ISNUMBER(SEARCH("Y",UPPER(TRIM(Raw_Data!V453)))),"Yes","No")</f>
        <v>No</v>
      </c>
      <c r="Z462" s="26">
        <f>Raw_Data!W453</f>
        <v>3</v>
      </c>
      <c r="AA462" s="26">
        <f>Raw_Data!X453</f>
        <v>6.8</v>
      </c>
      <c r="AB462" s="25" t="str">
        <f>IF(COUNTIFS(Raw_Data!$A$2:$A$616,Raw_Data!A453)&gt;1,"Duplicate","Unique")</f>
        <v>Unique</v>
      </c>
      <c r="AC462" s="25" t="str">
        <f t="shared" si="23"/>
        <v>Clean</v>
      </c>
    </row>
    <row r="463" spans="1:29" ht="15" customHeight="1">
      <c r="A463" s="23" t="str">
        <f>Raw_Data!A454</f>
        <v>BYJ1453</v>
      </c>
      <c r="B463" s="23" t="str">
        <f>Raw_Data!B454</f>
        <v>Mekhala Brar</v>
      </c>
      <c r="C463" s="24">
        <f>IF(OR(Raw_Data!C454="",Raw_Data!C454&lt;$C$5,Raw_Data!C454&gt;$C$6),$C$4,Raw_Data!C454)</f>
        <v>37</v>
      </c>
      <c r="D463" s="23" t="str">
        <f>IF(Raw_Data!C454="","Missing-Imputed",IF(OR(Raw_Data!C454&lt;$C$5,Raw_Data!C454&gt;$C$6),"Outlier-Imputed","Original"))</f>
        <v>Original</v>
      </c>
      <c r="E463" s="23" t="str">
        <f>IF(OR(UPPER(TRIM(Raw_Data!D454))="M",UPPER(TRIM(Raw_Data!D454))="MALE"),"Male","Female")</f>
        <v>Female</v>
      </c>
      <c r="F463" s="23" t="str">
        <f>PROPER(TRIM(Raw_Data!E454))</f>
        <v>Machilipatnam</v>
      </c>
      <c r="G463" s="23" t="str">
        <f>PROPER(TRIM(Raw_Data!F454))</f>
        <v>Delhi</v>
      </c>
      <c r="H463" s="23" t="str">
        <f>PROPER(TRIM(Raw_Data!G454))</f>
        <v>English</v>
      </c>
      <c r="I463" s="23" t="str">
        <f>PROPER(TRIM(Raw_Data!H454))</f>
        <v>Lucknow Hub</v>
      </c>
      <c r="J463" s="24">
        <f>IF(LEN(TRIM(Raw_Data!I454))=4,VALUE(TRIM(Raw_Data!I454)),IF(ISNUMBER(IFERROR(VALUE(MID(TRIM(Raw_Data!I454),1,4)),"NA")),VALUE(MID(TRIM(Raw_Data!I454),1,4)),VALUE(RIGHT(TRIM(Raw_Data!I454),4))))</f>
        <v>2018</v>
      </c>
      <c r="K463" s="23" t="str">
        <f>PROPER(TRIM(Raw_Data!J454))</f>
        <v>Self-Employed</v>
      </c>
      <c r="L463" s="23" t="str">
        <f t="shared" si="21"/>
        <v>20+</v>
      </c>
      <c r="M463" s="23" t="str">
        <f t="shared" si="22"/>
        <v>Adult Learners</v>
      </c>
      <c r="N463" s="23" t="str">
        <f>IF(ISNUMBER(SEARCH("NON",UPPER(Raw_Data!M454))),"Non-Premium Learner","Premium Learner")</f>
        <v>Non-Premium Learner</v>
      </c>
      <c r="O463" s="23" t="str">
        <f>PROPER(TRIM(Raw_Data!N454))</f>
        <v>Web Only</v>
      </c>
      <c r="P463" s="24">
        <f>IF(Raw_Data!O454="",$C$7,Raw_Data!O454)</f>
        <v>72225.460000000006</v>
      </c>
      <c r="Q463" s="23" t="str">
        <f>IF(Raw_Data!O454="","Missing-Imputed","Original")</f>
        <v>Original</v>
      </c>
      <c r="R463" s="24">
        <f>Raw_Data!P454</f>
        <v>38.9</v>
      </c>
      <c r="S463" s="24">
        <f>Raw_Data!Q454</f>
        <v>8524.9699999999993</v>
      </c>
      <c r="T463" s="23" t="str">
        <f>IF(Raw_Data!R454="","Unknown",IF(ISNUMBER(SEARCH("ACT",UPPER(Raw_Data!R454))),"Active",IF(ISNUMBER(SEARCH("CLOS",UPPER(Raw_Data!R454))),"Closed","None")))</f>
        <v>Closed</v>
      </c>
      <c r="U463" s="24">
        <f>IF(Raw_Data!S454="",$C$8,VALUE(Raw_Data!S454))</f>
        <v>325</v>
      </c>
      <c r="V463" s="23" t="str">
        <f>IF(Raw_Data!S454="","Missing-Imputed","Original")</f>
        <v>Original</v>
      </c>
      <c r="W463" s="24">
        <f>Raw_Data!T454</f>
        <v>81</v>
      </c>
      <c r="X463" s="23" t="str">
        <f>IF(ISNUMBER(SEARCH("Y",UPPER(TRIM(Raw_Data!U454)))),"Yes","No")</f>
        <v>No</v>
      </c>
      <c r="Y463" s="23" t="str">
        <f>IF(ISNUMBER(SEARCH("Y",UPPER(TRIM(Raw_Data!V454)))),"Yes","No")</f>
        <v>No</v>
      </c>
      <c r="Z463" s="24">
        <f>Raw_Data!W454</f>
        <v>1</v>
      </c>
      <c r="AA463" s="24">
        <f>Raw_Data!X454</f>
        <v>4.2</v>
      </c>
      <c r="AB463" s="23" t="str">
        <f>IF(COUNTIFS(Raw_Data!$A$2:$A$616,Raw_Data!A454)&gt;1,"Duplicate","Unique")</f>
        <v>Unique</v>
      </c>
      <c r="AC463" s="23" t="str">
        <f t="shared" si="23"/>
        <v>Clean</v>
      </c>
    </row>
    <row r="464" spans="1:29" ht="15" customHeight="1">
      <c r="A464" s="25" t="str">
        <f>Raw_Data!A455</f>
        <v>BYJ1454</v>
      </c>
      <c r="B464" s="25" t="str">
        <f>Raw_Data!B455</f>
        <v>Yagnesh Kara</v>
      </c>
      <c r="C464" s="26">
        <f>IF(OR(Raw_Data!C455="",Raw_Data!C455&lt;$C$5,Raw_Data!C455&gt;$C$6),$C$4,Raw_Data!C455)</f>
        <v>15</v>
      </c>
      <c r="D464" s="25" t="str">
        <f>IF(Raw_Data!C455="","Missing-Imputed",IF(OR(Raw_Data!C455&lt;$C$5,Raw_Data!C455&gt;$C$6),"Outlier-Imputed","Original"))</f>
        <v>Original</v>
      </c>
      <c r="E464" s="25" t="str">
        <f>IF(OR(UPPER(TRIM(Raw_Data!D455))="M",UPPER(TRIM(Raw_Data!D455))="MALE"),"Male","Female")</f>
        <v>Male</v>
      </c>
      <c r="F464" s="25" t="str">
        <f>PROPER(TRIM(Raw_Data!E455))</f>
        <v>Jodhpur</v>
      </c>
      <c r="G464" s="25" t="str">
        <f>PROPER(TRIM(Raw_Data!F455))</f>
        <v>West Bengal</v>
      </c>
      <c r="H464" s="25" t="str">
        <f>PROPER(TRIM(Raw_Data!G455))</f>
        <v>Spoken English</v>
      </c>
      <c r="I464" s="25" t="str">
        <f>PROPER(TRIM(Raw_Data!H455))</f>
        <v>Mumbai West</v>
      </c>
      <c r="J464" s="26">
        <f>IF(LEN(TRIM(Raw_Data!I455))=4,VALUE(TRIM(Raw_Data!I455)),IF(ISNUMBER(IFERROR(VALUE(MID(TRIM(Raw_Data!I455),1,4)),"NA")),VALUE(MID(TRIM(Raw_Data!I455),1,4)),VALUE(RIGHT(TRIM(Raw_Data!I455),4))))</f>
        <v>2020</v>
      </c>
      <c r="K464" s="25" t="str">
        <f>PROPER(TRIM(Raw_Data!J455))</f>
        <v>Self-Employed</v>
      </c>
      <c r="L464" s="25" t="str">
        <f t="shared" si="21"/>
        <v>14-16</v>
      </c>
      <c r="M464" s="25" t="str">
        <f t="shared" si="22"/>
        <v>Teens</v>
      </c>
      <c r="N464" s="25" t="str">
        <f>IF(ISNUMBER(SEARCH("NON",UPPER(Raw_Data!M455))),"Non-Premium Learner","Premium Learner")</f>
        <v>Non-Premium Learner</v>
      </c>
      <c r="O464" s="25" t="str">
        <f>PROPER(TRIM(Raw_Data!N455))</f>
        <v>Both App &amp; Web</v>
      </c>
      <c r="P464" s="26">
        <f>IF(Raw_Data!O455="",$C$7,Raw_Data!O455)</f>
        <v>45262.09</v>
      </c>
      <c r="Q464" s="25" t="str">
        <f>IF(Raw_Data!O455="","Missing-Imputed","Original")</f>
        <v>Original</v>
      </c>
      <c r="R464" s="26">
        <f>Raw_Data!P455</f>
        <v>50.5</v>
      </c>
      <c r="S464" s="26">
        <f>Raw_Data!Q455</f>
        <v>29948.21</v>
      </c>
      <c r="T464" s="25" t="str">
        <f>IF(Raw_Data!R455="","Unknown",IF(ISNUMBER(SEARCH("ACT",UPPER(Raw_Data!R455))),"Active",IF(ISNUMBER(SEARCH("CLOS",UPPER(Raw_Data!R455))),"Closed","None")))</f>
        <v>Closed</v>
      </c>
      <c r="U464" s="26">
        <f>IF(Raw_Data!S455="",$C$8,VALUE(Raw_Data!S455))</f>
        <v>799</v>
      </c>
      <c r="V464" s="25" t="str">
        <f>IF(Raw_Data!S455="","Missing-Imputed","Original")</f>
        <v>Original</v>
      </c>
      <c r="W464" s="26">
        <f>Raw_Data!T455</f>
        <v>15</v>
      </c>
      <c r="X464" s="25" t="str">
        <f>IF(ISNUMBER(SEARCH("Y",UPPER(TRIM(Raw_Data!U455)))),"Yes","No")</f>
        <v>No</v>
      </c>
      <c r="Y464" s="25" t="str">
        <f>IF(ISNUMBER(SEARCH("Y",UPPER(TRIM(Raw_Data!V455)))),"Yes","No")</f>
        <v>Yes</v>
      </c>
      <c r="Z464" s="26">
        <f>Raw_Data!W455</f>
        <v>4</v>
      </c>
      <c r="AA464" s="26">
        <f>Raw_Data!X455</f>
        <v>5.7</v>
      </c>
      <c r="AB464" s="25" t="str">
        <f>IF(COUNTIFS(Raw_Data!$A$2:$A$616,Raw_Data!A455)&gt;1,"Duplicate","Unique")</f>
        <v>Unique</v>
      </c>
      <c r="AC464" s="25" t="str">
        <f t="shared" si="23"/>
        <v>Clean</v>
      </c>
    </row>
    <row r="465" spans="1:29" ht="15" customHeight="1">
      <c r="A465" s="23" t="str">
        <f>Raw_Data!A456</f>
        <v>BYJ1455</v>
      </c>
      <c r="B465" s="23" t="str">
        <f>Raw_Data!B456</f>
        <v>Girik Ravi</v>
      </c>
      <c r="C465" s="24">
        <f>IF(OR(Raw_Data!C456="",Raw_Data!C456&lt;$C$5,Raw_Data!C456&gt;$C$6),$C$4,Raw_Data!C456)</f>
        <v>37</v>
      </c>
      <c r="D465" s="23" t="str">
        <f>IF(Raw_Data!C456="","Missing-Imputed",IF(OR(Raw_Data!C456&lt;$C$5,Raw_Data!C456&gt;$C$6),"Outlier-Imputed","Original"))</f>
        <v>Original</v>
      </c>
      <c r="E465" s="23" t="str">
        <f>IF(OR(UPPER(TRIM(Raw_Data!D456))="M",UPPER(TRIM(Raw_Data!D456))="MALE"),"Male","Female")</f>
        <v>Male</v>
      </c>
      <c r="F465" s="23" t="str">
        <f>PROPER(TRIM(Raw_Data!E456))</f>
        <v>Burhanpur</v>
      </c>
      <c r="G465" s="23" t="str">
        <f>PROPER(TRIM(Raw_Data!F456))</f>
        <v>Telangana</v>
      </c>
      <c r="H465" s="23" t="str">
        <f>PROPER(TRIM(Raw_Data!G456))</f>
        <v>Science</v>
      </c>
      <c r="I465" s="23" t="str">
        <f>PROPER(TRIM(Raw_Data!H456))</f>
        <v>Pune East</v>
      </c>
      <c r="J465" s="24">
        <f>IF(LEN(TRIM(Raw_Data!I456))=4,VALUE(TRIM(Raw_Data!I456)),IF(ISNUMBER(IFERROR(VALUE(MID(TRIM(Raw_Data!I456),1,4)),"NA")),VALUE(MID(TRIM(Raw_Data!I456),1,4)),VALUE(RIGHT(TRIM(Raw_Data!I456),4))))</f>
        <v>2020</v>
      </c>
      <c r="K465" s="23" t="str">
        <f>PROPER(TRIM(Raw_Data!J456))</f>
        <v>Government Employee</v>
      </c>
      <c r="L465" s="23" t="str">
        <f t="shared" si="21"/>
        <v>20+</v>
      </c>
      <c r="M465" s="23" t="str">
        <f t="shared" si="22"/>
        <v>Adult Learners</v>
      </c>
      <c r="N465" s="23" t="str">
        <f>IF(ISNUMBER(SEARCH("NON",UPPER(Raw_Data!M456))),"Non-Premium Learner","Premium Learner")</f>
        <v>Premium Learner</v>
      </c>
      <c r="O465" s="23" t="str">
        <f>PROPER(TRIM(Raw_Data!N456))</f>
        <v>Web Only</v>
      </c>
      <c r="P465" s="24">
        <f>IF(Raw_Data!O456="",$C$7,Raw_Data!O456)</f>
        <v>54459.1</v>
      </c>
      <c r="Q465" s="23" t="str">
        <f>IF(Raw_Data!O456="","Missing-Imputed","Original")</f>
        <v>Original</v>
      </c>
      <c r="R465" s="24">
        <f>Raw_Data!P456</f>
        <v>56.6</v>
      </c>
      <c r="S465" s="24">
        <f>Raw_Data!Q456</f>
        <v>7688.01</v>
      </c>
      <c r="T465" s="23" t="str">
        <f>IF(Raw_Data!R456="","Unknown",IF(ISNUMBER(SEARCH("ACT",UPPER(Raw_Data!R456))),"Active",IF(ISNUMBER(SEARCH("CLOS",UPPER(Raw_Data!R456))),"Closed","None")))</f>
        <v>None</v>
      </c>
      <c r="U465" s="24" t="e">
        <f>IF(Raw_Data!S456="",$C$8,VALUE(Raw_Data!S456))</f>
        <v>#VALUE!</v>
      </c>
      <c r="V465" s="23" t="str">
        <f>IF(Raw_Data!S456="","Missing-Imputed","Original")</f>
        <v>Original</v>
      </c>
      <c r="W465" s="24">
        <f>Raw_Data!T456</f>
        <v>94</v>
      </c>
      <c r="X465" s="23" t="str">
        <f>IF(ISNUMBER(SEARCH("Y",UPPER(TRIM(Raw_Data!U456)))),"Yes","No")</f>
        <v>No</v>
      </c>
      <c r="Y465" s="23" t="str">
        <f>IF(ISNUMBER(SEARCH("Y",UPPER(TRIM(Raw_Data!V456)))),"Yes","No")</f>
        <v>Yes</v>
      </c>
      <c r="Z465" s="24">
        <f>Raw_Data!W456</f>
        <v>2</v>
      </c>
      <c r="AA465" s="24">
        <f>Raw_Data!X456</f>
        <v>8.1999999999999993</v>
      </c>
      <c r="AB465" s="23" t="str">
        <f>IF(COUNTIFS(Raw_Data!$A$2:$A$616,Raw_Data!A456)&gt;1,"Duplicate","Unique")</f>
        <v>Unique</v>
      </c>
      <c r="AC465" s="23" t="str">
        <f t="shared" si="23"/>
        <v>Clean</v>
      </c>
    </row>
    <row r="466" spans="1:29" ht="15" customHeight="1">
      <c r="A466" s="25" t="str">
        <f>Raw_Data!A457</f>
        <v>BYJ1456</v>
      </c>
      <c r="B466" s="25" t="str">
        <f>Raw_Data!B457</f>
        <v>Daksh Andra</v>
      </c>
      <c r="C466" s="26">
        <f>IF(OR(Raw_Data!C457="",Raw_Data!C457&lt;$C$5,Raw_Data!C457&gt;$C$6),$C$4,Raw_Data!C457)</f>
        <v>36</v>
      </c>
      <c r="D466" s="25" t="str">
        <f>IF(Raw_Data!C457="","Missing-Imputed",IF(OR(Raw_Data!C457&lt;$C$5,Raw_Data!C457&gt;$C$6),"Outlier-Imputed","Original"))</f>
        <v>Original</v>
      </c>
      <c r="E466" s="25" t="str">
        <f>IF(OR(UPPER(TRIM(Raw_Data!D457))="M",UPPER(TRIM(Raw_Data!D457))="MALE"),"Male","Female")</f>
        <v>Female</v>
      </c>
      <c r="F466" s="25" t="str">
        <f>PROPER(TRIM(Raw_Data!E457))</f>
        <v>Gwalior</v>
      </c>
      <c r="G466" s="25" t="str">
        <f>PROPER(TRIM(Raw_Data!F457))</f>
        <v>Gujarat</v>
      </c>
      <c r="H466" s="25" t="str">
        <f>PROPER(TRIM(Raw_Data!G457))</f>
        <v>English</v>
      </c>
      <c r="I466" s="25" t="str">
        <f>PROPER(TRIM(Raw_Data!H457))</f>
        <v>Mumbai West</v>
      </c>
      <c r="J466" s="26">
        <f>IF(LEN(TRIM(Raw_Data!I457))=4,VALUE(TRIM(Raw_Data!I457)),IF(ISNUMBER(IFERROR(VALUE(MID(TRIM(Raw_Data!I457),1,4)),"NA")),VALUE(MID(TRIM(Raw_Data!I457),1,4)),VALUE(RIGHT(TRIM(Raw_Data!I457),4))))</f>
        <v>2021</v>
      </c>
      <c r="K466" s="25" t="str">
        <f>PROPER(TRIM(Raw_Data!J457))</f>
        <v>Retired</v>
      </c>
      <c r="L466" s="25" t="str">
        <f t="shared" si="21"/>
        <v>20+</v>
      </c>
      <c r="M466" s="25" t="str">
        <f t="shared" si="22"/>
        <v>Adult Learners</v>
      </c>
      <c r="N466" s="25" t="str">
        <f>IF(ISNUMBER(SEARCH("NON",UPPER(Raw_Data!M457))),"Non-Premium Learner","Premium Learner")</f>
        <v>Non-Premium Learner</v>
      </c>
      <c r="O466" s="25" t="str">
        <f>PROPER(TRIM(Raw_Data!N457))</f>
        <v>App Only</v>
      </c>
      <c r="P466" s="26">
        <f>IF(Raw_Data!O457="",$C$7,Raw_Data!O457)</f>
        <v>75845.25</v>
      </c>
      <c r="Q466" s="25" t="str">
        <f>IF(Raw_Data!O457="","Missing-Imputed","Original")</f>
        <v>Original</v>
      </c>
      <c r="R466" s="26">
        <f>Raw_Data!P457</f>
        <v>6.5</v>
      </c>
      <c r="S466" s="26">
        <f>Raw_Data!Q457</f>
        <v>30657.63</v>
      </c>
      <c r="T466" s="25" t="str">
        <f>IF(Raw_Data!R457="","Unknown",IF(ISNUMBER(SEARCH("ACT",UPPER(Raw_Data!R457))),"Active",IF(ISNUMBER(SEARCH("CLOS",UPPER(Raw_Data!R457))),"Closed","None")))</f>
        <v>Active</v>
      </c>
      <c r="U466" s="26">
        <f>IF(Raw_Data!S457="",$C$8,VALUE(Raw_Data!S457))</f>
        <v>451</v>
      </c>
      <c r="V466" s="25" t="str">
        <f>IF(Raw_Data!S457="","Missing-Imputed","Original")</f>
        <v>Original</v>
      </c>
      <c r="W466" s="26">
        <f>Raw_Data!T457</f>
        <v>20</v>
      </c>
      <c r="X466" s="25" t="str">
        <f>IF(ISNUMBER(SEARCH("Y",UPPER(TRIM(Raw_Data!U457)))),"Yes","No")</f>
        <v>No</v>
      </c>
      <c r="Y466" s="25" t="str">
        <f>IF(ISNUMBER(SEARCH("Y",UPPER(TRIM(Raw_Data!V457)))),"Yes","No")</f>
        <v>No</v>
      </c>
      <c r="Z466" s="26">
        <f>Raw_Data!W457</f>
        <v>4</v>
      </c>
      <c r="AA466" s="26">
        <f>Raw_Data!X457</f>
        <v>3.8</v>
      </c>
      <c r="AB466" s="25" t="str">
        <f>IF(COUNTIFS(Raw_Data!$A$2:$A$616,Raw_Data!A457)&gt;1,"Duplicate","Unique")</f>
        <v>Unique</v>
      </c>
      <c r="AC466" s="25" t="str">
        <f t="shared" si="23"/>
        <v>Clean</v>
      </c>
    </row>
    <row r="467" spans="1:29" ht="15" customHeight="1">
      <c r="A467" s="23" t="str">
        <f>Raw_Data!A458</f>
        <v>BYJ1457</v>
      </c>
      <c r="B467" s="23" t="str">
        <f>Raw_Data!B458</f>
        <v>Radha Narula</v>
      </c>
      <c r="C467" s="24">
        <f>IF(OR(Raw_Data!C458="",Raw_Data!C458&lt;$C$5,Raw_Data!C458&gt;$C$6),$C$4,Raw_Data!C458)</f>
        <v>15</v>
      </c>
      <c r="D467" s="23" t="str">
        <f>IF(Raw_Data!C458="","Missing-Imputed",IF(OR(Raw_Data!C458&lt;$C$5,Raw_Data!C458&gt;$C$6),"Outlier-Imputed","Original"))</f>
        <v>Original</v>
      </c>
      <c r="E467" s="23" t="str">
        <f>IF(OR(UPPER(TRIM(Raw_Data!D458))="M",UPPER(TRIM(Raw_Data!D458))="MALE"),"Male","Female")</f>
        <v>Female</v>
      </c>
      <c r="F467" s="23" t="str">
        <f>PROPER(TRIM(Raw_Data!E458))</f>
        <v>Dehri</v>
      </c>
      <c r="G467" s="23" t="str">
        <f>PROPER(TRIM(Raw_Data!F458))</f>
        <v>Delhi</v>
      </c>
      <c r="H467" s="23" t="str">
        <f>PROPER(TRIM(Raw_Data!G458))</f>
        <v>Coding</v>
      </c>
      <c r="I467" s="23" t="str">
        <f>PROPER(TRIM(Raw_Data!H458))</f>
        <v>Pune East</v>
      </c>
      <c r="J467" s="24">
        <f>IF(LEN(TRIM(Raw_Data!I458))=4,VALUE(TRIM(Raw_Data!I458)),IF(ISNUMBER(IFERROR(VALUE(MID(TRIM(Raw_Data!I458),1,4)),"NA")),VALUE(MID(TRIM(Raw_Data!I458),1,4)),VALUE(RIGHT(TRIM(Raw_Data!I458),4))))</f>
        <v>2021</v>
      </c>
      <c r="K467" s="23" t="str">
        <f>PROPER(TRIM(Raw_Data!J458))</f>
        <v>Homemaker</v>
      </c>
      <c r="L467" s="23" t="str">
        <f t="shared" si="21"/>
        <v>14-16</v>
      </c>
      <c r="M467" s="23" t="str">
        <f t="shared" si="22"/>
        <v>Teens</v>
      </c>
      <c r="N467" s="23" t="str">
        <f>IF(ISNUMBER(SEARCH("NON",UPPER(Raw_Data!M458))),"Non-Premium Learner","Premium Learner")</f>
        <v>Non-Premium Learner</v>
      </c>
      <c r="O467" s="23" t="str">
        <f>PROPER(TRIM(Raw_Data!N458))</f>
        <v>Web Only</v>
      </c>
      <c r="P467" s="24">
        <f>IF(Raw_Data!O458="",$C$7,Raw_Data!O458)</f>
        <v>92691.8</v>
      </c>
      <c r="Q467" s="23" t="str">
        <f>IF(Raw_Data!O458="","Missing-Imputed","Original")</f>
        <v>Original</v>
      </c>
      <c r="R467" s="24">
        <f>Raw_Data!P458</f>
        <v>66.8</v>
      </c>
      <c r="S467" s="24">
        <f>Raw_Data!Q458</f>
        <v>38750.49</v>
      </c>
      <c r="T467" s="23" t="str">
        <f>IF(Raw_Data!R458="","Unknown",IF(ISNUMBER(SEARCH("ACT",UPPER(Raw_Data!R458))),"Active",IF(ISNUMBER(SEARCH("CLOS",UPPER(Raw_Data!R458))),"Closed","None")))</f>
        <v>Unknown</v>
      </c>
      <c r="U467" s="24">
        <f>IF(Raw_Data!S458="",$C$8,VALUE(Raw_Data!S458))</f>
        <v>423</v>
      </c>
      <c r="V467" s="23" t="str">
        <f>IF(Raw_Data!S458="","Missing-Imputed","Original")</f>
        <v>Original</v>
      </c>
      <c r="W467" s="24">
        <f>Raw_Data!T458</f>
        <v>15</v>
      </c>
      <c r="X467" s="23" t="str">
        <f>IF(ISNUMBER(SEARCH("Y",UPPER(TRIM(Raw_Data!U458)))),"Yes","No")</f>
        <v>Yes</v>
      </c>
      <c r="Y467" s="23" t="str">
        <f>IF(ISNUMBER(SEARCH("Y",UPPER(TRIM(Raw_Data!V458)))),"Yes","No")</f>
        <v>Yes</v>
      </c>
      <c r="Z467" s="24">
        <f>Raw_Data!W458</f>
        <v>4</v>
      </c>
      <c r="AA467" s="24">
        <f>Raw_Data!X458</f>
        <v>6.5</v>
      </c>
      <c r="AB467" s="23" t="str">
        <f>IF(COUNTIFS(Raw_Data!$A$2:$A$616,Raw_Data!A458)&gt;1,"Duplicate","Unique")</f>
        <v>Unique</v>
      </c>
      <c r="AC467" s="23" t="str">
        <f t="shared" si="23"/>
        <v>Clean</v>
      </c>
    </row>
    <row r="468" spans="1:29" ht="15" customHeight="1">
      <c r="A468" s="25" t="str">
        <f>Raw_Data!A459</f>
        <v>BYJ1458</v>
      </c>
      <c r="B468" s="25" t="str">
        <f>Raw_Data!B459</f>
        <v>Victor Kakar</v>
      </c>
      <c r="C468" s="26">
        <f>IF(OR(Raw_Data!C459="",Raw_Data!C459&lt;$C$5,Raw_Data!C459&gt;$C$6),$C$4,Raw_Data!C459)</f>
        <v>19</v>
      </c>
      <c r="D468" s="25" t="str">
        <f>IF(Raw_Data!C459="","Missing-Imputed",IF(OR(Raw_Data!C459&lt;$C$5,Raw_Data!C459&gt;$C$6),"Outlier-Imputed","Original"))</f>
        <v>Original</v>
      </c>
      <c r="E468" s="25" t="str">
        <f>IF(OR(UPPER(TRIM(Raw_Data!D459))="M",UPPER(TRIM(Raw_Data!D459))="MALE"),"Male","Female")</f>
        <v>Male</v>
      </c>
      <c r="F468" s="25" t="str">
        <f>PROPER(TRIM(Raw_Data!E459))</f>
        <v>Gopalpur</v>
      </c>
      <c r="G468" s="25" t="str">
        <f>PROPER(TRIM(Raw_Data!F459))</f>
        <v>West Bengal</v>
      </c>
      <c r="H468" s="25" t="str">
        <f>PROPER(TRIM(Raw_Data!G459))</f>
        <v>Mathematics</v>
      </c>
      <c r="I468" s="25" t="str">
        <f>PROPER(TRIM(Raw_Data!H459))</f>
        <v>Pune East</v>
      </c>
      <c r="J468" s="26">
        <f>IF(LEN(TRIM(Raw_Data!I459))=4,VALUE(TRIM(Raw_Data!I459)),IF(ISNUMBER(IFERROR(VALUE(MID(TRIM(Raw_Data!I459),1,4)),"NA")),VALUE(MID(TRIM(Raw_Data!I459),1,4)),VALUE(RIGHT(TRIM(Raw_Data!I459),4))))</f>
        <v>2023</v>
      </c>
      <c r="K468" s="25" t="str">
        <f>PROPER(TRIM(Raw_Data!J459))</f>
        <v>Government Employee</v>
      </c>
      <c r="L468" s="25" t="str">
        <f t="shared" si="21"/>
        <v>17-19</v>
      </c>
      <c r="M468" s="25" t="str">
        <f t="shared" si="22"/>
        <v>Teens</v>
      </c>
      <c r="N468" s="25" t="str">
        <f>IF(ISNUMBER(SEARCH("NON",UPPER(Raw_Data!M459))),"Non-Premium Learner","Premium Learner")</f>
        <v>Premium Learner</v>
      </c>
      <c r="O468" s="25" t="str">
        <f>PROPER(TRIM(Raw_Data!N459))</f>
        <v>Web Only</v>
      </c>
      <c r="P468" s="26">
        <f>IF(Raw_Data!O459="",$C$7,Raw_Data!O459)</f>
        <v>20623.009999999998</v>
      </c>
      <c r="Q468" s="25" t="str">
        <f>IF(Raw_Data!O459="","Missing-Imputed","Original")</f>
        <v>Original</v>
      </c>
      <c r="R468" s="26">
        <f>Raw_Data!P459</f>
        <v>25.7</v>
      </c>
      <c r="S468" s="26">
        <f>Raw_Data!Q459</f>
        <v>42377.8</v>
      </c>
      <c r="T468" s="25" t="str">
        <f>IF(Raw_Data!R459="","Unknown",IF(ISNUMBER(SEARCH("ACT",UPPER(Raw_Data!R459))),"Active",IF(ISNUMBER(SEARCH("CLOS",UPPER(Raw_Data!R459))),"Closed","None")))</f>
        <v>Closed</v>
      </c>
      <c r="U468" s="26">
        <f>IF(Raw_Data!S459="",$C$8,VALUE(Raw_Data!S459))</f>
        <v>466</v>
      </c>
      <c r="V468" s="25" t="str">
        <f>IF(Raw_Data!S459="","Missing-Imputed","Original")</f>
        <v>Original</v>
      </c>
      <c r="W468" s="26">
        <f>Raw_Data!T459</f>
        <v>82</v>
      </c>
      <c r="X468" s="25" t="str">
        <f>IF(ISNUMBER(SEARCH("Y",UPPER(TRIM(Raw_Data!U459)))),"Yes","No")</f>
        <v>Yes</v>
      </c>
      <c r="Y468" s="25" t="str">
        <f>IF(ISNUMBER(SEARCH("Y",UPPER(TRIM(Raw_Data!V459)))),"Yes","No")</f>
        <v>Yes</v>
      </c>
      <c r="Z468" s="26">
        <f>Raw_Data!W459</f>
        <v>5</v>
      </c>
      <c r="AA468" s="26">
        <f>Raw_Data!X459</f>
        <v>4.5999999999999996</v>
      </c>
      <c r="AB468" s="25" t="str">
        <f>IF(COUNTIFS(Raw_Data!$A$2:$A$616,Raw_Data!A459)&gt;1,"Duplicate","Unique")</f>
        <v>Unique</v>
      </c>
      <c r="AC468" s="25" t="str">
        <f t="shared" si="23"/>
        <v>Clean</v>
      </c>
    </row>
    <row r="469" spans="1:29" ht="15" customHeight="1">
      <c r="A469" s="23" t="str">
        <f>Raw_Data!A460</f>
        <v>BYJ1459</v>
      </c>
      <c r="B469" s="23" t="str">
        <f>Raw_Data!B460</f>
        <v>Falan Mand</v>
      </c>
      <c r="C469" s="24">
        <f>IF(OR(Raw_Data!C460="",Raw_Data!C460&lt;$C$5,Raw_Data!C460&gt;$C$6),$C$4,Raw_Data!C460)</f>
        <v>30</v>
      </c>
      <c r="D469" s="23" t="str">
        <f>IF(Raw_Data!C460="","Missing-Imputed",IF(OR(Raw_Data!C460&lt;$C$5,Raw_Data!C460&gt;$C$6),"Outlier-Imputed","Original"))</f>
        <v>Original</v>
      </c>
      <c r="E469" s="23" t="str">
        <f>IF(OR(UPPER(TRIM(Raw_Data!D460))="M",UPPER(TRIM(Raw_Data!D460))="MALE"),"Male","Female")</f>
        <v>Male</v>
      </c>
      <c r="F469" s="23" t="str">
        <f>PROPER(TRIM(Raw_Data!E460))</f>
        <v>Mangalore</v>
      </c>
      <c r="G469" s="23" t="str">
        <f>PROPER(TRIM(Raw_Data!F460))</f>
        <v>West Bengal</v>
      </c>
      <c r="H469" s="23" t="str">
        <f>PROPER(TRIM(Raw_Data!G460))</f>
        <v>Science</v>
      </c>
      <c r="I469" s="23" t="str">
        <f>PROPER(TRIM(Raw_Data!H460))</f>
        <v>Pune East</v>
      </c>
      <c r="J469" s="24">
        <f>IF(LEN(TRIM(Raw_Data!I460))=4,VALUE(TRIM(Raw_Data!I460)),IF(ISNUMBER(IFERROR(VALUE(MID(TRIM(Raw_Data!I460),1,4)),"NA")),VALUE(MID(TRIM(Raw_Data!I460),1,4)),VALUE(RIGHT(TRIM(Raw_Data!I460),4))))</f>
        <v>2025</v>
      </c>
      <c r="K469" s="23" t="str">
        <f>PROPER(TRIM(Raw_Data!J460))</f>
        <v>Homemaker</v>
      </c>
      <c r="L469" s="23" t="str">
        <f t="shared" si="21"/>
        <v>20+</v>
      </c>
      <c r="M469" s="23" t="str">
        <f t="shared" si="22"/>
        <v>Adult Learners</v>
      </c>
      <c r="N469" s="23" t="str">
        <f>IF(ISNUMBER(SEARCH("NON",UPPER(Raw_Data!M460))),"Non-Premium Learner","Premium Learner")</f>
        <v>Non-Premium Learner</v>
      </c>
      <c r="O469" s="23" t="str">
        <f>PROPER(TRIM(Raw_Data!N460))</f>
        <v>Both App &amp; Web</v>
      </c>
      <c r="P469" s="24">
        <f>IF(Raw_Data!O460="",$C$7,Raw_Data!O460)</f>
        <v>13099.58</v>
      </c>
      <c r="Q469" s="23" t="str">
        <f>IF(Raw_Data!O460="","Missing-Imputed","Original")</f>
        <v>Original</v>
      </c>
      <c r="R469" s="24">
        <f>Raw_Data!P460</f>
        <v>14.9</v>
      </c>
      <c r="S469" s="24">
        <f>Raw_Data!Q460</f>
        <v>3832.67</v>
      </c>
      <c r="T469" s="23" t="str">
        <f>IF(Raw_Data!R460="","Unknown",IF(ISNUMBER(SEARCH("ACT",UPPER(Raw_Data!R460))),"Active",IF(ISNUMBER(SEARCH("CLOS",UPPER(Raw_Data!R460))),"Closed","None")))</f>
        <v>Active</v>
      </c>
      <c r="U469" s="24">
        <f>IF(Raw_Data!S460="",$C$8,VALUE(Raw_Data!S460))</f>
        <v>455</v>
      </c>
      <c r="V469" s="23" t="str">
        <f>IF(Raw_Data!S460="","Missing-Imputed","Original")</f>
        <v>Original</v>
      </c>
      <c r="W469" s="24">
        <f>Raw_Data!T460</f>
        <v>41</v>
      </c>
      <c r="X469" s="23" t="str">
        <f>IF(ISNUMBER(SEARCH("Y",UPPER(TRIM(Raw_Data!U460)))),"Yes","No")</f>
        <v>Yes</v>
      </c>
      <c r="Y469" s="23" t="str">
        <f>IF(ISNUMBER(SEARCH("Y",UPPER(TRIM(Raw_Data!V460)))),"Yes","No")</f>
        <v>No</v>
      </c>
      <c r="Z469" s="24">
        <f>Raw_Data!W460</f>
        <v>3</v>
      </c>
      <c r="AA469" s="24">
        <f>Raw_Data!X460</f>
        <v>1.2</v>
      </c>
      <c r="AB469" s="23" t="str">
        <f>IF(COUNTIFS(Raw_Data!$A$2:$A$616,Raw_Data!A460)&gt;1,"Duplicate","Unique")</f>
        <v>Unique</v>
      </c>
      <c r="AC469" s="23" t="str">
        <f t="shared" si="23"/>
        <v>Clean</v>
      </c>
    </row>
    <row r="470" spans="1:29" ht="15" customHeight="1">
      <c r="A470" s="25" t="str">
        <f>Raw_Data!A461</f>
        <v>BYJ1460</v>
      </c>
      <c r="B470" s="25" t="str">
        <f>Raw_Data!B461</f>
        <v>Amol Johal</v>
      </c>
      <c r="C470" s="26">
        <f>IF(OR(Raw_Data!C461="",Raw_Data!C461&lt;$C$5,Raw_Data!C461&gt;$C$6),$C$4,Raw_Data!C461)</f>
        <v>31</v>
      </c>
      <c r="D470" s="25" t="str">
        <f>IF(Raw_Data!C461="","Missing-Imputed",IF(OR(Raw_Data!C461&lt;$C$5,Raw_Data!C461&gt;$C$6),"Outlier-Imputed","Original"))</f>
        <v>Original</v>
      </c>
      <c r="E470" s="25" t="str">
        <f>IF(OR(UPPER(TRIM(Raw_Data!D461))="M",UPPER(TRIM(Raw_Data!D461))="MALE"),"Male","Female")</f>
        <v>Male</v>
      </c>
      <c r="F470" s="25" t="str">
        <f>PROPER(TRIM(Raw_Data!E461))</f>
        <v>Sikar</v>
      </c>
      <c r="G470" s="25" t="str">
        <f>PROPER(TRIM(Raw_Data!F461))</f>
        <v>West Bengal</v>
      </c>
      <c r="H470" s="25" t="str">
        <f>PROPER(TRIM(Raw_Data!G461))</f>
        <v>Science</v>
      </c>
      <c r="I470" s="25" t="str">
        <f>PROPER(TRIM(Raw_Data!H461))</f>
        <v>Jaipur Center</v>
      </c>
      <c r="J470" s="26">
        <f>IF(LEN(TRIM(Raw_Data!I461))=4,VALUE(TRIM(Raw_Data!I461)),IF(ISNUMBER(IFERROR(VALUE(MID(TRIM(Raw_Data!I461),1,4)),"NA")),VALUE(MID(TRIM(Raw_Data!I461),1,4)),VALUE(RIGHT(TRIM(Raw_Data!I461),4))))</f>
        <v>2017</v>
      </c>
      <c r="K470" s="25" t="str">
        <f>PROPER(TRIM(Raw_Data!J461))</f>
        <v>Salaried</v>
      </c>
      <c r="L470" s="25" t="str">
        <f t="shared" si="21"/>
        <v>20+</v>
      </c>
      <c r="M470" s="25" t="str">
        <f t="shared" si="22"/>
        <v>Adult Learners</v>
      </c>
      <c r="N470" s="25" t="str">
        <f>IF(ISNUMBER(SEARCH("NON",UPPER(Raw_Data!M461))),"Non-Premium Learner","Premium Learner")</f>
        <v>Non-Premium Learner</v>
      </c>
      <c r="O470" s="25" t="str">
        <f>PROPER(TRIM(Raw_Data!N461))</f>
        <v>App Only</v>
      </c>
      <c r="P470" s="26">
        <f>IF(Raw_Data!O461="",$C$7,Raw_Data!O461)</f>
        <v>39693.480000000003</v>
      </c>
      <c r="Q470" s="25" t="str">
        <f>IF(Raw_Data!O461="","Missing-Imputed","Original")</f>
        <v>Original</v>
      </c>
      <c r="R470" s="26">
        <f>Raw_Data!P461</f>
        <v>46.8</v>
      </c>
      <c r="S470" s="26">
        <f>Raw_Data!Q461</f>
        <v>3148.99</v>
      </c>
      <c r="T470" s="25" t="str">
        <f>IF(Raw_Data!R461="","Unknown",IF(ISNUMBER(SEARCH("ACT",UPPER(Raw_Data!R461))),"Active",IF(ISNUMBER(SEARCH("CLOS",UPPER(Raw_Data!R461))),"Closed","None")))</f>
        <v>None</v>
      </c>
      <c r="U470" s="26">
        <f>IF(Raw_Data!S461="",$C$8,VALUE(Raw_Data!S461))</f>
        <v>790</v>
      </c>
      <c r="V470" s="25" t="str">
        <f>IF(Raw_Data!S461="","Missing-Imputed","Original")</f>
        <v>Original</v>
      </c>
      <c r="W470" s="26">
        <f>Raw_Data!T461</f>
        <v>56</v>
      </c>
      <c r="X470" s="25" t="str">
        <f>IF(ISNUMBER(SEARCH("Y",UPPER(TRIM(Raw_Data!U461)))),"Yes","No")</f>
        <v>Yes</v>
      </c>
      <c r="Y470" s="25" t="str">
        <f>IF(ISNUMBER(SEARCH("Y",UPPER(TRIM(Raw_Data!V461)))),"Yes","No")</f>
        <v>Yes</v>
      </c>
      <c r="Z470" s="26">
        <f>Raw_Data!W461</f>
        <v>3</v>
      </c>
      <c r="AA470" s="26">
        <f>Raw_Data!X461</f>
        <v>3.8</v>
      </c>
      <c r="AB470" s="25" t="str">
        <f>IF(COUNTIFS(Raw_Data!$A$2:$A$616,Raw_Data!A461)&gt;1,"Duplicate","Unique")</f>
        <v>Unique</v>
      </c>
      <c r="AC470" s="25" t="str">
        <f t="shared" si="23"/>
        <v>Clean</v>
      </c>
    </row>
    <row r="471" spans="1:29" ht="15" customHeight="1">
      <c r="A471" s="23" t="str">
        <f>Raw_Data!A462</f>
        <v>BYJ1461</v>
      </c>
      <c r="B471" s="23" t="str">
        <f>Raw_Data!B462</f>
        <v>Chandani Gaba</v>
      </c>
      <c r="C471" s="24">
        <f>IF(OR(Raw_Data!C462="",Raw_Data!C462&lt;$C$5,Raw_Data!C462&gt;$C$6),$C$4,Raw_Data!C462)</f>
        <v>38</v>
      </c>
      <c r="D471" s="23" t="str">
        <f>IF(Raw_Data!C462="","Missing-Imputed",IF(OR(Raw_Data!C462&lt;$C$5,Raw_Data!C462&gt;$C$6),"Outlier-Imputed","Original"))</f>
        <v>Original</v>
      </c>
      <c r="E471" s="23" t="str">
        <f>IF(OR(UPPER(TRIM(Raw_Data!D462))="M",UPPER(TRIM(Raw_Data!D462))="MALE"),"Male","Female")</f>
        <v>Female</v>
      </c>
      <c r="F471" s="23" t="str">
        <f>PROPER(TRIM(Raw_Data!E462))</f>
        <v>Tezpur</v>
      </c>
      <c r="G471" s="23" t="str">
        <f>PROPER(TRIM(Raw_Data!F462))</f>
        <v>West Bengal</v>
      </c>
      <c r="H471" s="23" t="str">
        <f>PROPER(TRIM(Raw_Data!G462))</f>
        <v>Mathematics</v>
      </c>
      <c r="I471" s="23" t="str">
        <f>PROPER(TRIM(Raw_Data!H462))</f>
        <v>Chennai Central</v>
      </c>
      <c r="J471" s="24">
        <f>IF(LEN(TRIM(Raw_Data!I462))=4,VALUE(TRIM(Raw_Data!I462)),IF(ISNUMBER(IFERROR(VALUE(MID(TRIM(Raw_Data!I462),1,4)),"NA")),VALUE(MID(TRIM(Raw_Data!I462),1,4)),VALUE(RIGHT(TRIM(Raw_Data!I462),4))))</f>
        <v>2019</v>
      </c>
      <c r="K471" s="23" t="str">
        <f>PROPER(TRIM(Raw_Data!J462))</f>
        <v>Business</v>
      </c>
      <c r="L471" s="23" t="str">
        <f t="shared" si="21"/>
        <v>20+</v>
      </c>
      <c r="M471" s="23" t="str">
        <f t="shared" si="22"/>
        <v>Adult Learners</v>
      </c>
      <c r="N471" s="23" t="str">
        <f>IF(ISNUMBER(SEARCH("NON",UPPER(Raw_Data!M462))),"Non-Premium Learner","Premium Learner")</f>
        <v>Non-Premium Learner</v>
      </c>
      <c r="O471" s="23" t="str">
        <f>PROPER(TRIM(Raw_Data!N462))</f>
        <v>Both App &amp; Web</v>
      </c>
      <c r="P471" s="24">
        <f>IF(Raw_Data!O462="",$C$7,Raw_Data!O462)</f>
        <v>16690.98</v>
      </c>
      <c r="Q471" s="23" t="str">
        <f>IF(Raw_Data!O462="","Missing-Imputed","Original")</f>
        <v>Original</v>
      </c>
      <c r="R471" s="24">
        <f>Raw_Data!P462</f>
        <v>43.2</v>
      </c>
      <c r="S471" s="24">
        <f>Raw_Data!Q462</f>
        <v>49742.2</v>
      </c>
      <c r="T471" s="23" t="str">
        <f>IF(Raw_Data!R462="","Unknown",IF(ISNUMBER(SEARCH("ACT",UPPER(Raw_Data!R462))),"Active",IF(ISNUMBER(SEARCH("CLOS",UPPER(Raw_Data!R462))),"Closed","None")))</f>
        <v>Closed</v>
      </c>
      <c r="U471" s="24">
        <f>IF(Raw_Data!S462="",$C$8,VALUE(Raw_Data!S462))</f>
        <v>455</v>
      </c>
      <c r="V471" s="23" t="str">
        <f>IF(Raw_Data!S462="","Missing-Imputed","Original")</f>
        <v>Original</v>
      </c>
      <c r="W471" s="24">
        <f>Raw_Data!T462</f>
        <v>160</v>
      </c>
      <c r="X471" s="23" t="str">
        <f>IF(ISNUMBER(SEARCH("Y",UPPER(TRIM(Raw_Data!U462)))),"Yes","No")</f>
        <v>No</v>
      </c>
      <c r="Y471" s="23" t="str">
        <f>IF(ISNUMBER(SEARCH("Y",UPPER(TRIM(Raw_Data!V462)))),"Yes","No")</f>
        <v>No</v>
      </c>
      <c r="Z471" s="24">
        <f>Raw_Data!W462</f>
        <v>2</v>
      </c>
      <c r="AA471" s="24">
        <f>Raw_Data!X462</f>
        <v>7.6</v>
      </c>
      <c r="AB471" s="23" t="str">
        <f>IF(COUNTIFS(Raw_Data!$A$2:$A$616,Raw_Data!A462)&gt;1,"Duplicate","Unique")</f>
        <v>Unique</v>
      </c>
      <c r="AC471" s="23" t="str">
        <f t="shared" si="23"/>
        <v>Clean</v>
      </c>
    </row>
    <row r="472" spans="1:29" ht="15" customHeight="1">
      <c r="A472" s="25" t="str">
        <f>Raw_Data!A463</f>
        <v>BYJ1462</v>
      </c>
      <c r="B472" s="25" t="str">
        <f>Raw_Data!B463</f>
        <v>Garima Rajagopalan</v>
      </c>
      <c r="C472" s="26">
        <f>IF(OR(Raw_Data!C463="",Raw_Data!C463&lt;$C$5,Raw_Data!C463&gt;$C$6),$C$4,Raw_Data!C463)</f>
        <v>18</v>
      </c>
      <c r="D472" s="25" t="str">
        <f>IF(Raw_Data!C463="","Missing-Imputed",IF(OR(Raw_Data!C463&lt;$C$5,Raw_Data!C463&gt;$C$6),"Outlier-Imputed","Original"))</f>
        <v>Original</v>
      </c>
      <c r="E472" s="25" t="str">
        <f>IF(OR(UPPER(TRIM(Raw_Data!D463))="M",UPPER(TRIM(Raw_Data!D463))="MALE"),"Male","Female")</f>
        <v>Female</v>
      </c>
      <c r="F472" s="25" t="str">
        <f>PROPER(TRIM(Raw_Data!E463))</f>
        <v>Vijayawada</v>
      </c>
      <c r="G472" s="25" t="str">
        <f>PROPER(TRIM(Raw_Data!F463))</f>
        <v>Telangana</v>
      </c>
      <c r="H472" s="25" t="str">
        <f>PROPER(TRIM(Raw_Data!G463))</f>
        <v>Spoken English</v>
      </c>
      <c r="I472" s="25" t="str">
        <f>PROPER(TRIM(Raw_Data!H463))</f>
        <v>Chennai Central</v>
      </c>
      <c r="J472" s="26">
        <f>IF(LEN(TRIM(Raw_Data!I463))=4,VALUE(TRIM(Raw_Data!I463)),IF(ISNUMBER(IFERROR(VALUE(MID(TRIM(Raw_Data!I463),1,4)),"NA")),VALUE(MID(TRIM(Raw_Data!I463),1,4)),VALUE(RIGHT(TRIM(Raw_Data!I463),4))))</f>
        <v>2023</v>
      </c>
      <c r="K472" s="25" t="str">
        <f>PROPER(TRIM(Raw_Data!J463))</f>
        <v>Business</v>
      </c>
      <c r="L472" s="25" t="str">
        <f t="shared" si="21"/>
        <v>17-19</v>
      </c>
      <c r="M472" s="25" t="str">
        <f t="shared" si="22"/>
        <v>Teens</v>
      </c>
      <c r="N472" s="25" t="str">
        <f>IF(ISNUMBER(SEARCH("NON",UPPER(Raw_Data!M463))),"Non-Premium Learner","Premium Learner")</f>
        <v>Premium Learner</v>
      </c>
      <c r="O472" s="25" t="str">
        <f>PROPER(TRIM(Raw_Data!N463))</f>
        <v>App Only</v>
      </c>
      <c r="P472" s="26">
        <f>IF(Raw_Data!O463="",$C$7,Raw_Data!O463)</f>
        <v>112707.94</v>
      </c>
      <c r="Q472" s="25" t="str">
        <f>IF(Raw_Data!O463="","Missing-Imputed","Original")</f>
        <v>Original</v>
      </c>
      <c r="R472" s="26">
        <f>Raw_Data!P463</f>
        <v>20</v>
      </c>
      <c r="S472" s="26">
        <f>Raw_Data!Q463</f>
        <v>34212.42</v>
      </c>
      <c r="T472" s="25" t="str">
        <f>IF(Raw_Data!R463="","Unknown",IF(ISNUMBER(SEARCH("ACT",UPPER(Raw_Data!R463))),"Active",IF(ISNUMBER(SEARCH("CLOS",UPPER(Raw_Data!R463))),"Closed","None")))</f>
        <v>None</v>
      </c>
      <c r="U472" s="26">
        <f>IF(Raw_Data!S463="",$C$8,VALUE(Raw_Data!S463))</f>
        <v>519</v>
      </c>
      <c r="V472" s="25" t="str">
        <f>IF(Raw_Data!S463="","Missing-Imputed","Original")</f>
        <v>Original</v>
      </c>
      <c r="W472" s="26">
        <f>Raw_Data!T463</f>
        <v>77</v>
      </c>
      <c r="X472" s="25" t="str">
        <f>IF(ISNUMBER(SEARCH("Y",UPPER(TRIM(Raw_Data!U463)))),"Yes","No")</f>
        <v>No</v>
      </c>
      <c r="Y472" s="25" t="str">
        <f>IF(ISNUMBER(SEARCH("Y",UPPER(TRIM(Raw_Data!V463)))),"Yes","No")</f>
        <v>Yes</v>
      </c>
      <c r="Z472" s="26">
        <f>Raw_Data!W463</f>
        <v>5</v>
      </c>
      <c r="AA472" s="26">
        <f>Raw_Data!X463</f>
        <v>8.1</v>
      </c>
      <c r="AB472" s="25" t="str">
        <f>IF(COUNTIFS(Raw_Data!$A$2:$A$616,Raw_Data!A463)&gt;1,"Duplicate","Unique")</f>
        <v>Unique</v>
      </c>
      <c r="AC472" s="25" t="str">
        <f t="shared" si="23"/>
        <v>Clean</v>
      </c>
    </row>
    <row r="473" spans="1:29" ht="15" customHeight="1">
      <c r="A473" s="23" t="str">
        <f>Raw_Data!A464</f>
        <v>BYJ1463</v>
      </c>
      <c r="B473" s="23" t="str">
        <f>Raw_Data!B464</f>
        <v>Chatresh Chaudhari</v>
      </c>
      <c r="C473" s="24">
        <f>IF(OR(Raw_Data!C464="",Raw_Data!C464&lt;$C$5,Raw_Data!C464&gt;$C$6),$C$4,Raw_Data!C464)</f>
        <v>7</v>
      </c>
      <c r="D473" s="23" t="str">
        <f>IF(Raw_Data!C464="","Missing-Imputed",IF(OR(Raw_Data!C464&lt;$C$5,Raw_Data!C464&gt;$C$6),"Outlier-Imputed","Original"))</f>
        <v>Original</v>
      </c>
      <c r="E473" s="23" t="str">
        <f>IF(OR(UPPER(TRIM(Raw_Data!D464))="M",UPPER(TRIM(Raw_Data!D464))="MALE"),"Male","Female")</f>
        <v>Female</v>
      </c>
      <c r="F473" s="23" t="str">
        <f>PROPER(TRIM(Raw_Data!E464))</f>
        <v>Ahmednagar</v>
      </c>
      <c r="G473" s="23" t="str">
        <f>PROPER(TRIM(Raw_Data!F464))</f>
        <v>Maharashtra</v>
      </c>
      <c r="H473" s="23" t="str">
        <f>PROPER(TRIM(Raw_Data!G464))</f>
        <v>Neet Prep</v>
      </c>
      <c r="I473" s="23" t="str">
        <f>PROPER(TRIM(Raw_Data!H464))</f>
        <v>Delhi North</v>
      </c>
      <c r="J473" s="24">
        <f>IF(LEN(TRIM(Raw_Data!I464))=4,VALUE(TRIM(Raw_Data!I464)),IF(ISNUMBER(IFERROR(VALUE(MID(TRIM(Raw_Data!I464),1,4)),"NA")),VALUE(MID(TRIM(Raw_Data!I464),1,4)),VALUE(RIGHT(TRIM(Raw_Data!I464),4))))</f>
        <v>46035</v>
      </c>
      <c r="K473" s="23" t="str">
        <f>PROPER(TRIM(Raw_Data!J464))</f>
        <v>Self-Employed</v>
      </c>
      <c r="L473" s="23" t="str">
        <f t="shared" si="21"/>
        <v>Under 10</v>
      </c>
      <c r="M473" s="23" t="str">
        <f t="shared" si="22"/>
        <v>Kids</v>
      </c>
      <c r="N473" s="23" t="str">
        <f>IF(ISNUMBER(SEARCH("NON",UPPER(Raw_Data!M464))),"Non-Premium Learner","Premium Learner")</f>
        <v>Non-Premium Learner</v>
      </c>
      <c r="O473" s="23" t="str">
        <f>PROPER(TRIM(Raw_Data!N464))</f>
        <v>App Only</v>
      </c>
      <c r="P473" s="24">
        <f>IF(Raw_Data!O464="",$C$7,Raw_Data!O464)</f>
        <v>138518.75</v>
      </c>
      <c r="Q473" s="23" t="str">
        <f>IF(Raw_Data!O464="","Missing-Imputed","Original")</f>
        <v>Original</v>
      </c>
      <c r="R473" s="24">
        <f>Raw_Data!P464</f>
        <v>49.8</v>
      </c>
      <c r="S473" s="24">
        <f>Raw_Data!Q464</f>
        <v>47700.19</v>
      </c>
      <c r="T473" s="23" t="str">
        <f>IF(Raw_Data!R464="","Unknown",IF(ISNUMBER(SEARCH("ACT",UPPER(Raw_Data!R464))),"Active",IF(ISNUMBER(SEARCH("CLOS",UPPER(Raw_Data!R464))),"Closed","None")))</f>
        <v>None</v>
      </c>
      <c r="U473" s="24">
        <f>IF(Raw_Data!S464="",$C$8,VALUE(Raw_Data!S464))</f>
        <v>379</v>
      </c>
      <c r="V473" s="23" t="str">
        <f>IF(Raw_Data!S464="","Missing-Imputed","Original")</f>
        <v>Original</v>
      </c>
      <c r="W473" s="24">
        <f>Raw_Data!T464</f>
        <v>0</v>
      </c>
      <c r="X473" s="23" t="str">
        <f>IF(ISNUMBER(SEARCH("Y",UPPER(TRIM(Raw_Data!U464)))),"Yes","No")</f>
        <v>Yes</v>
      </c>
      <c r="Y473" s="23" t="str">
        <f>IF(ISNUMBER(SEARCH("Y",UPPER(TRIM(Raw_Data!V464)))),"Yes","No")</f>
        <v>Yes</v>
      </c>
      <c r="Z473" s="24">
        <f>Raw_Data!W464</f>
        <v>1</v>
      </c>
      <c r="AA473" s="24">
        <f>Raw_Data!X464</f>
        <v>3.1</v>
      </c>
      <c r="AB473" s="23" t="str">
        <f>IF(COUNTIFS(Raw_Data!$A$2:$A$616,Raw_Data!A464)&gt;1,"Duplicate","Unique")</f>
        <v>Unique</v>
      </c>
      <c r="AC473" s="23" t="str">
        <f t="shared" si="23"/>
        <v>Clean</v>
      </c>
    </row>
    <row r="474" spans="1:29" ht="15" customHeight="1">
      <c r="A474" s="25" t="str">
        <f>Raw_Data!A465</f>
        <v>BYJ1464</v>
      </c>
      <c r="B474" s="25" t="str">
        <f>Raw_Data!B465</f>
        <v>Harini Ranganathan</v>
      </c>
      <c r="C474" s="26">
        <f>IF(OR(Raw_Data!C465="",Raw_Data!C465&lt;$C$5,Raw_Data!C465&gt;$C$6),$C$4,Raw_Data!C465)</f>
        <v>16</v>
      </c>
      <c r="D474" s="25" t="str">
        <f>IF(Raw_Data!C465="","Missing-Imputed",IF(OR(Raw_Data!C465&lt;$C$5,Raw_Data!C465&gt;$C$6),"Outlier-Imputed","Original"))</f>
        <v>Original</v>
      </c>
      <c r="E474" s="25" t="str">
        <f>IF(OR(UPPER(TRIM(Raw_Data!D465))="M",UPPER(TRIM(Raw_Data!D465))="MALE"),"Male","Female")</f>
        <v>Male</v>
      </c>
      <c r="F474" s="25" t="str">
        <f>PROPER(TRIM(Raw_Data!E465))</f>
        <v>Ludhiana</v>
      </c>
      <c r="G474" s="25" t="str">
        <f>PROPER(TRIM(Raw_Data!F465))</f>
        <v>Delhi</v>
      </c>
      <c r="H474" s="25" t="str">
        <f>PROPER(TRIM(Raw_Data!G465))</f>
        <v>Robotics</v>
      </c>
      <c r="I474" s="25" t="str">
        <f>PROPER(TRIM(Raw_Data!H465))</f>
        <v>Pune East</v>
      </c>
      <c r="J474" s="26">
        <f>IF(LEN(TRIM(Raw_Data!I465))=4,VALUE(TRIM(Raw_Data!I465)),IF(ISNUMBER(IFERROR(VALUE(MID(TRIM(Raw_Data!I465),1,4)),"NA")),VALUE(MID(TRIM(Raw_Data!I465),1,4)),VALUE(RIGHT(TRIM(Raw_Data!I465),4))))</f>
        <v>2017</v>
      </c>
      <c r="K474" s="25" t="str">
        <f>PROPER(TRIM(Raw_Data!J465))</f>
        <v>Homemaker</v>
      </c>
      <c r="L474" s="25" t="str">
        <f t="shared" si="21"/>
        <v>14-16</v>
      </c>
      <c r="M474" s="25" t="str">
        <f t="shared" si="22"/>
        <v>Teens</v>
      </c>
      <c r="N474" s="25" t="str">
        <f>IF(ISNUMBER(SEARCH("NON",UPPER(Raw_Data!M465))),"Non-Premium Learner","Premium Learner")</f>
        <v>Non-Premium Learner</v>
      </c>
      <c r="O474" s="25" t="str">
        <f>PROPER(TRIM(Raw_Data!N465))</f>
        <v>Web Only</v>
      </c>
      <c r="P474" s="26">
        <f>IF(Raw_Data!O465="",$C$7,Raw_Data!O465)</f>
        <v>25566.52</v>
      </c>
      <c r="Q474" s="25" t="str">
        <f>IF(Raw_Data!O465="","Missing-Imputed","Original")</f>
        <v>Original</v>
      </c>
      <c r="R474" s="26">
        <f>Raw_Data!P465</f>
        <v>74.900000000000006</v>
      </c>
      <c r="S474" s="26">
        <f>Raw_Data!Q465</f>
        <v>58996.98</v>
      </c>
      <c r="T474" s="25" t="str">
        <f>IF(Raw_Data!R465="","Unknown",IF(ISNUMBER(SEARCH("ACT",UPPER(Raw_Data!R465))),"Active",IF(ISNUMBER(SEARCH("CLOS",UPPER(Raw_Data!R465))),"Closed","None")))</f>
        <v>Active</v>
      </c>
      <c r="U474" s="26">
        <f>IF(Raw_Data!S465="",$C$8,VALUE(Raw_Data!S465))</f>
        <v>331</v>
      </c>
      <c r="V474" s="25" t="str">
        <f>IF(Raw_Data!S465="","Missing-Imputed","Original")</f>
        <v>Original</v>
      </c>
      <c r="W474" s="26">
        <f>Raw_Data!T465</f>
        <v>121</v>
      </c>
      <c r="X474" s="25" t="str">
        <f>IF(ISNUMBER(SEARCH("Y",UPPER(TRIM(Raw_Data!U465)))),"Yes","No")</f>
        <v>Yes</v>
      </c>
      <c r="Y474" s="25" t="str">
        <f>IF(ISNUMBER(SEARCH("Y",UPPER(TRIM(Raw_Data!V465)))),"Yes","No")</f>
        <v>Yes</v>
      </c>
      <c r="Z474" s="26">
        <f>Raw_Data!W465</f>
        <v>2</v>
      </c>
      <c r="AA474" s="26">
        <f>Raw_Data!X465</f>
        <v>4.4000000000000004</v>
      </c>
      <c r="AB474" s="25" t="str">
        <f>IF(COUNTIFS(Raw_Data!$A$2:$A$616,Raw_Data!A465)&gt;1,"Duplicate","Unique")</f>
        <v>Unique</v>
      </c>
      <c r="AC474" s="25" t="str">
        <f t="shared" si="23"/>
        <v>Clean</v>
      </c>
    </row>
    <row r="475" spans="1:29" ht="15" customHeight="1">
      <c r="A475" s="23" t="str">
        <f>Raw_Data!A466</f>
        <v>BYJ1465</v>
      </c>
      <c r="B475" s="23" t="str">
        <f>Raw_Data!B466</f>
        <v>Shravya Swaminathan</v>
      </c>
      <c r="C475" s="24">
        <f>IF(OR(Raw_Data!C466="",Raw_Data!C466&lt;$C$5,Raw_Data!C466&gt;$C$6),$C$4,Raw_Data!C466)</f>
        <v>23</v>
      </c>
      <c r="D475" s="23" t="str">
        <f>IF(Raw_Data!C466="","Missing-Imputed",IF(OR(Raw_Data!C466&lt;$C$5,Raw_Data!C466&gt;$C$6),"Outlier-Imputed","Original"))</f>
        <v>Original</v>
      </c>
      <c r="E475" s="23" t="str">
        <f>IF(OR(UPPER(TRIM(Raw_Data!D466))="M",UPPER(TRIM(Raw_Data!D466))="MALE"),"Male","Female")</f>
        <v>Female</v>
      </c>
      <c r="F475" s="23" t="str">
        <f>PROPER(TRIM(Raw_Data!E466))</f>
        <v>Raurkela Industrial Township</v>
      </c>
      <c r="G475" s="23" t="str">
        <f>PROPER(TRIM(Raw_Data!F466))</f>
        <v>Rajasthan</v>
      </c>
      <c r="H475" s="23" t="str">
        <f>PROPER(TRIM(Raw_Data!G466))</f>
        <v>Mathematics</v>
      </c>
      <c r="I475" s="23" t="str">
        <f>PROPER(TRIM(Raw_Data!H466))</f>
        <v>Mumbai West</v>
      </c>
      <c r="J475" s="24">
        <f>IF(LEN(TRIM(Raw_Data!I466))=4,VALUE(TRIM(Raw_Data!I466)),IF(ISNUMBER(IFERROR(VALUE(MID(TRIM(Raw_Data!I466),1,4)),"NA")),VALUE(MID(TRIM(Raw_Data!I466),1,4)),VALUE(RIGHT(TRIM(Raw_Data!I466),4))))</f>
        <v>2019</v>
      </c>
      <c r="K475" s="23" t="str">
        <f>PROPER(TRIM(Raw_Data!J466))</f>
        <v>Salaried</v>
      </c>
      <c r="L475" s="23" t="str">
        <f t="shared" si="21"/>
        <v>20+</v>
      </c>
      <c r="M475" s="23" t="str">
        <f t="shared" si="22"/>
        <v>Adult Learners</v>
      </c>
      <c r="N475" s="23" t="str">
        <f>IF(ISNUMBER(SEARCH("NON",UPPER(Raw_Data!M466))),"Non-Premium Learner","Premium Learner")</f>
        <v>Premium Learner</v>
      </c>
      <c r="O475" s="23" t="str">
        <f>PROPER(TRIM(Raw_Data!N466))</f>
        <v>Web Only</v>
      </c>
      <c r="P475" s="24">
        <f>IF(Raw_Data!O466="",$C$7,Raw_Data!O466)</f>
        <v>64801.52</v>
      </c>
      <c r="Q475" s="23" t="str">
        <f>IF(Raw_Data!O466="","Missing-Imputed","Original")</f>
        <v>Original</v>
      </c>
      <c r="R475" s="24">
        <f>Raw_Data!P466</f>
        <v>48.3</v>
      </c>
      <c r="S475" s="24">
        <f>Raw_Data!Q466</f>
        <v>2642.02</v>
      </c>
      <c r="T475" s="23" t="str">
        <f>IF(Raw_Data!R466="","Unknown",IF(ISNUMBER(SEARCH("ACT",UPPER(Raw_Data!R466))),"Active",IF(ISNUMBER(SEARCH("CLOS",UPPER(Raw_Data!R466))),"Closed","None")))</f>
        <v>Active</v>
      </c>
      <c r="U475" s="24">
        <f>IF(Raw_Data!S466="",$C$8,VALUE(Raw_Data!S466))</f>
        <v>588</v>
      </c>
      <c r="V475" s="23" t="str">
        <f>IF(Raw_Data!S466="","Missing-Imputed","Original")</f>
        <v>Original</v>
      </c>
      <c r="W475" s="24">
        <f>Raw_Data!T466</f>
        <v>51</v>
      </c>
      <c r="X475" s="23" t="str">
        <f>IF(ISNUMBER(SEARCH("Y",UPPER(TRIM(Raw_Data!U466)))),"Yes","No")</f>
        <v>No</v>
      </c>
      <c r="Y475" s="23" t="str">
        <f>IF(ISNUMBER(SEARCH("Y",UPPER(TRIM(Raw_Data!V466)))),"Yes","No")</f>
        <v>No</v>
      </c>
      <c r="Z475" s="24">
        <f>Raw_Data!W466</f>
        <v>2</v>
      </c>
      <c r="AA475" s="24">
        <f>Raw_Data!X466</f>
        <v>6.4</v>
      </c>
      <c r="AB475" s="23" t="str">
        <f>IF(COUNTIFS(Raw_Data!$A$2:$A$616,Raw_Data!A466)&gt;1,"Duplicate","Unique")</f>
        <v>Unique</v>
      </c>
      <c r="AC475" s="23" t="str">
        <f t="shared" si="23"/>
        <v>Clean</v>
      </c>
    </row>
    <row r="476" spans="1:29" ht="15" customHeight="1">
      <c r="A476" s="25" t="str">
        <f>Raw_Data!A467</f>
        <v>BYJ1466</v>
      </c>
      <c r="B476" s="25" t="str">
        <f>Raw_Data!B467</f>
        <v>Rachana Grewal</v>
      </c>
      <c r="C476" s="26">
        <f>IF(OR(Raw_Data!C467="",Raw_Data!C467&lt;$C$5,Raw_Data!C467&gt;$C$6),$C$4,Raw_Data!C467)</f>
        <v>8</v>
      </c>
      <c r="D476" s="25" t="str">
        <f>IF(Raw_Data!C467="","Missing-Imputed",IF(OR(Raw_Data!C467&lt;$C$5,Raw_Data!C467&gt;$C$6),"Outlier-Imputed","Original"))</f>
        <v>Original</v>
      </c>
      <c r="E476" s="25" t="str">
        <f>IF(OR(UPPER(TRIM(Raw_Data!D467))="M",UPPER(TRIM(Raw_Data!D467))="MALE"),"Male","Female")</f>
        <v>Female</v>
      </c>
      <c r="F476" s="25" t="str">
        <f>PROPER(TRIM(Raw_Data!E467))</f>
        <v>Guwahati</v>
      </c>
      <c r="G476" s="25" t="str">
        <f>PROPER(TRIM(Raw_Data!F467))</f>
        <v>Rajasthan</v>
      </c>
      <c r="H476" s="25" t="str">
        <f>PROPER(TRIM(Raw_Data!G467))</f>
        <v>English</v>
      </c>
      <c r="I476" s="25" t="str">
        <f>PROPER(TRIM(Raw_Data!H467))</f>
        <v>Chennai Central</v>
      </c>
      <c r="J476" s="26">
        <f>IF(LEN(TRIM(Raw_Data!I467))=4,VALUE(TRIM(Raw_Data!I467)),IF(ISNUMBER(IFERROR(VALUE(MID(TRIM(Raw_Data!I467),1,4)),"NA")),VALUE(MID(TRIM(Raw_Data!I467),1,4)),VALUE(RIGHT(TRIM(Raw_Data!I467),4))))</f>
        <v>2020</v>
      </c>
      <c r="K476" s="25" t="str">
        <f>PROPER(TRIM(Raw_Data!J467))</f>
        <v>Self-Employed</v>
      </c>
      <c r="L476" s="25" t="str">
        <f t="shared" si="21"/>
        <v>Under 10</v>
      </c>
      <c r="M476" s="25" t="str">
        <f t="shared" si="22"/>
        <v>Kids</v>
      </c>
      <c r="N476" s="25" t="str">
        <f>IF(ISNUMBER(SEARCH("NON",UPPER(Raw_Data!M467))),"Non-Premium Learner","Premium Learner")</f>
        <v>Non-Premium Learner</v>
      </c>
      <c r="O476" s="25" t="str">
        <f>PROPER(TRIM(Raw_Data!N467))</f>
        <v>Web Only</v>
      </c>
      <c r="P476" s="26">
        <f>IF(Raw_Data!O467="",$C$7,Raw_Data!O467)</f>
        <v>100497.19</v>
      </c>
      <c r="Q476" s="25" t="str">
        <f>IF(Raw_Data!O467="","Missing-Imputed","Original")</f>
        <v>Original</v>
      </c>
      <c r="R476" s="26">
        <f>Raw_Data!P467</f>
        <v>46.3</v>
      </c>
      <c r="S476" s="26">
        <f>Raw_Data!Q467</f>
        <v>8741.74</v>
      </c>
      <c r="T476" s="25" t="str">
        <f>IF(Raw_Data!R467="","Unknown",IF(ISNUMBER(SEARCH("ACT",UPPER(Raw_Data!R467))),"Active",IF(ISNUMBER(SEARCH("CLOS",UPPER(Raw_Data!R467))),"Closed","None")))</f>
        <v>None</v>
      </c>
      <c r="U476" s="26">
        <f>IF(Raw_Data!S467="",$C$8,VALUE(Raw_Data!S467))</f>
        <v>716</v>
      </c>
      <c r="V476" s="25" t="str">
        <f>IF(Raw_Data!S467="","Missing-Imputed","Original")</f>
        <v>Original</v>
      </c>
      <c r="W476" s="26">
        <f>Raw_Data!T467</f>
        <v>102</v>
      </c>
      <c r="X476" s="25" t="str">
        <f>IF(ISNUMBER(SEARCH("Y",UPPER(TRIM(Raw_Data!U467)))),"Yes","No")</f>
        <v>No</v>
      </c>
      <c r="Y476" s="25" t="str">
        <f>IF(ISNUMBER(SEARCH("Y",UPPER(TRIM(Raw_Data!V467)))),"Yes","No")</f>
        <v>No</v>
      </c>
      <c r="Z476" s="26">
        <f>Raw_Data!W467</f>
        <v>2</v>
      </c>
      <c r="AA476" s="26">
        <f>Raw_Data!X467</f>
        <v>7.4</v>
      </c>
      <c r="AB476" s="25" t="str">
        <f>IF(COUNTIFS(Raw_Data!$A$2:$A$616,Raw_Data!A467)&gt;1,"Duplicate","Unique")</f>
        <v>Unique</v>
      </c>
      <c r="AC476" s="25" t="str">
        <f t="shared" si="23"/>
        <v>Clean</v>
      </c>
    </row>
    <row r="477" spans="1:29" ht="15" customHeight="1">
      <c r="A477" s="23" t="str">
        <f>Raw_Data!A468</f>
        <v>BYJ1467</v>
      </c>
      <c r="B477" s="23" t="str">
        <f>Raw_Data!B468</f>
        <v>Yatin Borah</v>
      </c>
      <c r="C477" s="24">
        <f>IF(OR(Raw_Data!C468="",Raw_Data!C468&lt;$C$5,Raw_Data!C468&gt;$C$6),$C$4,Raw_Data!C468)</f>
        <v>40</v>
      </c>
      <c r="D477" s="23" t="str">
        <f>IF(Raw_Data!C468="","Missing-Imputed",IF(OR(Raw_Data!C468&lt;$C$5,Raw_Data!C468&gt;$C$6),"Outlier-Imputed","Original"))</f>
        <v>Original</v>
      </c>
      <c r="E477" s="23" t="str">
        <f>IF(OR(UPPER(TRIM(Raw_Data!D468))="M",UPPER(TRIM(Raw_Data!D468))="MALE"),"Male","Female")</f>
        <v>Female</v>
      </c>
      <c r="F477" s="23" t="str">
        <f>PROPER(TRIM(Raw_Data!E468))</f>
        <v>Agartala</v>
      </c>
      <c r="G477" s="23" t="str">
        <f>PROPER(TRIM(Raw_Data!F468))</f>
        <v>Karnataka</v>
      </c>
      <c r="H477" s="23" t="str">
        <f>PROPER(TRIM(Raw_Data!G468))</f>
        <v>Jee Prep</v>
      </c>
      <c r="I477" s="23" t="str">
        <f>PROPER(TRIM(Raw_Data!H468))</f>
        <v>Mumbai West</v>
      </c>
      <c r="J477" s="24">
        <f>IF(LEN(TRIM(Raw_Data!I468))=4,VALUE(TRIM(Raw_Data!I468)),IF(ISNUMBER(IFERROR(VALUE(MID(TRIM(Raw_Data!I468),1,4)),"NA")),VALUE(MID(TRIM(Raw_Data!I468),1,4)),VALUE(RIGHT(TRIM(Raw_Data!I468),4))))</f>
        <v>2021</v>
      </c>
      <c r="K477" s="23" t="str">
        <f>PROPER(TRIM(Raw_Data!J468))</f>
        <v>Self-Employed</v>
      </c>
      <c r="L477" s="23" t="str">
        <f t="shared" si="21"/>
        <v>20+</v>
      </c>
      <c r="M477" s="23" t="str">
        <f t="shared" si="22"/>
        <v>Adult Learners</v>
      </c>
      <c r="N477" s="23" t="str">
        <f>IF(ISNUMBER(SEARCH("NON",UPPER(Raw_Data!M468))),"Non-Premium Learner","Premium Learner")</f>
        <v>Non-Premium Learner</v>
      </c>
      <c r="O477" s="23" t="str">
        <f>PROPER(TRIM(Raw_Data!N468))</f>
        <v>App Only</v>
      </c>
      <c r="P477" s="24">
        <f>IF(Raw_Data!O468="",$C$7,Raw_Data!O468)</f>
        <v>134012.43</v>
      </c>
      <c r="Q477" s="23" t="str">
        <f>IF(Raw_Data!O468="","Missing-Imputed","Original")</f>
        <v>Original</v>
      </c>
      <c r="R477" s="24">
        <f>Raw_Data!P468</f>
        <v>73.900000000000006</v>
      </c>
      <c r="S477" s="24">
        <f>Raw_Data!Q468</f>
        <v>58962.85</v>
      </c>
      <c r="T477" s="23" t="str">
        <f>IF(Raw_Data!R468="","Unknown",IF(ISNUMBER(SEARCH("ACT",UPPER(Raw_Data!R468))),"Active",IF(ISNUMBER(SEARCH("CLOS",UPPER(Raw_Data!R468))),"Closed","None")))</f>
        <v>Active</v>
      </c>
      <c r="U477" s="24">
        <f>IF(Raw_Data!S468="",$C$8,VALUE(Raw_Data!S468))</f>
        <v>853</v>
      </c>
      <c r="V477" s="23" t="str">
        <f>IF(Raw_Data!S468="","Missing-Imputed","Original")</f>
        <v>Original</v>
      </c>
      <c r="W477" s="24">
        <f>Raw_Data!T468</f>
        <v>190</v>
      </c>
      <c r="X477" s="23" t="str">
        <f>IF(ISNUMBER(SEARCH("Y",UPPER(TRIM(Raw_Data!U468)))),"Yes","No")</f>
        <v>Yes</v>
      </c>
      <c r="Y477" s="23" t="str">
        <f>IF(ISNUMBER(SEARCH("Y",UPPER(TRIM(Raw_Data!V468)))),"Yes","No")</f>
        <v>Yes</v>
      </c>
      <c r="Z477" s="24">
        <f>Raw_Data!W468</f>
        <v>1</v>
      </c>
      <c r="AA477" s="24">
        <f>Raw_Data!X468</f>
        <v>7.5</v>
      </c>
      <c r="AB477" s="23" t="str">
        <f>IF(COUNTIFS(Raw_Data!$A$2:$A$616,Raw_Data!A468)&gt;1,"Duplicate","Unique")</f>
        <v>Unique</v>
      </c>
      <c r="AC477" s="23" t="str">
        <f t="shared" si="23"/>
        <v>Clean</v>
      </c>
    </row>
    <row r="478" spans="1:29" ht="15" customHeight="1">
      <c r="A478" s="25" t="str">
        <f>Raw_Data!A469</f>
        <v>BYJ1468</v>
      </c>
      <c r="B478" s="25" t="str">
        <f>Raw_Data!B469</f>
        <v>Lajita Dube</v>
      </c>
      <c r="C478" s="26">
        <f>IF(OR(Raw_Data!C469="",Raw_Data!C469&lt;$C$5,Raw_Data!C469&gt;$C$6),$C$4,Raw_Data!C469)</f>
        <v>40</v>
      </c>
      <c r="D478" s="25" t="str">
        <f>IF(Raw_Data!C469="","Missing-Imputed",IF(OR(Raw_Data!C469&lt;$C$5,Raw_Data!C469&gt;$C$6),"Outlier-Imputed","Original"))</f>
        <v>Original</v>
      </c>
      <c r="E478" s="25" t="str">
        <f>IF(OR(UPPER(TRIM(Raw_Data!D469))="M",UPPER(TRIM(Raw_Data!D469))="MALE"),"Male","Female")</f>
        <v>Male</v>
      </c>
      <c r="F478" s="25" t="str">
        <f>PROPER(TRIM(Raw_Data!E469))</f>
        <v>Ratlam</v>
      </c>
      <c r="G478" s="25" t="str">
        <f>PROPER(TRIM(Raw_Data!F469))</f>
        <v>Tamil Nadu</v>
      </c>
      <c r="H478" s="25" t="str">
        <f>PROPER(TRIM(Raw_Data!G469))</f>
        <v>Jee Prep</v>
      </c>
      <c r="I478" s="25" t="str">
        <f>PROPER(TRIM(Raw_Data!H469))</f>
        <v>Jaipur Center</v>
      </c>
      <c r="J478" s="26">
        <f>IF(LEN(TRIM(Raw_Data!I469))=4,VALUE(TRIM(Raw_Data!I469)),IF(ISNUMBER(IFERROR(VALUE(MID(TRIM(Raw_Data!I469),1,4)),"NA")),VALUE(MID(TRIM(Raw_Data!I469),1,4)),VALUE(RIGHT(TRIM(Raw_Data!I469),4))))</f>
        <v>46030</v>
      </c>
      <c r="K478" s="25" t="str">
        <f>PROPER(TRIM(Raw_Data!J469))</f>
        <v>Self-Employed</v>
      </c>
      <c r="L478" s="25" t="str">
        <f t="shared" si="21"/>
        <v>20+</v>
      </c>
      <c r="M478" s="25" t="str">
        <f t="shared" si="22"/>
        <v>Adult Learners</v>
      </c>
      <c r="N478" s="25" t="str">
        <f>IF(ISNUMBER(SEARCH("NON",UPPER(Raw_Data!M469))),"Non-Premium Learner","Premium Learner")</f>
        <v>Premium Learner</v>
      </c>
      <c r="O478" s="25" t="str">
        <f>PROPER(TRIM(Raw_Data!N469))</f>
        <v>Web Only</v>
      </c>
      <c r="P478" s="26">
        <f>IF(Raw_Data!O469="",$C$7,Raw_Data!O469)</f>
        <v>84525.35</v>
      </c>
      <c r="Q478" s="25" t="str">
        <f>IF(Raw_Data!O469="","Missing-Imputed","Original")</f>
        <v>Original</v>
      </c>
      <c r="R478" s="26">
        <f>Raw_Data!P469</f>
        <v>54.3</v>
      </c>
      <c r="S478" s="26">
        <f>Raw_Data!Q469</f>
        <v>23567.98</v>
      </c>
      <c r="T478" s="25" t="str">
        <f>IF(Raw_Data!R469="","Unknown",IF(ISNUMBER(SEARCH("ACT",UPPER(Raw_Data!R469))),"Active",IF(ISNUMBER(SEARCH("CLOS",UPPER(Raw_Data!R469))),"Closed","None")))</f>
        <v>None</v>
      </c>
      <c r="U478" s="26">
        <f>IF(Raw_Data!S469="",$C$8,VALUE(Raw_Data!S469))</f>
        <v>717</v>
      </c>
      <c r="V478" s="25" t="str">
        <f>IF(Raw_Data!S469="","Missing-Imputed","Original")</f>
        <v>Original</v>
      </c>
      <c r="W478" s="26">
        <f>Raw_Data!T469</f>
        <v>27</v>
      </c>
      <c r="X478" s="25" t="str">
        <f>IF(ISNUMBER(SEARCH("Y",UPPER(TRIM(Raw_Data!U469)))),"Yes","No")</f>
        <v>Yes</v>
      </c>
      <c r="Y478" s="25" t="str">
        <f>IF(ISNUMBER(SEARCH("Y",UPPER(TRIM(Raw_Data!V469)))),"Yes","No")</f>
        <v>Yes</v>
      </c>
      <c r="Z478" s="26">
        <f>Raw_Data!W469</f>
        <v>1</v>
      </c>
      <c r="AA478" s="26">
        <f>Raw_Data!X469</f>
        <v>8.1</v>
      </c>
      <c r="AB478" s="25" t="str">
        <f>IF(COUNTIFS(Raw_Data!$A$2:$A$616,Raw_Data!A469)&gt;1,"Duplicate","Unique")</f>
        <v>Unique</v>
      </c>
      <c r="AC478" s="25" t="str">
        <f t="shared" si="23"/>
        <v>Clean</v>
      </c>
    </row>
    <row r="479" spans="1:29" ht="15" customHeight="1">
      <c r="A479" s="23" t="str">
        <f>Raw_Data!A470</f>
        <v>BYJ1469</v>
      </c>
      <c r="B479" s="23" t="str">
        <f>Raw_Data!B470</f>
        <v>Hredhaan Chand</v>
      </c>
      <c r="C479" s="24">
        <f>IF(OR(Raw_Data!C470="",Raw_Data!C470&lt;$C$5,Raw_Data!C470&gt;$C$6),$C$4,Raw_Data!C470)</f>
        <v>37</v>
      </c>
      <c r="D479" s="23" t="str">
        <f>IF(Raw_Data!C470="","Missing-Imputed",IF(OR(Raw_Data!C470&lt;$C$5,Raw_Data!C470&gt;$C$6),"Outlier-Imputed","Original"))</f>
        <v>Original</v>
      </c>
      <c r="E479" s="23" t="str">
        <f>IF(OR(UPPER(TRIM(Raw_Data!D470))="M",UPPER(TRIM(Raw_Data!D470))="MALE"),"Male","Female")</f>
        <v>Male</v>
      </c>
      <c r="F479" s="23" t="str">
        <f>PROPER(TRIM(Raw_Data!E470))</f>
        <v>Aizawl</v>
      </c>
      <c r="G479" s="23" t="str">
        <f>PROPER(TRIM(Raw_Data!F470))</f>
        <v>Telangana</v>
      </c>
      <c r="H479" s="23" t="str">
        <f>PROPER(TRIM(Raw_Data!G470))</f>
        <v>English</v>
      </c>
      <c r="I479" s="23" t="str">
        <f>PROPER(TRIM(Raw_Data!H470))</f>
        <v>Kolkata Main</v>
      </c>
      <c r="J479" s="24">
        <f>IF(LEN(TRIM(Raw_Data!I470))=4,VALUE(TRIM(Raw_Data!I470)),IF(ISNUMBER(IFERROR(VALUE(MID(TRIM(Raw_Data!I470),1,4)),"NA")),VALUE(MID(TRIM(Raw_Data!I470),1,4)),VALUE(RIGHT(TRIM(Raw_Data!I470),4))))</f>
        <v>2020</v>
      </c>
      <c r="K479" s="23" t="str">
        <f>PROPER(TRIM(Raw_Data!J470))</f>
        <v>Business</v>
      </c>
      <c r="L479" s="23" t="str">
        <f t="shared" si="21"/>
        <v>20+</v>
      </c>
      <c r="M479" s="23" t="str">
        <f t="shared" si="22"/>
        <v>Adult Learners</v>
      </c>
      <c r="N479" s="23" t="str">
        <f>IF(ISNUMBER(SEARCH("NON",UPPER(Raw_Data!M470))),"Non-Premium Learner","Premium Learner")</f>
        <v>Premium Learner</v>
      </c>
      <c r="O479" s="23" t="str">
        <f>PROPER(TRIM(Raw_Data!N470))</f>
        <v>App Only</v>
      </c>
      <c r="P479" s="24">
        <f>IF(Raw_Data!O470="",$C$7,Raw_Data!O470)</f>
        <v>35027.67</v>
      </c>
      <c r="Q479" s="23" t="str">
        <f>IF(Raw_Data!O470="","Missing-Imputed","Original")</f>
        <v>Original</v>
      </c>
      <c r="R479" s="24">
        <f>Raw_Data!P470</f>
        <v>56</v>
      </c>
      <c r="S479" s="24">
        <f>Raw_Data!Q470</f>
        <v>4021.31</v>
      </c>
      <c r="T479" s="23" t="str">
        <f>IF(Raw_Data!R470="","Unknown",IF(ISNUMBER(SEARCH("ACT",UPPER(Raw_Data!R470))),"Active",IF(ISNUMBER(SEARCH("CLOS",UPPER(Raw_Data!R470))),"Closed","None")))</f>
        <v>Closed</v>
      </c>
      <c r="U479" s="24">
        <f>IF(Raw_Data!S470="",$C$8,VALUE(Raw_Data!S470))</f>
        <v>732</v>
      </c>
      <c r="V479" s="23" t="str">
        <f>IF(Raw_Data!S470="","Missing-Imputed","Original")</f>
        <v>Original</v>
      </c>
      <c r="W479" s="24">
        <f>Raw_Data!T470</f>
        <v>169</v>
      </c>
      <c r="X479" s="23" t="str">
        <f>IF(ISNUMBER(SEARCH("Y",UPPER(TRIM(Raw_Data!U470)))),"Yes","No")</f>
        <v>No</v>
      </c>
      <c r="Y479" s="23" t="str">
        <f>IF(ISNUMBER(SEARCH("Y",UPPER(TRIM(Raw_Data!V470)))),"Yes","No")</f>
        <v>No</v>
      </c>
      <c r="Z479" s="24">
        <f>Raw_Data!W470</f>
        <v>4</v>
      </c>
      <c r="AA479" s="24">
        <f>Raw_Data!X470</f>
        <v>3.7</v>
      </c>
      <c r="AB479" s="23" t="str">
        <f>IF(COUNTIFS(Raw_Data!$A$2:$A$616,Raw_Data!A470)&gt;1,"Duplicate","Unique")</f>
        <v>Unique</v>
      </c>
      <c r="AC479" s="23" t="str">
        <f t="shared" si="23"/>
        <v>Clean</v>
      </c>
    </row>
    <row r="480" spans="1:29" ht="15" customHeight="1">
      <c r="A480" s="25" t="str">
        <f>Raw_Data!A471</f>
        <v>BYJ1470</v>
      </c>
      <c r="B480" s="25" t="str">
        <f>Raw_Data!B471</f>
        <v>Jagvi Madan</v>
      </c>
      <c r="C480" s="26">
        <f>IF(OR(Raw_Data!C471="",Raw_Data!C471&lt;$C$5,Raw_Data!C471&gt;$C$6),$C$4,Raw_Data!C471)</f>
        <v>36</v>
      </c>
      <c r="D480" s="25" t="str">
        <f>IF(Raw_Data!C471="","Missing-Imputed",IF(OR(Raw_Data!C471&lt;$C$5,Raw_Data!C471&gt;$C$6),"Outlier-Imputed","Original"))</f>
        <v>Original</v>
      </c>
      <c r="E480" s="25" t="str">
        <f>IF(OR(UPPER(TRIM(Raw_Data!D471))="M",UPPER(TRIM(Raw_Data!D471))="MALE"),"Male","Female")</f>
        <v>Male</v>
      </c>
      <c r="F480" s="25" t="str">
        <f>PROPER(TRIM(Raw_Data!E471))</f>
        <v>Mira-Bhayandar</v>
      </c>
      <c r="G480" s="25" t="str">
        <f>PROPER(TRIM(Raw_Data!F471))</f>
        <v>Rajasthan</v>
      </c>
      <c r="H480" s="25" t="str">
        <f>PROPER(TRIM(Raw_Data!G471))</f>
        <v>Neet Prep</v>
      </c>
      <c r="I480" s="25" t="str">
        <f>PROPER(TRIM(Raw_Data!H471))</f>
        <v>Pune East</v>
      </c>
      <c r="J480" s="26">
        <f>IF(LEN(TRIM(Raw_Data!I471))=4,VALUE(TRIM(Raw_Data!I471)),IF(ISNUMBER(IFERROR(VALUE(MID(TRIM(Raw_Data!I471),1,4)),"NA")),VALUE(MID(TRIM(Raw_Data!I471),1,4)),VALUE(RIGHT(TRIM(Raw_Data!I471),4))))</f>
        <v>2016</v>
      </c>
      <c r="K480" s="25" t="str">
        <f>PROPER(TRIM(Raw_Data!J471))</f>
        <v>Self-Employed</v>
      </c>
      <c r="L480" s="25" t="str">
        <f t="shared" si="21"/>
        <v>20+</v>
      </c>
      <c r="M480" s="25" t="str">
        <f t="shared" si="22"/>
        <v>Adult Learners</v>
      </c>
      <c r="N480" s="25" t="str">
        <f>IF(ISNUMBER(SEARCH("NON",UPPER(Raw_Data!M471))),"Non-Premium Learner","Premium Learner")</f>
        <v>Non-Premium Learner</v>
      </c>
      <c r="O480" s="25" t="str">
        <f>PROPER(TRIM(Raw_Data!N471))</f>
        <v>Web Only</v>
      </c>
      <c r="P480" s="26">
        <f>IF(Raw_Data!O471="",$C$7,Raw_Data!O471)</f>
        <v>104845.72</v>
      </c>
      <c r="Q480" s="25" t="str">
        <f>IF(Raw_Data!O471="","Missing-Imputed","Original")</f>
        <v>Original</v>
      </c>
      <c r="R480" s="26">
        <f>Raw_Data!P471</f>
        <v>31.3</v>
      </c>
      <c r="S480" s="26">
        <f>Raw_Data!Q471</f>
        <v>58281.74</v>
      </c>
      <c r="T480" s="25" t="str">
        <f>IF(Raw_Data!R471="","Unknown",IF(ISNUMBER(SEARCH("ACT",UPPER(Raw_Data!R471))),"Active",IF(ISNUMBER(SEARCH("CLOS",UPPER(Raw_Data!R471))),"Closed","None")))</f>
        <v>Closed</v>
      </c>
      <c r="U480" s="26">
        <f>IF(Raw_Data!S471="",$C$8,VALUE(Raw_Data!S471))</f>
        <v>689</v>
      </c>
      <c r="V480" s="25" t="str">
        <f>IF(Raw_Data!S471="","Missing-Imputed","Original")</f>
        <v>Original</v>
      </c>
      <c r="W480" s="26">
        <f>Raw_Data!T471</f>
        <v>124</v>
      </c>
      <c r="X480" s="25" t="str">
        <f>IF(ISNUMBER(SEARCH("Y",UPPER(TRIM(Raw_Data!U471)))),"Yes","No")</f>
        <v>Yes</v>
      </c>
      <c r="Y480" s="25" t="str">
        <f>IF(ISNUMBER(SEARCH("Y",UPPER(TRIM(Raw_Data!V471)))),"Yes","No")</f>
        <v>No</v>
      </c>
      <c r="Z480" s="26">
        <f>Raw_Data!W471</f>
        <v>1</v>
      </c>
      <c r="AA480" s="26">
        <f>Raw_Data!X471</f>
        <v>2.6</v>
      </c>
      <c r="AB480" s="25" t="str">
        <f>IF(COUNTIFS(Raw_Data!$A$2:$A$616,Raw_Data!A471)&gt;1,"Duplicate","Unique")</f>
        <v>Unique</v>
      </c>
      <c r="AC480" s="25" t="str">
        <f t="shared" si="23"/>
        <v>Clean</v>
      </c>
    </row>
    <row r="481" spans="1:29" ht="15" customHeight="1">
      <c r="A481" s="23" t="str">
        <f>Raw_Data!A472</f>
        <v>BYJ1471</v>
      </c>
      <c r="B481" s="23" t="str">
        <f>Raw_Data!B472</f>
        <v>Rachit Sankar</v>
      </c>
      <c r="C481" s="24">
        <f>IF(OR(Raw_Data!C472="",Raw_Data!C472&lt;$C$5,Raw_Data!C472&gt;$C$6),$C$4,Raw_Data!C472)</f>
        <v>12</v>
      </c>
      <c r="D481" s="23" t="str">
        <f>IF(Raw_Data!C472="","Missing-Imputed",IF(OR(Raw_Data!C472&lt;$C$5,Raw_Data!C472&gt;$C$6),"Outlier-Imputed","Original"))</f>
        <v>Original</v>
      </c>
      <c r="E481" s="23" t="str">
        <f>IF(OR(UPPER(TRIM(Raw_Data!D472))="M",UPPER(TRIM(Raw_Data!D472))="MALE"),"Male","Female")</f>
        <v>Female</v>
      </c>
      <c r="F481" s="23" t="str">
        <f>PROPER(TRIM(Raw_Data!E472))</f>
        <v>Proddatur</v>
      </c>
      <c r="G481" s="23" t="str">
        <f>PROPER(TRIM(Raw_Data!F472))</f>
        <v>Delhi</v>
      </c>
      <c r="H481" s="23" t="str">
        <f>PROPER(TRIM(Raw_Data!G472))</f>
        <v>Spoken English</v>
      </c>
      <c r="I481" s="23" t="str">
        <f>PROPER(TRIM(Raw_Data!H472))</f>
        <v>Chennai Central</v>
      </c>
      <c r="J481" s="24">
        <f>IF(LEN(TRIM(Raw_Data!I472))=4,VALUE(TRIM(Raw_Data!I472)),IF(ISNUMBER(IFERROR(VALUE(MID(TRIM(Raw_Data!I472),1,4)),"NA")),VALUE(MID(TRIM(Raw_Data!I472),1,4)),VALUE(RIGHT(TRIM(Raw_Data!I472),4))))</f>
        <v>2021</v>
      </c>
      <c r="K481" s="23" t="str">
        <f>PROPER(TRIM(Raw_Data!J472))</f>
        <v>Business</v>
      </c>
      <c r="L481" s="23" t="str">
        <f t="shared" si="21"/>
        <v>10-13</v>
      </c>
      <c r="M481" s="23" t="str">
        <f t="shared" si="22"/>
        <v>Kids</v>
      </c>
      <c r="N481" s="23" t="str">
        <f>IF(ISNUMBER(SEARCH("NON",UPPER(Raw_Data!M472))),"Non-Premium Learner","Premium Learner")</f>
        <v>Non-Premium Learner</v>
      </c>
      <c r="O481" s="23" t="str">
        <f>PROPER(TRIM(Raw_Data!N472))</f>
        <v>Both App &amp; Web</v>
      </c>
      <c r="P481" s="24">
        <f>IF(Raw_Data!O472="",$C$7,Raw_Data!O472)</f>
        <v>23615.7</v>
      </c>
      <c r="Q481" s="23" t="str">
        <f>IF(Raw_Data!O472="","Missing-Imputed","Original")</f>
        <v>Original</v>
      </c>
      <c r="R481" s="24">
        <f>Raw_Data!P472</f>
        <v>63.6</v>
      </c>
      <c r="S481" s="24">
        <f>Raw_Data!Q472</f>
        <v>56132.29</v>
      </c>
      <c r="T481" s="23" t="str">
        <f>IF(Raw_Data!R472="","Unknown",IF(ISNUMBER(SEARCH("ACT",UPPER(Raw_Data!R472))),"Active",IF(ISNUMBER(SEARCH("CLOS",UPPER(Raw_Data!R472))),"Closed","None")))</f>
        <v>Closed</v>
      </c>
      <c r="U481" s="24">
        <f>IF(Raw_Data!S472="",$C$8,VALUE(Raw_Data!S472))</f>
        <v>814</v>
      </c>
      <c r="V481" s="23" t="str">
        <f>IF(Raw_Data!S472="","Missing-Imputed","Original")</f>
        <v>Original</v>
      </c>
      <c r="W481" s="24">
        <f>Raw_Data!T472</f>
        <v>70</v>
      </c>
      <c r="X481" s="23" t="str">
        <f>IF(ISNUMBER(SEARCH("Y",UPPER(TRIM(Raw_Data!U472)))),"Yes","No")</f>
        <v>No</v>
      </c>
      <c r="Y481" s="23" t="str">
        <f>IF(ISNUMBER(SEARCH("Y",UPPER(TRIM(Raw_Data!V472)))),"Yes","No")</f>
        <v>No</v>
      </c>
      <c r="Z481" s="24">
        <f>Raw_Data!W472</f>
        <v>5</v>
      </c>
      <c r="AA481" s="24">
        <f>Raw_Data!X472</f>
        <v>4.7</v>
      </c>
      <c r="AB481" s="23" t="str">
        <f>IF(COUNTIFS(Raw_Data!$A$2:$A$616,Raw_Data!A472)&gt;1,"Duplicate","Unique")</f>
        <v>Unique</v>
      </c>
      <c r="AC481" s="23" t="str">
        <f t="shared" si="23"/>
        <v>Clean</v>
      </c>
    </row>
    <row r="482" spans="1:29" ht="15" customHeight="1">
      <c r="A482" s="25" t="str">
        <f>Raw_Data!A473</f>
        <v>BYJ1472</v>
      </c>
      <c r="B482" s="25" t="str">
        <f>Raw_Data!B473</f>
        <v>Harshil Bal</v>
      </c>
      <c r="C482" s="26">
        <f>IF(OR(Raw_Data!C473="",Raw_Data!C473&lt;$C$5,Raw_Data!C473&gt;$C$6),$C$4,Raw_Data!C473)</f>
        <v>16</v>
      </c>
      <c r="D482" s="25" t="str">
        <f>IF(Raw_Data!C473="","Missing-Imputed",IF(OR(Raw_Data!C473&lt;$C$5,Raw_Data!C473&gt;$C$6),"Outlier-Imputed","Original"))</f>
        <v>Original</v>
      </c>
      <c r="E482" s="25" t="str">
        <f>IF(OR(UPPER(TRIM(Raw_Data!D473))="M",UPPER(TRIM(Raw_Data!D473))="MALE"),"Male","Female")</f>
        <v>Male</v>
      </c>
      <c r="F482" s="25" t="str">
        <f>PROPER(TRIM(Raw_Data!E473))</f>
        <v>Raichur</v>
      </c>
      <c r="G482" s="25" t="str">
        <f>PROPER(TRIM(Raw_Data!F473))</f>
        <v>West Bengal</v>
      </c>
      <c r="H482" s="25" t="str">
        <f>PROPER(TRIM(Raw_Data!G473))</f>
        <v>Mathematics</v>
      </c>
      <c r="I482" s="25" t="str">
        <f>PROPER(TRIM(Raw_Data!H473))</f>
        <v>Mumbai West</v>
      </c>
      <c r="J482" s="26">
        <f>IF(LEN(TRIM(Raw_Data!I473))=4,VALUE(TRIM(Raw_Data!I473)),IF(ISNUMBER(IFERROR(VALUE(MID(TRIM(Raw_Data!I473),1,4)),"NA")),VALUE(MID(TRIM(Raw_Data!I473),1,4)),VALUE(RIGHT(TRIM(Raw_Data!I473),4))))</f>
        <v>2017</v>
      </c>
      <c r="K482" s="25" t="str">
        <f>PROPER(TRIM(Raw_Data!J473))</f>
        <v>Business</v>
      </c>
      <c r="L482" s="25" t="str">
        <f t="shared" si="21"/>
        <v>14-16</v>
      </c>
      <c r="M482" s="25" t="str">
        <f t="shared" si="22"/>
        <v>Teens</v>
      </c>
      <c r="N482" s="25" t="str">
        <f>IF(ISNUMBER(SEARCH("NON",UPPER(Raw_Data!M473))),"Non-Premium Learner","Premium Learner")</f>
        <v>Premium Learner</v>
      </c>
      <c r="O482" s="25" t="str">
        <f>PROPER(TRIM(Raw_Data!N473))</f>
        <v>Both App &amp; Web</v>
      </c>
      <c r="P482" s="26">
        <f>IF(Raw_Data!O473="",$C$7,Raw_Data!O473)</f>
        <v>136284.44</v>
      </c>
      <c r="Q482" s="25" t="str">
        <f>IF(Raw_Data!O473="","Missing-Imputed","Original")</f>
        <v>Original</v>
      </c>
      <c r="R482" s="26">
        <f>Raw_Data!P473</f>
        <v>8.3000000000000007</v>
      </c>
      <c r="S482" s="26">
        <f>Raw_Data!Q473</f>
        <v>10960.67</v>
      </c>
      <c r="T482" s="25" t="str">
        <f>IF(Raw_Data!R473="","Unknown",IF(ISNUMBER(SEARCH("ACT",UPPER(Raw_Data!R473))),"Active",IF(ISNUMBER(SEARCH("CLOS",UPPER(Raw_Data!R473))),"Closed","None")))</f>
        <v>Closed</v>
      </c>
      <c r="U482" s="26">
        <f>IF(Raw_Data!S473="",$C$8,VALUE(Raw_Data!S473))</f>
        <v>897</v>
      </c>
      <c r="V482" s="25" t="str">
        <f>IF(Raw_Data!S473="","Missing-Imputed","Original")</f>
        <v>Original</v>
      </c>
      <c r="W482" s="26">
        <f>Raw_Data!T473</f>
        <v>58</v>
      </c>
      <c r="X482" s="25" t="str">
        <f>IF(ISNUMBER(SEARCH("Y",UPPER(TRIM(Raw_Data!U473)))),"Yes","No")</f>
        <v>No</v>
      </c>
      <c r="Y482" s="25" t="str">
        <f>IF(ISNUMBER(SEARCH("Y",UPPER(TRIM(Raw_Data!V473)))),"Yes","No")</f>
        <v>Yes</v>
      </c>
      <c r="Z482" s="26">
        <f>Raw_Data!W473</f>
        <v>2</v>
      </c>
      <c r="AA482" s="26">
        <f>Raw_Data!X473</f>
        <v>1.6</v>
      </c>
      <c r="AB482" s="25" t="str">
        <f>IF(COUNTIFS(Raw_Data!$A$2:$A$616,Raw_Data!A473)&gt;1,"Duplicate","Unique")</f>
        <v>Unique</v>
      </c>
      <c r="AC482" s="25" t="str">
        <f t="shared" si="23"/>
        <v>Clean</v>
      </c>
    </row>
    <row r="483" spans="1:29" ht="15" customHeight="1">
      <c r="A483" s="23" t="str">
        <f>Raw_Data!A474</f>
        <v>BYJ1473</v>
      </c>
      <c r="B483" s="23" t="str">
        <f>Raw_Data!B474</f>
        <v>Ekta Rajan</v>
      </c>
      <c r="C483" s="24">
        <f>IF(OR(Raw_Data!C474="",Raw_Data!C474&lt;$C$5,Raw_Data!C474&gt;$C$6),$C$4,Raw_Data!C474)</f>
        <v>7</v>
      </c>
      <c r="D483" s="23" t="str">
        <f>IF(Raw_Data!C474="","Missing-Imputed",IF(OR(Raw_Data!C474&lt;$C$5,Raw_Data!C474&gt;$C$6),"Outlier-Imputed","Original"))</f>
        <v>Original</v>
      </c>
      <c r="E483" s="23" t="str">
        <f>IF(OR(UPPER(TRIM(Raw_Data!D474))="M",UPPER(TRIM(Raw_Data!D474))="MALE"),"Male","Female")</f>
        <v>Female</v>
      </c>
      <c r="F483" s="23" t="str">
        <f>PROPER(TRIM(Raw_Data!E474))</f>
        <v>Jalna</v>
      </c>
      <c r="G483" s="23" t="str">
        <f>PROPER(TRIM(Raw_Data!F474))</f>
        <v>West Bengal</v>
      </c>
      <c r="H483" s="23" t="str">
        <f>PROPER(TRIM(Raw_Data!G474))</f>
        <v>Coding</v>
      </c>
      <c r="I483" s="23" t="str">
        <f>PROPER(TRIM(Raw_Data!H474))</f>
        <v>Jaipur Center</v>
      </c>
      <c r="J483" s="24">
        <f>IF(LEN(TRIM(Raw_Data!I474))=4,VALUE(TRIM(Raw_Data!I474)),IF(ISNUMBER(IFERROR(VALUE(MID(TRIM(Raw_Data!I474),1,4)),"NA")),VALUE(MID(TRIM(Raw_Data!I474),1,4)),VALUE(RIGHT(TRIM(Raw_Data!I474),4))))</f>
        <v>2021</v>
      </c>
      <c r="K483" s="23" t="str">
        <f>PROPER(TRIM(Raw_Data!J474))</f>
        <v>Self-Employed</v>
      </c>
      <c r="L483" s="23" t="str">
        <f t="shared" si="21"/>
        <v>Under 10</v>
      </c>
      <c r="M483" s="23" t="str">
        <f t="shared" si="22"/>
        <v>Kids</v>
      </c>
      <c r="N483" s="23" t="str">
        <f>IF(ISNUMBER(SEARCH("NON",UPPER(Raw_Data!M474))),"Non-Premium Learner","Premium Learner")</f>
        <v>Non-Premium Learner</v>
      </c>
      <c r="O483" s="23" t="str">
        <f>PROPER(TRIM(Raw_Data!N474))</f>
        <v>Both App &amp; Web</v>
      </c>
      <c r="P483" s="24">
        <f>IF(Raw_Data!O474="",$C$7,Raw_Data!O474)</f>
        <v>106796.93</v>
      </c>
      <c r="Q483" s="23" t="str">
        <f>IF(Raw_Data!O474="","Missing-Imputed","Original")</f>
        <v>Original</v>
      </c>
      <c r="R483" s="24">
        <f>Raw_Data!P474</f>
        <v>11.5</v>
      </c>
      <c r="S483" s="24">
        <f>Raw_Data!Q474</f>
        <v>52666.86</v>
      </c>
      <c r="T483" s="23" t="str">
        <f>IF(Raw_Data!R474="","Unknown",IF(ISNUMBER(SEARCH("ACT",UPPER(Raw_Data!R474))),"Active",IF(ISNUMBER(SEARCH("CLOS",UPPER(Raw_Data!R474))),"Closed","None")))</f>
        <v>None</v>
      </c>
      <c r="U483" s="24">
        <f>IF(Raw_Data!S474="",$C$8,VALUE(Raw_Data!S474))</f>
        <v>786</v>
      </c>
      <c r="V483" s="23" t="str">
        <f>IF(Raw_Data!S474="","Missing-Imputed","Original")</f>
        <v>Original</v>
      </c>
      <c r="W483" s="24">
        <f>Raw_Data!T474</f>
        <v>62</v>
      </c>
      <c r="X483" s="23" t="str">
        <f>IF(ISNUMBER(SEARCH("Y",UPPER(TRIM(Raw_Data!U474)))),"Yes","No")</f>
        <v>Yes</v>
      </c>
      <c r="Y483" s="23" t="str">
        <f>IF(ISNUMBER(SEARCH("Y",UPPER(TRIM(Raw_Data!V474)))),"Yes","No")</f>
        <v>Yes</v>
      </c>
      <c r="Z483" s="24">
        <f>Raw_Data!W474</f>
        <v>1</v>
      </c>
      <c r="AA483" s="24">
        <f>Raw_Data!X474</f>
        <v>5.3</v>
      </c>
      <c r="AB483" s="23" t="str">
        <f>IF(COUNTIFS(Raw_Data!$A$2:$A$616,Raw_Data!A474)&gt;1,"Duplicate","Unique")</f>
        <v>Unique</v>
      </c>
      <c r="AC483" s="23" t="str">
        <f t="shared" si="23"/>
        <v>Clean</v>
      </c>
    </row>
    <row r="484" spans="1:29" ht="15" customHeight="1">
      <c r="A484" s="25" t="str">
        <f>Raw_Data!A475</f>
        <v>BYJ1474</v>
      </c>
      <c r="B484" s="25" t="str">
        <f>Raw_Data!B475</f>
        <v>Lipika Chad</v>
      </c>
      <c r="C484" s="26">
        <f>IF(OR(Raw_Data!C475="",Raw_Data!C475&lt;$C$5,Raw_Data!C475&gt;$C$6),$C$4,Raw_Data!C475)</f>
        <v>40</v>
      </c>
      <c r="D484" s="25" t="str">
        <f>IF(Raw_Data!C475="","Missing-Imputed",IF(OR(Raw_Data!C475&lt;$C$5,Raw_Data!C475&gt;$C$6),"Outlier-Imputed","Original"))</f>
        <v>Original</v>
      </c>
      <c r="E484" s="25" t="str">
        <f>IF(OR(UPPER(TRIM(Raw_Data!D475))="M",UPPER(TRIM(Raw_Data!D475))="MALE"),"Male","Female")</f>
        <v>Female</v>
      </c>
      <c r="F484" s="25" t="str">
        <f>PROPER(TRIM(Raw_Data!E475))</f>
        <v>Aurangabad</v>
      </c>
      <c r="G484" s="25" t="str">
        <f>PROPER(TRIM(Raw_Data!F475))</f>
        <v>Karnataka</v>
      </c>
      <c r="H484" s="25" t="str">
        <f>PROPER(TRIM(Raw_Data!G475))</f>
        <v>Science</v>
      </c>
      <c r="I484" s="25" t="str">
        <f>PROPER(TRIM(Raw_Data!H475))</f>
        <v>Lucknow Hub</v>
      </c>
      <c r="J484" s="26">
        <f>IF(LEN(TRIM(Raw_Data!I475))=4,VALUE(TRIM(Raw_Data!I475)),IF(ISNUMBER(IFERROR(VALUE(MID(TRIM(Raw_Data!I475),1,4)),"NA")),VALUE(MID(TRIM(Raw_Data!I475),1,4)),VALUE(RIGHT(TRIM(Raw_Data!I475),4))))</f>
        <v>2022</v>
      </c>
      <c r="K484" s="25" t="str">
        <f>PROPER(TRIM(Raw_Data!J475))</f>
        <v>Business</v>
      </c>
      <c r="L484" s="25" t="str">
        <f t="shared" si="21"/>
        <v>20+</v>
      </c>
      <c r="M484" s="25" t="str">
        <f t="shared" si="22"/>
        <v>Adult Learners</v>
      </c>
      <c r="N484" s="25" t="str">
        <f>IF(ISNUMBER(SEARCH("NON",UPPER(Raw_Data!M475))),"Non-Premium Learner","Premium Learner")</f>
        <v>Premium Learner</v>
      </c>
      <c r="O484" s="25" t="str">
        <f>PROPER(TRIM(Raw_Data!N475))</f>
        <v>Both App &amp; Web</v>
      </c>
      <c r="P484" s="26">
        <f>IF(Raw_Data!O475="",$C$7,Raw_Data!O475)</f>
        <v>71742.19</v>
      </c>
      <c r="Q484" s="25" t="str">
        <f>IF(Raw_Data!O475="","Missing-Imputed","Original")</f>
        <v>Missing-Imputed</v>
      </c>
      <c r="R484" s="26">
        <f>Raw_Data!P475</f>
        <v>9.5</v>
      </c>
      <c r="S484" s="26">
        <f>Raw_Data!Q475</f>
        <v>47285.23</v>
      </c>
      <c r="T484" s="25" t="str">
        <f>IF(Raw_Data!R475="","Unknown",IF(ISNUMBER(SEARCH("ACT",UPPER(Raw_Data!R475))),"Active",IF(ISNUMBER(SEARCH("CLOS",UPPER(Raw_Data!R475))),"Closed","None")))</f>
        <v>Active</v>
      </c>
      <c r="U484" s="26">
        <f>IF(Raw_Data!S475="",$C$8,VALUE(Raw_Data!S475))</f>
        <v>899</v>
      </c>
      <c r="V484" s="25" t="str">
        <f>IF(Raw_Data!S475="","Missing-Imputed","Original")</f>
        <v>Original</v>
      </c>
      <c r="W484" s="26">
        <f>Raw_Data!T475</f>
        <v>77</v>
      </c>
      <c r="X484" s="25" t="str">
        <f>IF(ISNUMBER(SEARCH("Y",UPPER(TRIM(Raw_Data!U475)))),"Yes","No")</f>
        <v>Yes</v>
      </c>
      <c r="Y484" s="25" t="str">
        <f>IF(ISNUMBER(SEARCH("Y",UPPER(TRIM(Raw_Data!V475)))),"Yes","No")</f>
        <v>Yes</v>
      </c>
      <c r="Z484" s="26">
        <f>Raw_Data!W475</f>
        <v>2</v>
      </c>
      <c r="AA484" s="26">
        <f>Raw_Data!X475</f>
        <v>2.1</v>
      </c>
      <c r="AB484" s="25" t="str">
        <f>IF(COUNTIFS(Raw_Data!$A$2:$A$616,Raw_Data!A475)&gt;1,"Duplicate","Unique")</f>
        <v>Unique</v>
      </c>
      <c r="AC484" s="25" t="str">
        <f t="shared" si="23"/>
        <v>Imputed</v>
      </c>
    </row>
    <row r="485" spans="1:29" ht="15" customHeight="1">
      <c r="A485" s="23" t="str">
        <f>Raw_Data!A476</f>
        <v>BYJ1475</v>
      </c>
      <c r="B485" s="23" t="str">
        <f>Raw_Data!B476</f>
        <v>Lajita Gara</v>
      </c>
      <c r="C485" s="24">
        <f>IF(OR(Raw_Data!C476="",Raw_Data!C476&lt;$C$5,Raw_Data!C476&gt;$C$6),$C$4,Raw_Data!C476)</f>
        <v>12</v>
      </c>
      <c r="D485" s="23" t="str">
        <f>IF(Raw_Data!C476="","Missing-Imputed",IF(OR(Raw_Data!C476&lt;$C$5,Raw_Data!C476&gt;$C$6),"Outlier-Imputed","Original"))</f>
        <v>Original</v>
      </c>
      <c r="E485" s="23" t="str">
        <f>IF(OR(UPPER(TRIM(Raw_Data!D476))="M",UPPER(TRIM(Raw_Data!D476))="MALE"),"Male","Female")</f>
        <v>Male</v>
      </c>
      <c r="F485" s="23" t="str">
        <f>PROPER(TRIM(Raw_Data!E476))</f>
        <v>Agartala</v>
      </c>
      <c r="G485" s="23" t="str">
        <f>PROPER(TRIM(Raw_Data!F476))</f>
        <v>Uttar Pradesh</v>
      </c>
      <c r="H485" s="23" t="str">
        <f>PROPER(TRIM(Raw_Data!G476))</f>
        <v>Mathematics</v>
      </c>
      <c r="I485" s="23" t="str">
        <f>PROPER(TRIM(Raw_Data!H476))</f>
        <v>Mumbai West</v>
      </c>
      <c r="J485" s="24">
        <f>IF(LEN(TRIM(Raw_Data!I476))=4,VALUE(TRIM(Raw_Data!I476)),IF(ISNUMBER(IFERROR(VALUE(MID(TRIM(Raw_Data!I476),1,4)),"NA")),VALUE(MID(TRIM(Raw_Data!I476),1,4)),VALUE(RIGHT(TRIM(Raw_Data!I476),4))))</f>
        <v>2018</v>
      </c>
      <c r="K485" s="23" t="str">
        <f>PROPER(TRIM(Raw_Data!J476))</f>
        <v>Self-Employed</v>
      </c>
      <c r="L485" s="23" t="str">
        <f t="shared" si="21"/>
        <v>10-13</v>
      </c>
      <c r="M485" s="23" t="str">
        <f t="shared" si="22"/>
        <v>Kids</v>
      </c>
      <c r="N485" s="23" t="str">
        <f>IF(ISNUMBER(SEARCH("NON",UPPER(Raw_Data!M476))),"Non-Premium Learner","Premium Learner")</f>
        <v>Non-Premium Learner</v>
      </c>
      <c r="O485" s="23" t="str">
        <f>PROPER(TRIM(Raw_Data!N476))</f>
        <v>Both App &amp; Web</v>
      </c>
      <c r="P485" s="24">
        <f>IF(Raw_Data!O476="",$C$7,Raw_Data!O476)</f>
        <v>28886.240000000002</v>
      </c>
      <c r="Q485" s="23" t="str">
        <f>IF(Raw_Data!O476="","Missing-Imputed","Original")</f>
        <v>Original</v>
      </c>
      <c r="R485" s="24">
        <f>Raw_Data!P476</f>
        <v>36</v>
      </c>
      <c r="S485" s="24">
        <f>Raw_Data!Q476</f>
        <v>37537.410000000003</v>
      </c>
      <c r="T485" s="23" t="str">
        <f>IF(Raw_Data!R476="","Unknown",IF(ISNUMBER(SEARCH("ACT",UPPER(Raw_Data!R476))),"Active",IF(ISNUMBER(SEARCH("CLOS",UPPER(Raw_Data!R476))),"Closed","None")))</f>
        <v>Active</v>
      </c>
      <c r="U485" s="24">
        <f>IF(Raw_Data!S476="",$C$8,VALUE(Raw_Data!S476))</f>
        <v>716</v>
      </c>
      <c r="V485" s="23" t="str">
        <f>IF(Raw_Data!S476="","Missing-Imputed","Original")</f>
        <v>Original</v>
      </c>
      <c r="W485" s="24">
        <f>Raw_Data!T476</f>
        <v>110</v>
      </c>
      <c r="X485" s="23" t="str">
        <f>IF(ISNUMBER(SEARCH("Y",UPPER(TRIM(Raw_Data!U476)))),"Yes","No")</f>
        <v>Yes</v>
      </c>
      <c r="Y485" s="23" t="str">
        <f>IF(ISNUMBER(SEARCH("Y",UPPER(TRIM(Raw_Data!V476)))),"Yes","No")</f>
        <v>No</v>
      </c>
      <c r="Z485" s="24">
        <f>Raw_Data!W476</f>
        <v>2</v>
      </c>
      <c r="AA485" s="24">
        <f>Raw_Data!X476</f>
        <v>6.2</v>
      </c>
      <c r="AB485" s="23" t="str">
        <f>IF(COUNTIFS(Raw_Data!$A$2:$A$616,Raw_Data!A476)&gt;1,"Duplicate","Unique")</f>
        <v>Unique</v>
      </c>
      <c r="AC485" s="23" t="str">
        <f t="shared" si="23"/>
        <v>Clean</v>
      </c>
    </row>
    <row r="486" spans="1:29" ht="15" customHeight="1">
      <c r="A486" s="25" t="str">
        <f>Raw_Data!A477</f>
        <v>BYJ1476</v>
      </c>
      <c r="B486" s="25" t="str">
        <f>Raw_Data!B477</f>
        <v>Amrita Tailor</v>
      </c>
      <c r="C486" s="26">
        <f>IF(OR(Raw_Data!C477="",Raw_Data!C477&lt;$C$5,Raw_Data!C477&gt;$C$6),$C$4,Raw_Data!C477)</f>
        <v>44</v>
      </c>
      <c r="D486" s="25" t="str">
        <f>IF(Raw_Data!C477="","Missing-Imputed",IF(OR(Raw_Data!C477&lt;$C$5,Raw_Data!C477&gt;$C$6),"Outlier-Imputed","Original"))</f>
        <v>Original</v>
      </c>
      <c r="E486" s="25" t="str">
        <f>IF(OR(UPPER(TRIM(Raw_Data!D477))="M",UPPER(TRIM(Raw_Data!D477))="MALE"),"Male","Female")</f>
        <v>Male</v>
      </c>
      <c r="F486" s="25" t="str">
        <f>PROPER(TRIM(Raw_Data!E477))</f>
        <v>Rajkot</v>
      </c>
      <c r="G486" s="25" t="str">
        <f>PROPER(TRIM(Raw_Data!F477))</f>
        <v>Uttar Pradesh</v>
      </c>
      <c r="H486" s="25" t="str">
        <f>PROPER(TRIM(Raw_Data!G477))</f>
        <v>Robotics</v>
      </c>
      <c r="I486" s="25" t="str">
        <f>PROPER(TRIM(Raw_Data!H477))</f>
        <v>Mumbai West</v>
      </c>
      <c r="J486" s="26">
        <f>IF(LEN(TRIM(Raw_Data!I477))=4,VALUE(TRIM(Raw_Data!I477)),IF(ISNUMBER(IFERROR(VALUE(MID(TRIM(Raw_Data!I477),1,4)),"NA")),VALUE(MID(TRIM(Raw_Data!I477),1,4)),VALUE(RIGHT(TRIM(Raw_Data!I477),4))))</f>
        <v>46039</v>
      </c>
      <c r="K486" s="25" t="str">
        <f>PROPER(TRIM(Raw_Data!J477))</f>
        <v>Self-Employed</v>
      </c>
      <c r="L486" s="25" t="str">
        <f t="shared" si="21"/>
        <v>20+</v>
      </c>
      <c r="M486" s="25" t="str">
        <f t="shared" si="22"/>
        <v>Adult Learners</v>
      </c>
      <c r="N486" s="25" t="str">
        <f>IF(ISNUMBER(SEARCH("NON",UPPER(Raw_Data!M477))),"Non-Premium Learner","Premium Learner")</f>
        <v>Non-Premium Learner</v>
      </c>
      <c r="O486" s="25" t="str">
        <f>PROPER(TRIM(Raw_Data!N477))</f>
        <v>App Only</v>
      </c>
      <c r="P486" s="26">
        <f>IF(Raw_Data!O477="",$C$7,Raw_Data!O477)</f>
        <v>65510.879999999997</v>
      </c>
      <c r="Q486" s="25" t="str">
        <f>IF(Raw_Data!O477="","Missing-Imputed","Original")</f>
        <v>Original</v>
      </c>
      <c r="R486" s="26">
        <f>Raw_Data!P477</f>
        <v>57.8</v>
      </c>
      <c r="S486" s="26">
        <f>Raw_Data!Q477</f>
        <v>46622.879999999997</v>
      </c>
      <c r="T486" s="25" t="str">
        <f>IF(Raw_Data!R477="","Unknown",IF(ISNUMBER(SEARCH("ACT",UPPER(Raw_Data!R477))),"Active",IF(ISNUMBER(SEARCH("CLOS",UPPER(Raw_Data!R477))),"Closed","None")))</f>
        <v>None</v>
      </c>
      <c r="U486" s="26">
        <f>IF(Raw_Data!S477="",$C$8,VALUE(Raw_Data!S477))</f>
        <v>678</v>
      </c>
      <c r="V486" s="25" t="str">
        <f>IF(Raw_Data!S477="","Missing-Imputed","Original")</f>
        <v>Original</v>
      </c>
      <c r="W486" s="26">
        <f>Raw_Data!T477</f>
        <v>71</v>
      </c>
      <c r="X486" s="25" t="str">
        <f>IF(ISNUMBER(SEARCH("Y",UPPER(TRIM(Raw_Data!U477)))),"Yes","No")</f>
        <v>No</v>
      </c>
      <c r="Y486" s="25" t="str">
        <f>IF(ISNUMBER(SEARCH("Y",UPPER(TRIM(Raw_Data!V477)))),"Yes","No")</f>
        <v>No</v>
      </c>
      <c r="Z486" s="26">
        <f>Raw_Data!W477</f>
        <v>3</v>
      </c>
      <c r="AA486" s="26">
        <f>Raw_Data!X477</f>
        <v>7.8</v>
      </c>
      <c r="AB486" s="25" t="str">
        <f>IF(COUNTIFS(Raw_Data!$A$2:$A$616,Raw_Data!A477)&gt;1,"Duplicate","Unique")</f>
        <v>Unique</v>
      </c>
      <c r="AC486" s="25" t="str">
        <f t="shared" si="23"/>
        <v>Clean</v>
      </c>
    </row>
    <row r="487" spans="1:29" ht="15" customHeight="1">
      <c r="A487" s="23" t="str">
        <f>Raw_Data!A478</f>
        <v>BYJ1477</v>
      </c>
      <c r="B487" s="23" t="str">
        <f>Raw_Data!B478</f>
        <v>Radhika Majumdar</v>
      </c>
      <c r="C487" s="24">
        <f>IF(OR(Raw_Data!C478="",Raw_Data!C478&lt;$C$5,Raw_Data!C478&gt;$C$6),$C$4,Raw_Data!C478)</f>
        <v>43</v>
      </c>
      <c r="D487" s="23" t="str">
        <f>IF(Raw_Data!C478="","Missing-Imputed",IF(OR(Raw_Data!C478&lt;$C$5,Raw_Data!C478&gt;$C$6),"Outlier-Imputed","Original"))</f>
        <v>Original</v>
      </c>
      <c r="E487" s="23" t="str">
        <f>IF(OR(UPPER(TRIM(Raw_Data!D478))="M",UPPER(TRIM(Raw_Data!D478))="MALE"),"Male","Female")</f>
        <v>Male</v>
      </c>
      <c r="F487" s="23" t="str">
        <f>PROPER(TRIM(Raw_Data!E478))</f>
        <v>Dewas</v>
      </c>
      <c r="G487" s="23" t="str">
        <f>PROPER(TRIM(Raw_Data!F478))</f>
        <v>Rajasthan</v>
      </c>
      <c r="H487" s="23" t="str">
        <f>PROPER(TRIM(Raw_Data!G478))</f>
        <v>Neet Prep</v>
      </c>
      <c r="I487" s="23" t="str">
        <f>PROPER(TRIM(Raw_Data!H478))</f>
        <v>Jaipur Center</v>
      </c>
      <c r="J487" s="24">
        <f>IF(LEN(TRIM(Raw_Data!I478))=4,VALUE(TRIM(Raw_Data!I478)),IF(ISNUMBER(IFERROR(VALUE(MID(TRIM(Raw_Data!I478),1,4)),"NA")),VALUE(MID(TRIM(Raw_Data!I478),1,4)),VALUE(RIGHT(TRIM(Raw_Data!I478),4))))</f>
        <v>2024</v>
      </c>
      <c r="K487" s="23" t="str">
        <f>PROPER(TRIM(Raw_Data!J478))</f>
        <v>Homemaker</v>
      </c>
      <c r="L487" s="23" t="str">
        <f t="shared" si="21"/>
        <v>20+</v>
      </c>
      <c r="M487" s="23" t="str">
        <f t="shared" si="22"/>
        <v>Adult Learners</v>
      </c>
      <c r="N487" s="23" t="str">
        <f>IF(ISNUMBER(SEARCH("NON",UPPER(Raw_Data!M478))),"Non-Premium Learner","Premium Learner")</f>
        <v>Non-Premium Learner</v>
      </c>
      <c r="O487" s="23" t="str">
        <f>PROPER(TRIM(Raw_Data!N478))</f>
        <v>Web Only</v>
      </c>
      <c r="P487" s="24">
        <f>IF(Raw_Data!O478="",$C$7,Raw_Data!O478)</f>
        <v>91192.9</v>
      </c>
      <c r="Q487" s="23" t="str">
        <f>IF(Raw_Data!O478="","Missing-Imputed","Original")</f>
        <v>Original</v>
      </c>
      <c r="R487" s="24">
        <f>Raw_Data!P478</f>
        <v>74.5</v>
      </c>
      <c r="S487" s="24">
        <f>Raw_Data!Q478</f>
        <v>19449.86</v>
      </c>
      <c r="T487" s="23" t="str">
        <f>IF(Raw_Data!R478="","Unknown",IF(ISNUMBER(SEARCH("ACT",UPPER(Raw_Data!R478))),"Active",IF(ISNUMBER(SEARCH("CLOS",UPPER(Raw_Data!R478))),"Closed","None")))</f>
        <v>Active</v>
      </c>
      <c r="U487" s="24">
        <f>IF(Raw_Data!S478="",$C$8,VALUE(Raw_Data!S478))</f>
        <v>656</v>
      </c>
      <c r="V487" s="23" t="str">
        <f>IF(Raw_Data!S478="","Missing-Imputed","Original")</f>
        <v>Original</v>
      </c>
      <c r="W487" s="24">
        <f>Raw_Data!T478</f>
        <v>49</v>
      </c>
      <c r="X487" s="23" t="str">
        <f>IF(ISNUMBER(SEARCH("Y",UPPER(TRIM(Raw_Data!U478)))),"Yes","No")</f>
        <v>No</v>
      </c>
      <c r="Y487" s="23" t="str">
        <f>IF(ISNUMBER(SEARCH("Y",UPPER(TRIM(Raw_Data!V478)))),"Yes","No")</f>
        <v>No</v>
      </c>
      <c r="Z487" s="24">
        <f>Raw_Data!W478</f>
        <v>5</v>
      </c>
      <c r="AA487" s="24">
        <f>Raw_Data!X478</f>
        <v>4.0999999999999996</v>
      </c>
      <c r="AB487" s="23" t="str">
        <f>IF(COUNTIFS(Raw_Data!$A$2:$A$616,Raw_Data!A478)&gt;1,"Duplicate","Unique")</f>
        <v>Unique</v>
      </c>
      <c r="AC487" s="23" t="str">
        <f t="shared" si="23"/>
        <v>Clean</v>
      </c>
    </row>
    <row r="488" spans="1:29" ht="15" customHeight="1">
      <c r="A488" s="25" t="str">
        <f>Raw_Data!A479</f>
        <v>BYJ1478</v>
      </c>
      <c r="B488" s="25" t="str">
        <f>Raw_Data!B479</f>
        <v>Faraj Patel</v>
      </c>
      <c r="C488" s="26">
        <f>IF(OR(Raw_Data!C479="",Raw_Data!C479&lt;$C$5,Raw_Data!C479&gt;$C$6),$C$4,Raw_Data!C479)</f>
        <v>14</v>
      </c>
      <c r="D488" s="25" t="str">
        <f>IF(Raw_Data!C479="","Missing-Imputed",IF(OR(Raw_Data!C479&lt;$C$5,Raw_Data!C479&gt;$C$6),"Outlier-Imputed","Original"))</f>
        <v>Original</v>
      </c>
      <c r="E488" s="25" t="str">
        <f>IF(OR(UPPER(TRIM(Raw_Data!D479))="M",UPPER(TRIM(Raw_Data!D479))="MALE"),"Male","Female")</f>
        <v>Female</v>
      </c>
      <c r="F488" s="25" t="str">
        <f>PROPER(TRIM(Raw_Data!E479))</f>
        <v>Shahjahanpur</v>
      </c>
      <c r="G488" s="25" t="str">
        <f>PROPER(TRIM(Raw_Data!F479))</f>
        <v>Gujarat</v>
      </c>
      <c r="H488" s="25" t="str">
        <f>PROPER(TRIM(Raw_Data!G479))</f>
        <v>Neet Prep</v>
      </c>
      <c r="I488" s="25" t="str">
        <f>PROPER(TRIM(Raw_Data!H479))</f>
        <v>Delhi North</v>
      </c>
      <c r="J488" s="26">
        <f>IF(LEN(TRIM(Raw_Data!I479))=4,VALUE(TRIM(Raw_Data!I479)),IF(ISNUMBER(IFERROR(VALUE(MID(TRIM(Raw_Data!I479),1,4)),"NA")),VALUE(MID(TRIM(Raw_Data!I479),1,4)),VALUE(RIGHT(TRIM(Raw_Data!I479),4))))</f>
        <v>2023</v>
      </c>
      <c r="K488" s="25" t="str">
        <f>PROPER(TRIM(Raw_Data!J479))</f>
        <v>Salaried</v>
      </c>
      <c r="L488" s="25" t="str">
        <f t="shared" si="21"/>
        <v>14-16</v>
      </c>
      <c r="M488" s="25" t="str">
        <f t="shared" si="22"/>
        <v>Teens</v>
      </c>
      <c r="N488" s="25" t="str">
        <f>IF(ISNUMBER(SEARCH("NON",UPPER(Raw_Data!M479))),"Non-Premium Learner","Premium Learner")</f>
        <v>Non-Premium Learner</v>
      </c>
      <c r="O488" s="25" t="str">
        <f>PROPER(TRIM(Raw_Data!N479))</f>
        <v>Both App &amp; Web</v>
      </c>
      <c r="P488" s="26">
        <f>IF(Raw_Data!O479="",$C$7,Raw_Data!O479)</f>
        <v>40818.93</v>
      </c>
      <c r="Q488" s="25" t="str">
        <f>IF(Raw_Data!O479="","Missing-Imputed","Original")</f>
        <v>Original</v>
      </c>
      <c r="R488" s="26">
        <f>Raw_Data!P479</f>
        <v>52.5</v>
      </c>
      <c r="S488" s="26">
        <f>Raw_Data!Q479</f>
        <v>20242.32</v>
      </c>
      <c r="T488" s="25" t="str">
        <f>IF(Raw_Data!R479="","Unknown",IF(ISNUMBER(SEARCH("ACT",UPPER(Raw_Data!R479))),"Active",IF(ISNUMBER(SEARCH("CLOS",UPPER(Raw_Data!R479))),"Closed","None")))</f>
        <v>None</v>
      </c>
      <c r="U488" s="26">
        <f>IF(Raw_Data!S479="",$C$8,VALUE(Raw_Data!S479))</f>
        <v>683</v>
      </c>
      <c r="V488" s="25" t="str">
        <f>IF(Raw_Data!S479="","Missing-Imputed","Original")</f>
        <v>Original</v>
      </c>
      <c r="W488" s="26">
        <f>Raw_Data!T479</f>
        <v>123</v>
      </c>
      <c r="X488" s="25" t="str">
        <f>IF(ISNUMBER(SEARCH("Y",UPPER(TRIM(Raw_Data!U479)))),"Yes","No")</f>
        <v>No</v>
      </c>
      <c r="Y488" s="25" t="str">
        <f>IF(ISNUMBER(SEARCH("Y",UPPER(TRIM(Raw_Data!V479)))),"Yes","No")</f>
        <v>No</v>
      </c>
      <c r="Z488" s="26">
        <f>Raw_Data!W479</f>
        <v>3</v>
      </c>
      <c r="AA488" s="26">
        <f>Raw_Data!X479</f>
        <v>5.7</v>
      </c>
      <c r="AB488" s="25" t="str">
        <f>IF(COUNTIFS(Raw_Data!$A$2:$A$616,Raw_Data!A479)&gt;1,"Duplicate","Unique")</f>
        <v>Unique</v>
      </c>
      <c r="AC488" s="25" t="str">
        <f t="shared" si="23"/>
        <v>Clean</v>
      </c>
    </row>
    <row r="489" spans="1:29" ht="15" customHeight="1">
      <c r="A489" s="23" t="str">
        <f>Raw_Data!A480</f>
        <v>BYJ1479</v>
      </c>
      <c r="B489" s="23" t="str">
        <f>Raw_Data!B480</f>
        <v>Rohan Shankar</v>
      </c>
      <c r="C489" s="24">
        <f>IF(OR(Raw_Data!C480="",Raw_Data!C480&lt;$C$5,Raw_Data!C480&gt;$C$6),$C$4,Raw_Data!C480)</f>
        <v>41</v>
      </c>
      <c r="D489" s="23" t="str">
        <f>IF(Raw_Data!C480="","Missing-Imputed",IF(OR(Raw_Data!C480&lt;$C$5,Raw_Data!C480&gt;$C$6),"Outlier-Imputed","Original"))</f>
        <v>Original</v>
      </c>
      <c r="E489" s="23" t="str">
        <f>IF(OR(UPPER(TRIM(Raw_Data!D480))="M",UPPER(TRIM(Raw_Data!D480))="MALE"),"Male","Female")</f>
        <v>Female</v>
      </c>
      <c r="F489" s="23" t="str">
        <f>PROPER(TRIM(Raw_Data!E480))</f>
        <v>Bhavnagar</v>
      </c>
      <c r="G489" s="23" t="str">
        <f>PROPER(TRIM(Raw_Data!F480))</f>
        <v>Telangana</v>
      </c>
      <c r="H489" s="23" t="str">
        <f>PROPER(TRIM(Raw_Data!G480))</f>
        <v>Spoken English</v>
      </c>
      <c r="I489" s="23" t="str">
        <f>PROPER(TRIM(Raw_Data!H480))</f>
        <v>Ahmedabad Center</v>
      </c>
      <c r="J489" s="24">
        <f>IF(LEN(TRIM(Raw_Data!I480))=4,VALUE(TRIM(Raw_Data!I480)),IF(ISNUMBER(IFERROR(VALUE(MID(TRIM(Raw_Data!I480),1,4)),"NA")),VALUE(MID(TRIM(Raw_Data!I480),1,4)),VALUE(RIGHT(TRIM(Raw_Data!I480),4))))</f>
        <v>46049</v>
      </c>
      <c r="K489" s="23" t="str">
        <f>PROPER(TRIM(Raw_Data!J480))</f>
        <v>Government Employee</v>
      </c>
      <c r="L489" s="23" t="str">
        <f t="shared" si="21"/>
        <v>20+</v>
      </c>
      <c r="M489" s="23" t="str">
        <f t="shared" si="22"/>
        <v>Adult Learners</v>
      </c>
      <c r="N489" s="23" t="str">
        <f>IF(ISNUMBER(SEARCH("NON",UPPER(Raw_Data!M480))),"Non-Premium Learner","Premium Learner")</f>
        <v>Non-Premium Learner</v>
      </c>
      <c r="O489" s="23" t="str">
        <f>PROPER(TRIM(Raw_Data!N480))</f>
        <v>App Only</v>
      </c>
      <c r="P489" s="24">
        <f>IF(Raw_Data!O480="",$C$7,Raw_Data!O480)</f>
        <v>147328.76</v>
      </c>
      <c r="Q489" s="23" t="str">
        <f>IF(Raw_Data!O480="","Missing-Imputed","Original")</f>
        <v>Original</v>
      </c>
      <c r="R489" s="24">
        <f>Raw_Data!P480</f>
        <v>41.7</v>
      </c>
      <c r="S489" s="24">
        <f>Raw_Data!Q480</f>
        <v>6484.75</v>
      </c>
      <c r="T489" s="23" t="str">
        <f>IF(Raw_Data!R480="","Unknown",IF(ISNUMBER(SEARCH("ACT",UPPER(Raw_Data!R480))),"Active",IF(ISNUMBER(SEARCH("CLOS",UPPER(Raw_Data!R480))),"Closed","None")))</f>
        <v>Closed</v>
      </c>
      <c r="U489" s="24">
        <f>IF(Raw_Data!S480="",$C$8,VALUE(Raw_Data!S480))</f>
        <v>620</v>
      </c>
      <c r="V489" s="23" t="str">
        <f>IF(Raw_Data!S480="","Missing-Imputed","Original")</f>
        <v>Original</v>
      </c>
      <c r="W489" s="24">
        <f>Raw_Data!T480</f>
        <v>46</v>
      </c>
      <c r="X489" s="23" t="str">
        <f>IF(ISNUMBER(SEARCH("Y",UPPER(TRIM(Raw_Data!U480)))),"Yes","No")</f>
        <v>Yes</v>
      </c>
      <c r="Y489" s="23" t="str">
        <f>IF(ISNUMBER(SEARCH("Y",UPPER(TRIM(Raw_Data!V480)))),"Yes","No")</f>
        <v>Yes</v>
      </c>
      <c r="Z489" s="24">
        <f>Raw_Data!W480</f>
        <v>1</v>
      </c>
      <c r="AA489" s="24">
        <f>Raw_Data!X480</f>
        <v>2.9</v>
      </c>
      <c r="AB489" s="23" t="str">
        <f>IF(COUNTIFS(Raw_Data!$A$2:$A$616,Raw_Data!A480)&gt;1,"Duplicate","Unique")</f>
        <v>Unique</v>
      </c>
      <c r="AC489" s="23" t="str">
        <f t="shared" si="23"/>
        <v>Clean</v>
      </c>
    </row>
    <row r="490" spans="1:29" ht="15" customHeight="1">
      <c r="A490" s="25" t="str">
        <f>Raw_Data!A481</f>
        <v>BYJ1480</v>
      </c>
      <c r="B490" s="25" t="str">
        <f>Raw_Data!B481</f>
        <v>Abeer Randhawa</v>
      </c>
      <c r="C490" s="26">
        <f>IF(OR(Raw_Data!C481="",Raw_Data!C481&lt;$C$5,Raw_Data!C481&gt;$C$6),$C$4,Raw_Data!C481)</f>
        <v>12</v>
      </c>
      <c r="D490" s="25" t="str">
        <f>IF(Raw_Data!C481="","Missing-Imputed",IF(OR(Raw_Data!C481&lt;$C$5,Raw_Data!C481&gt;$C$6),"Outlier-Imputed","Original"))</f>
        <v>Original</v>
      </c>
      <c r="E490" s="25" t="str">
        <f>IF(OR(UPPER(TRIM(Raw_Data!D481))="M",UPPER(TRIM(Raw_Data!D481))="MALE"),"Male","Female")</f>
        <v>Female</v>
      </c>
      <c r="F490" s="25" t="str">
        <f>PROPER(TRIM(Raw_Data!E481))</f>
        <v>Udupi</v>
      </c>
      <c r="G490" s="25" t="str">
        <f>PROPER(TRIM(Raw_Data!F481))</f>
        <v>Kerala</v>
      </c>
      <c r="H490" s="25" t="str">
        <f>PROPER(TRIM(Raw_Data!G481))</f>
        <v>Coding</v>
      </c>
      <c r="I490" s="25" t="str">
        <f>PROPER(TRIM(Raw_Data!H481))</f>
        <v>Chennai Central</v>
      </c>
      <c r="J490" s="26">
        <f>IF(LEN(TRIM(Raw_Data!I481))=4,VALUE(TRIM(Raw_Data!I481)),IF(ISNUMBER(IFERROR(VALUE(MID(TRIM(Raw_Data!I481),1,4)),"NA")),VALUE(MID(TRIM(Raw_Data!I481),1,4)),VALUE(RIGHT(TRIM(Raw_Data!I481),4))))</f>
        <v>2017</v>
      </c>
      <c r="K490" s="25" t="str">
        <f>PROPER(TRIM(Raw_Data!J481))</f>
        <v>Homemaker</v>
      </c>
      <c r="L490" s="25" t="str">
        <f t="shared" si="21"/>
        <v>10-13</v>
      </c>
      <c r="M490" s="25" t="str">
        <f t="shared" si="22"/>
        <v>Kids</v>
      </c>
      <c r="N490" s="25" t="str">
        <f>IF(ISNUMBER(SEARCH("NON",UPPER(Raw_Data!M481))),"Non-Premium Learner","Premium Learner")</f>
        <v>Non-Premium Learner</v>
      </c>
      <c r="O490" s="25" t="str">
        <f>PROPER(TRIM(Raw_Data!N481))</f>
        <v>Both App &amp; Web</v>
      </c>
      <c r="P490" s="26">
        <f>IF(Raw_Data!O481="",$C$7,Raw_Data!O481)</f>
        <v>92530.89</v>
      </c>
      <c r="Q490" s="25" t="str">
        <f>IF(Raw_Data!O481="","Missing-Imputed","Original")</f>
        <v>Original</v>
      </c>
      <c r="R490" s="26">
        <f>Raw_Data!P481</f>
        <v>74.599999999999994</v>
      </c>
      <c r="S490" s="26">
        <f>Raw_Data!Q481</f>
        <v>21213.09</v>
      </c>
      <c r="T490" s="25" t="str">
        <f>IF(Raw_Data!R481="","Unknown",IF(ISNUMBER(SEARCH("ACT",UPPER(Raw_Data!R481))),"Active",IF(ISNUMBER(SEARCH("CLOS",UPPER(Raw_Data!R481))),"Closed","None")))</f>
        <v>Active</v>
      </c>
      <c r="U490" s="26">
        <f>IF(Raw_Data!S481="",$C$8,VALUE(Raw_Data!S481))</f>
        <v>323</v>
      </c>
      <c r="V490" s="25" t="str">
        <f>IF(Raw_Data!S481="","Missing-Imputed","Original")</f>
        <v>Original</v>
      </c>
      <c r="W490" s="26">
        <f>Raw_Data!T481</f>
        <v>81</v>
      </c>
      <c r="X490" s="25" t="str">
        <f>IF(ISNUMBER(SEARCH("Y",UPPER(TRIM(Raw_Data!U481)))),"Yes","No")</f>
        <v>Yes</v>
      </c>
      <c r="Y490" s="25" t="str">
        <f>IF(ISNUMBER(SEARCH("Y",UPPER(TRIM(Raw_Data!V481)))),"Yes","No")</f>
        <v>No</v>
      </c>
      <c r="Z490" s="26">
        <f>Raw_Data!W481</f>
        <v>5</v>
      </c>
      <c r="AA490" s="26">
        <f>Raw_Data!X481</f>
        <v>5.7</v>
      </c>
      <c r="AB490" s="25" t="str">
        <f>IF(COUNTIFS(Raw_Data!$A$2:$A$616,Raw_Data!A481)&gt;1,"Duplicate","Unique")</f>
        <v>Unique</v>
      </c>
      <c r="AC490" s="25" t="str">
        <f t="shared" si="23"/>
        <v>Clean</v>
      </c>
    </row>
    <row r="491" spans="1:29" ht="15" customHeight="1">
      <c r="A491" s="23" t="str">
        <f>Raw_Data!A482</f>
        <v>BYJ1481</v>
      </c>
      <c r="B491" s="23" t="str">
        <f>Raw_Data!B482</f>
        <v>Forum Sarraf</v>
      </c>
      <c r="C491" s="24">
        <f>IF(OR(Raw_Data!C482="",Raw_Data!C482&lt;$C$5,Raw_Data!C482&gt;$C$6),$C$4,Raw_Data!C482)</f>
        <v>45</v>
      </c>
      <c r="D491" s="23" t="str">
        <f>IF(Raw_Data!C482="","Missing-Imputed",IF(OR(Raw_Data!C482&lt;$C$5,Raw_Data!C482&gt;$C$6),"Outlier-Imputed","Original"))</f>
        <v>Original</v>
      </c>
      <c r="E491" s="23" t="str">
        <f>IF(OR(UPPER(TRIM(Raw_Data!D482))="M",UPPER(TRIM(Raw_Data!D482))="MALE"),"Male","Female")</f>
        <v>Female</v>
      </c>
      <c r="F491" s="23" t="str">
        <f>PROPER(TRIM(Raw_Data!E482))</f>
        <v>Chinsurah</v>
      </c>
      <c r="G491" s="23" t="str">
        <f>PROPER(TRIM(Raw_Data!F482))</f>
        <v>Delhi</v>
      </c>
      <c r="H491" s="23" t="str">
        <f>PROPER(TRIM(Raw_Data!G482))</f>
        <v>Robotics</v>
      </c>
      <c r="I491" s="23" t="str">
        <f>PROPER(TRIM(Raw_Data!H482))</f>
        <v>Delhi North</v>
      </c>
      <c r="J491" s="24">
        <f>IF(LEN(TRIM(Raw_Data!I482))=4,VALUE(TRIM(Raw_Data!I482)),IF(ISNUMBER(IFERROR(VALUE(MID(TRIM(Raw_Data!I482),1,4)),"NA")),VALUE(MID(TRIM(Raw_Data!I482),1,4)),VALUE(RIGHT(TRIM(Raw_Data!I482),4))))</f>
        <v>2019</v>
      </c>
      <c r="K491" s="23" t="str">
        <f>PROPER(TRIM(Raw_Data!J482))</f>
        <v>Business</v>
      </c>
      <c r="L491" s="23" t="str">
        <f t="shared" si="21"/>
        <v>20+</v>
      </c>
      <c r="M491" s="23" t="str">
        <f t="shared" si="22"/>
        <v>Adult Learners</v>
      </c>
      <c r="N491" s="23" t="str">
        <f>IF(ISNUMBER(SEARCH("NON",UPPER(Raw_Data!M482))),"Non-Premium Learner","Premium Learner")</f>
        <v>Non-Premium Learner</v>
      </c>
      <c r="O491" s="23" t="str">
        <f>PROPER(TRIM(Raw_Data!N482))</f>
        <v>App Only</v>
      </c>
      <c r="P491" s="24">
        <f>IF(Raw_Data!O482="",$C$7,Raw_Data!O482)</f>
        <v>39621.760000000002</v>
      </c>
      <c r="Q491" s="23" t="str">
        <f>IF(Raw_Data!O482="","Missing-Imputed","Original")</f>
        <v>Original</v>
      </c>
      <c r="R491" s="24">
        <f>Raw_Data!P482</f>
        <v>48.5</v>
      </c>
      <c r="S491" s="24">
        <f>Raw_Data!Q482</f>
        <v>35982.980000000003</v>
      </c>
      <c r="T491" s="23" t="str">
        <f>IF(Raw_Data!R482="","Unknown",IF(ISNUMBER(SEARCH("ACT",UPPER(Raw_Data!R482))),"Active",IF(ISNUMBER(SEARCH("CLOS",UPPER(Raw_Data!R482))),"Closed","None")))</f>
        <v>Closed</v>
      </c>
      <c r="U491" s="24">
        <f>IF(Raw_Data!S482="",$C$8,VALUE(Raw_Data!S482))</f>
        <v>518</v>
      </c>
      <c r="V491" s="23" t="str">
        <f>IF(Raw_Data!S482="","Missing-Imputed","Original")</f>
        <v>Original</v>
      </c>
      <c r="W491" s="24">
        <f>Raw_Data!T482</f>
        <v>20</v>
      </c>
      <c r="X491" s="23" t="str">
        <f>IF(ISNUMBER(SEARCH("Y",UPPER(TRIM(Raw_Data!U482)))),"Yes","No")</f>
        <v>No</v>
      </c>
      <c r="Y491" s="23" t="str">
        <f>IF(ISNUMBER(SEARCH("Y",UPPER(TRIM(Raw_Data!V482)))),"Yes","No")</f>
        <v>No</v>
      </c>
      <c r="Z491" s="24">
        <f>Raw_Data!W482</f>
        <v>4</v>
      </c>
      <c r="AA491" s="24">
        <f>Raw_Data!X482</f>
        <v>7.7</v>
      </c>
      <c r="AB491" s="23" t="str">
        <f>IF(COUNTIFS(Raw_Data!$A$2:$A$616,Raw_Data!A482)&gt;1,"Duplicate","Unique")</f>
        <v>Unique</v>
      </c>
      <c r="AC491" s="23" t="str">
        <f t="shared" si="23"/>
        <v>Clean</v>
      </c>
    </row>
    <row r="492" spans="1:29" ht="15" customHeight="1">
      <c r="A492" s="25" t="str">
        <f>Raw_Data!A483</f>
        <v>BYJ1482</v>
      </c>
      <c r="B492" s="25" t="str">
        <f>Raw_Data!B483</f>
        <v>Charita Nagi</v>
      </c>
      <c r="C492" s="26">
        <f>IF(OR(Raw_Data!C483="",Raw_Data!C483&lt;$C$5,Raw_Data!C483&gt;$C$6),$C$4,Raw_Data!C483)</f>
        <v>24</v>
      </c>
      <c r="D492" s="25" t="str">
        <f>IF(Raw_Data!C483="","Missing-Imputed",IF(OR(Raw_Data!C483&lt;$C$5,Raw_Data!C483&gt;$C$6),"Outlier-Imputed","Original"))</f>
        <v>Missing-Imputed</v>
      </c>
      <c r="E492" s="25" t="str">
        <f>IF(OR(UPPER(TRIM(Raw_Data!D483))="M",UPPER(TRIM(Raw_Data!D483))="MALE"),"Male","Female")</f>
        <v>Female</v>
      </c>
      <c r="F492" s="25" t="str">
        <f>PROPER(TRIM(Raw_Data!E483))</f>
        <v>Nangloi Jat</v>
      </c>
      <c r="G492" s="25" t="str">
        <f>PROPER(TRIM(Raw_Data!F483))</f>
        <v>Rajasthan</v>
      </c>
      <c r="H492" s="25" t="str">
        <f>PROPER(TRIM(Raw_Data!G483))</f>
        <v>Robotics</v>
      </c>
      <c r="I492" s="25" t="str">
        <f>PROPER(TRIM(Raw_Data!H483))</f>
        <v>Jaipur Center</v>
      </c>
      <c r="J492" s="26">
        <f>IF(LEN(TRIM(Raw_Data!I483))=4,VALUE(TRIM(Raw_Data!I483)),IF(ISNUMBER(IFERROR(VALUE(MID(TRIM(Raw_Data!I483),1,4)),"NA")),VALUE(MID(TRIM(Raw_Data!I483),1,4)),VALUE(RIGHT(TRIM(Raw_Data!I483),4))))</f>
        <v>2021</v>
      </c>
      <c r="K492" s="25" t="str">
        <f>PROPER(TRIM(Raw_Data!J483))</f>
        <v>Government Employee</v>
      </c>
      <c r="L492" s="25" t="str">
        <f t="shared" si="21"/>
        <v>20+</v>
      </c>
      <c r="M492" s="25" t="str">
        <f t="shared" si="22"/>
        <v>Adult Learners</v>
      </c>
      <c r="N492" s="25" t="str">
        <f>IF(ISNUMBER(SEARCH("NON",UPPER(Raw_Data!M483))),"Non-Premium Learner","Premium Learner")</f>
        <v>Non-Premium Learner</v>
      </c>
      <c r="O492" s="25" t="str">
        <f>PROPER(TRIM(Raw_Data!N483))</f>
        <v>Both App &amp; Web</v>
      </c>
      <c r="P492" s="26">
        <f>IF(Raw_Data!O483="",$C$7,Raw_Data!O483)</f>
        <v>34793.089999999997</v>
      </c>
      <c r="Q492" s="25" t="str">
        <f>IF(Raw_Data!O483="","Missing-Imputed","Original")</f>
        <v>Original</v>
      </c>
      <c r="R492" s="26">
        <f>Raw_Data!P483</f>
        <v>10.8</v>
      </c>
      <c r="S492" s="26">
        <f>Raw_Data!Q483</f>
        <v>50216.38</v>
      </c>
      <c r="T492" s="25" t="str">
        <f>IF(Raw_Data!R483="","Unknown",IF(ISNUMBER(SEARCH("ACT",UPPER(Raw_Data!R483))),"Active",IF(ISNUMBER(SEARCH("CLOS",UPPER(Raw_Data!R483))),"Closed","None")))</f>
        <v>None</v>
      </c>
      <c r="U492" s="26">
        <f>IF(Raw_Data!S483="",$C$8,VALUE(Raw_Data!S483))</f>
        <v>472</v>
      </c>
      <c r="V492" s="25" t="str">
        <f>IF(Raw_Data!S483="","Missing-Imputed","Original")</f>
        <v>Original</v>
      </c>
      <c r="W492" s="26">
        <f>Raw_Data!T483</f>
        <v>53</v>
      </c>
      <c r="X492" s="25" t="str">
        <f>IF(ISNUMBER(SEARCH("Y",UPPER(TRIM(Raw_Data!U483)))),"Yes","No")</f>
        <v>Yes</v>
      </c>
      <c r="Y492" s="25" t="str">
        <f>IF(ISNUMBER(SEARCH("Y",UPPER(TRIM(Raw_Data!V483)))),"Yes","No")</f>
        <v>No</v>
      </c>
      <c r="Z492" s="26">
        <f>Raw_Data!W483</f>
        <v>3</v>
      </c>
      <c r="AA492" s="26">
        <f>Raw_Data!X483</f>
        <v>2.6</v>
      </c>
      <c r="AB492" s="25" t="str">
        <f>IF(COUNTIFS(Raw_Data!$A$2:$A$616,Raw_Data!A483)&gt;1,"Duplicate","Unique")</f>
        <v>Unique</v>
      </c>
      <c r="AC492" s="25" t="str">
        <f t="shared" si="23"/>
        <v>Imputed</v>
      </c>
    </row>
    <row r="493" spans="1:29" ht="15" customHeight="1">
      <c r="A493" s="23" t="str">
        <f>Raw_Data!A484</f>
        <v>BYJ1483</v>
      </c>
      <c r="B493" s="23" t="str">
        <f>Raw_Data!B484</f>
        <v>Peter Rao</v>
      </c>
      <c r="C493" s="24">
        <f>IF(OR(Raw_Data!C484="",Raw_Data!C484&lt;$C$5,Raw_Data!C484&gt;$C$6),$C$4,Raw_Data!C484)</f>
        <v>44</v>
      </c>
      <c r="D493" s="23" t="str">
        <f>IF(Raw_Data!C484="","Missing-Imputed",IF(OR(Raw_Data!C484&lt;$C$5,Raw_Data!C484&gt;$C$6),"Outlier-Imputed","Original"))</f>
        <v>Original</v>
      </c>
      <c r="E493" s="23" t="str">
        <f>IF(OR(UPPER(TRIM(Raw_Data!D484))="M",UPPER(TRIM(Raw_Data!D484))="MALE"),"Male","Female")</f>
        <v>Female</v>
      </c>
      <c r="F493" s="23" t="str">
        <f>PROPER(TRIM(Raw_Data!E484))</f>
        <v>Jalna</v>
      </c>
      <c r="G493" s="23" t="str">
        <f>PROPER(TRIM(Raw_Data!F484))</f>
        <v>Kerala</v>
      </c>
      <c r="H493" s="23" t="str">
        <f>PROPER(TRIM(Raw_Data!G484))</f>
        <v>English</v>
      </c>
      <c r="I493" s="23" t="str">
        <f>PROPER(TRIM(Raw_Data!H484))</f>
        <v>Bengaluru South</v>
      </c>
      <c r="J493" s="24">
        <f>IF(LEN(TRIM(Raw_Data!I484))=4,VALUE(TRIM(Raw_Data!I484)),IF(ISNUMBER(IFERROR(VALUE(MID(TRIM(Raw_Data!I484),1,4)),"NA")),VALUE(MID(TRIM(Raw_Data!I484),1,4)),VALUE(RIGHT(TRIM(Raw_Data!I484),4))))</f>
        <v>2023</v>
      </c>
      <c r="K493" s="23" t="str">
        <f>PROPER(TRIM(Raw_Data!J484))</f>
        <v>Self-Employed</v>
      </c>
      <c r="L493" s="23" t="str">
        <f t="shared" si="21"/>
        <v>20+</v>
      </c>
      <c r="M493" s="23" t="str">
        <f t="shared" si="22"/>
        <v>Adult Learners</v>
      </c>
      <c r="N493" s="23" t="str">
        <f>IF(ISNUMBER(SEARCH("NON",UPPER(Raw_Data!M484))),"Non-Premium Learner","Premium Learner")</f>
        <v>Non-Premium Learner</v>
      </c>
      <c r="O493" s="23" t="str">
        <f>PROPER(TRIM(Raw_Data!N484))</f>
        <v>App Only</v>
      </c>
      <c r="P493" s="24">
        <f>IF(Raw_Data!O484="",$C$7,Raw_Data!O484)</f>
        <v>76188.83</v>
      </c>
      <c r="Q493" s="23" t="str">
        <f>IF(Raw_Data!O484="","Missing-Imputed","Original")</f>
        <v>Original</v>
      </c>
      <c r="R493" s="24">
        <f>Raw_Data!P484</f>
        <v>73.2</v>
      </c>
      <c r="S493" s="24">
        <f>Raw_Data!Q484</f>
        <v>5367.65</v>
      </c>
      <c r="T493" s="23" t="str">
        <f>IF(Raw_Data!R484="","Unknown",IF(ISNUMBER(SEARCH("ACT",UPPER(Raw_Data!R484))),"Active",IF(ISNUMBER(SEARCH("CLOS",UPPER(Raw_Data!R484))),"Closed","None")))</f>
        <v>Closed</v>
      </c>
      <c r="U493" s="24">
        <f>IF(Raw_Data!S484="",$C$8,VALUE(Raw_Data!S484))</f>
        <v>534</v>
      </c>
      <c r="V493" s="23" t="str">
        <f>IF(Raw_Data!S484="","Missing-Imputed","Original")</f>
        <v>Original</v>
      </c>
      <c r="W493" s="24">
        <f>Raw_Data!T484</f>
        <v>66</v>
      </c>
      <c r="X493" s="23" t="str">
        <f>IF(ISNUMBER(SEARCH("Y",UPPER(TRIM(Raw_Data!U484)))),"Yes","No")</f>
        <v>No</v>
      </c>
      <c r="Y493" s="23" t="str">
        <f>IF(ISNUMBER(SEARCH("Y",UPPER(TRIM(Raw_Data!V484)))),"Yes","No")</f>
        <v>Yes</v>
      </c>
      <c r="Z493" s="24">
        <f>Raw_Data!W484</f>
        <v>5</v>
      </c>
      <c r="AA493" s="24">
        <f>Raw_Data!X484</f>
        <v>6</v>
      </c>
      <c r="AB493" s="23" t="str">
        <f>IF(COUNTIFS(Raw_Data!$A$2:$A$616,Raw_Data!A484)&gt;1,"Duplicate","Unique")</f>
        <v>Unique</v>
      </c>
      <c r="AC493" s="23" t="str">
        <f t="shared" si="23"/>
        <v>Clean</v>
      </c>
    </row>
    <row r="494" spans="1:29" ht="15" customHeight="1">
      <c r="A494" s="25" t="str">
        <f>Raw_Data!A485</f>
        <v>BYJ1484</v>
      </c>
      <c r="B494" s="25" t="str">
        <f>Raw_Data!B485</f>
        <v>Xavier Nanda</v>
      </c>
      <c r="C494" s="26">
        <f>IF(OR(Raw_Data!C485="",Raw_Data!C485&lt;$C$5,Raw_Data!C485&gt;$C$6),$C$4,Raw_Data!C485)</f>
        <v>8</v>
      </c>
      <c r="D494" s="25" t="str">
        <f>IF(Raw_Data!C485="","Missing-Imputed",IF(OR(Raw_Data!C485&lt;$C$5,Raw_Data!C485&gt;$C$6),"Outlier-Imputed","Original"))</f>
        <v>Original</v>
      </c>
      <c r="E494" s="25" t="str">
        <f>IF(OR(UPPER(TRIM(Raw_Data!D485))="M",UPPER(TRIM(Raw_Data!D485))="MALE"),"Male","Female")</f>
        <v>Female</v>
      </c>
      <c r="F494" s="25" t="str">
        <f>PROPER(TRIM(Raw_Data!E485))</f>
        <v>Parbhani</v>
      </c>
      <c r="G494" s="25" t="str">
        <f>PROPER(TRIM(Raw_Data!F485))</f>
        <v>Delhi</v>
      </c>
      <c r="H494" s="25" t="str">
        <f>PROPER(TRIM(Raw_Data!G485))</f>
        <v>Mathematics</v>
      </c>
      <c r="I494" s="25" t="str">
        <f>PROPER(TRIM(Raw_Data!H485))</f>
        <v>Mumbai West</v>
      </c>
      <c r="J494" s="26">
        <f>IF(LEN(TRIM(Raw_Data!I485))=4,VALUE(TRIM(Raw_Data!I485)),IF(ISNUMBER(IFERROR(VALUE(MID(TRIM(Raw_Data!I485),1,4)),"NA")),VALUE(MID(TRIM(Raw_Data!I485),1,4)),VALUE(RIGHT(TRIM(Raw_Data!I485),4))))</f>
        <v>2017</v>
      </c>
      <c r="K494" s="25" t="str">
        <f>PROPER(TRIM(Raw_Data!J485))</f>
        <v>Homemaker</v>
      </c>
      <c r="L494" s="25" t="str">
        <f t="shared" si="21"/>
        <v>Under 10</v>
      </c>
      <c r="M494" s="25" t="str">
        <f t="shared" si="22"/>
        <v>Kids</v>
      </c>
      <c r="N494" s="25" t="str">
        <f>IF(ISNUMBER(SEARCH("NON",UPPER(Raw_Data!M485))),"Non-Premium Learner","Premium Learner")</f>
        <v>Premium Learner</v>
      </c>
      <c r="O494" s="25" t="str">
        <f>PROPER(TRIM(Raw_Data!N485))</f>
        <v>Web Only</v>
      </c>
      <c r="P494" s="26">
        <f>IF(Raw_Data!O485="",$C$7,Raw_Data!O485)</f>
        <v>26609.25</v>
      </c>
      <c r="Q494" s="25" t="str">
        <f>IF(Raw_Data!O485="","Missing-Imputed","Original")</f>
        <v>Original</v>
      </c>
      <c r="R494" s="26">
        <f>Raw_Data!P485</f>
        <v>37.700000000000003</v>
      </c>
      <c r="S494" s="26">
        <f>Raw_Data!Q485</f>
        <v>52260.52</v>
      </c>
      <c r="T494" s="25" t="str">
        <f>IF(Raw_Data!R485="","Unknown",IF(ISNUMBER(SEARCH("ACT",UPPER(Raw_Data!R485))),"Active",IF(ISNUMBER(SEARCH("CLOS",UPPER(Raw_Data!R485))),"Closed","None")))</f>
        <v>Active</v>
      </c>
      <c r="U494" s="26">
        <f>IF(Raw_Data!S485="",$C$8,VALUE(Raw_Data!S485))</f>
        <v>719</v>
      </c>
      <c r="V494" s="25" t="str">
        <f>IF(Raw_Data!S485="","Missing-Imputed","Original")</f>
        <v>Original</v>
      </c>
      <c r="W494" s="26">
        <f>Raw_Data!T485</f>
        <v>133</v>
      </c>
      <c r="X494" s="25" t="str">
        <f>IF(ISNUMBER(SEARCH("Y",UPPER(TRIM(Raw_Data!U485)))),"Yes","No")</f>
        <v>Yes</v>
      </c>
      <c r="Y494" s="25" t="str">
        <f>IF(ISNUMBER(SEARCH("Y",UPPER(TRIM(Raw_Data!V485)))),"Yes","No")</f>
        <v>Yes</v>
      </c>
      <c r="Z494" s="26">
        <f>Raw_Data!W485</f>
        <v>5</v>
      </c>
      <c r="AA494" s="26">
        <f>Raw_Data!X485</f>
        <v>6.1</v>
      </c>
      <c r="AB494" s="25" t="str">
        <f>IF(COUNTIFS(Raw_Data!$A$2:$A$616,Raw_Data!A485)&gt;1,"Duplicate","Unique")</f>
        <v>Unique</v>
      </c>
      <c r="AC494" s="25" t="str">
        <f t="shared" si="23"/>
        <v>Clean</v>
      </c>
    </row>
    <row r="495" spans="1:29" ht="15" customHeight="1">
      <c r="A495" s="23" t="str">
        <f>Raw_Data!A486</f>
        <v>BYJ1485</v>
      </c>
      <c r="B495" s="23" t="str">
        <f>Raw_Data!B486</f>
        <v>Janya Comar</v>
      </c>
      <c r="C495" s="24">
        <f>IF(OR(Raw_Data!C486="",Raw_Data!C486&lt;$C$5,Raw_Data!C486&gt;$C$6),$C$4,Raw_Data!C486)</f>
        <v>17</v>
      </c>
      <c r="D495" s="23" t="str">
        <f>IF(Raw_Data!C486="","Missing-Imputed",IF(OR(Raw_Data!C486&lt;$C$5,Raw_Data!C486&gt;$C$6),"Outlier-Imputed","Original"))</f>
        <v>Original</v>
      </c>
      <c r="E495" s="23" t="str">
        <f>IF(OR(UPPER(TRIM(Raw_Data!D486))="M",UPPER(TRIM(Raw_Data!D486))="MALE"),"Male","Female")</f>
        <v>Female</v>
      </c>
      <c r="F495" s="23" t="str">
        <f>PROPER(TRIM(Raw_Data!E486))</f>
        <v>Guntakal</v>
      </c>
      <c r="G495" s="23" t="str">
        <f>PROPER(TRIM(Raw_Data!F486))</f>
        <v>West Bengal</v>
      </c>
      <c r="H495" s="23" t="str">
        <f>PROPER(TRIM(Raw_Data!G486))</f>
        <v>Science</v>
      </c>
      <c r="I495" s="23" t="str">
        <f>PROPER(TRIM(Raw_Data!H486))</f>
        <v>Delhi North</v>
      </c>
      <c r="J495" s="24">
        <f>IF(LEN(TRIM(Raw_Data!I486))=4,VALUE(TRIM(Raw_Data!I486)),IF(ISNUMBER(IFERROR(VALUE(MID(TRIM(Raw_Data!I486),1,4)),"NA")),VALUE(MID(TRIM(Raw_Data!I486),1,4)),VALUE(RIGHT(TRIM(Raw_Data!I486),4))))</f>
        <v>2016</v>
      </c>
      <c r="K495" s="23" t="str">
        <f>PROPER(TRIM(Raw_Data!J486))</f>
        <v>Salaried</v>
      </c>
      <c r="L495" s="23" t="str">
        <f t="shared" si="21"/>
        <v>17-19</v>
      </c>
      <c r="M495" s="23" t="str">
        <f t="shared" si="22"/>
        <v>Teens</v>
      </c>
      <c r="N495" s="23" t="str">
        <f>IF(ISNUMBER(SEARCH("NON",UPPER(Raw_Data!M486))),"Non-Premium Learner","Premium Learner")</f>
        <v>Non-Premium Learner</v>
      </c>
      <c r="O495" s="23" t="str">
        <f>PROPER(TRIM(Raw_Data!N486))</f>
        <v>App Only</v>
      </c>
      <c r="P495" s="24">
        <f>IF(Raw_Data!O486="",$C$7,Raw_Data!O486)</f>
        <v>82423.23</v>
      </c>
      <c r="Q495" s="23" t="str">
        <f>IF(Raw_Data!O486="","Missing-Imputed","Original")</f>
        <v>Original</v>
      </c>
      <c r="R495" s="24">
        <f>Raw_Data!P486</f>
        <v>46.5</v>
      </c>
      <c r="S495" s="24">
        <f>Raw_Data!Q486</f>
        <v>22135.84</v>
      </c>
      <c r="T495" s="23" t="str">
        <f>IF(Raw_Data!R486="","Unknown",IF(ISNUMBER(SEARCH("ACT",UPPER(Raw_Data!R486))),"Active",IF(ISNUMBER(SEARCH("CLOS",UPPER(Raw_Data!R486))),"Closed","None")))</f>
        <v>Active</v>
      </c>
      <c r="U495" s="24">
        <f>IF(Raw_Data!S486="",$C$8,VALUE(Raw_Data!S486))</f>
        <v>846</v>
      </c>
      <c r="V495" s="23" t="str">
        <f>IF(Raw_Data!S486="","Missing-Imputed","Original")</f>
        <v>Original</v>
      </c>
      <c r="W495" s="24">
        <f>Raw_Data!T486</f>
        <v>62</v>
      </c>
      <c r="X495" s="23" t="str">
        <f>IF(ISNUMBER(SEARCH("Y",UPPER(TRIM(Raw_Data!U486)))),"Yes","No")</f>
        <v>Yes</v>
      </c>
      <c r="Y495" s="23" t="str">
        <f>IF(ISNUMBER(SEARCH("Y",UPPER(TRIM(Raw_Data!V486)))),"Yes","No")</f>
        <v>Yes</v>
      </c>
      <c r="Z495" s="24">
        <f>Raw_Data!W486</f>
        <v>5</v>
      </c>
      <c r="AA495" s="24">
        <f>Raw_Data!X486</f>
        <v>7.4</v>
      </c>
      <c r="AB495" s="23" t="str">
        <f>IF(COUNTIFS(Raw_Data!$A$2:$A$616,Raw_Data!A486)&gt;1,"Duplicate","Unique")</f>
        <v>Unique</v>
      </c>
      <c r="AC495" s="23" t="str">
        <f t="shared" si="23"/>
        <v>Clean</v>
      </c>
    </row>
    <row r="496" spans="1:29" ht="15" customHeight="1">
      <c r="A496" s="25" t="str">
        <f>Raw_Data!A487</f>
        <v>BYJ1486</v>
      </c>
      <c r="B496" s="25" t="str">
        <f>Raw_Data!B487</f>
        <v>Avi Shenoy</v>
      </c>
      <c r="C496" s="26">
        <f>IF(OR(Raw_Data!C487="",Raw_Data!C487&lt;$C$5,Raw_Data!C487&gt;$C$6),$C$4,Raw_Data!C487)</f>
        <v>31</v>
      </c>
      <c r="D496" s="25" t="str">
        <f>IF(Raw_Data!C487="","Missing-Imputed",IF(OR(Raw_Data!C487&lt;$C$5,Raw_Data!C487&gt;$C$6),"Outlier-Imputed","Original"))</f>
        <v>Original</v>
      </c>
      <c r="E496" s="25" t="str">
        <f>IF(OR(UPPER(TRIM(Raw_Data!D487))="M",UPPER(TRIM(Raw_Data!D487))="MALE"),"Male","Female")</f>
        <v>Male</v>
      </c>
      <c r="F496" s="25" t="str">
        <f>PROPER(TRIM(Raw_Data!E487))</f>
        <v>Bahraich</v>
      </c>
      <c r="G496" s="25" t="str">
        <f>PROPER(TRIM(Raw_Data!F487))</f>
        <v>Maharashtra</v>
      </c>
      <c r="H496" s="25" t="str">
        <f>PROPER(TRIM(Raw_Data!G487))</f>
        <v>Science</v>
      </c>
      <c r="I496" s="25" t="str">
        <f>PROPER(TRIM(Raw_Data!H487))</f>
        <v>Delhi North</v>
      </c>
      <c r="J496" s="26">
        <f>IF(LEN(TRIM(Raw_Data!I487))=4,VALUE(TRIM(Raw_Data!I487)),IF(ISNUMBER(IFERROR(VALUE(MID(TRIM(Raw_Data!I487),1,4)),"NA")),VALUE(MID(TRIM(Raw_Data!I487),1,4)),VALUE(RIGHT(TRIM(Raw_Data!I487),4))))</f>
        <v>2025</v>
      </c>
      <c r="K496" s="25" t="str">
        <f>PROPER(TRIM(Raw_Data!J487))</f>
        <v>Self-Employed</v>
      </c>
      <c r="L496" s="25" t="str">
        <f t="shared" si="21"/>
        <v>20+</v>
      </c>
      <c r="M496" s="25" t="str">
        <f t="shared" si="22"/>
        <v>Adult Learners</v>
      </c>
      <c r="N496" s="25" t="str">
        <f>IF(ISNUMBER(SEARCH("NON",UPPER(Raw_Data!M487))),"Non-Premium Learner","Premium Learner")</f>
        <v>Premium Learner</v>
      </c>
      <c r="O496" s="25" t="str">
        <f>PROPER(TRIM(Raw_Data!N487))</f>
        <v>App Only</v>
      </c>
      <c r="P496" s="26">
        <f>IF(Raw_Data!O487="",$C$7,Raw_Data!O487)</f>
        <v>108447.31</v>
      </c>
      <c r="Q496" s="25" t="str">
        <f>IF(Raw_Data!O487="","Missing-Imputed","Original")</f>
        <v>Original</v>
      </c>
      <c r="R496" s="26">
        <f>Raw_Data!P487</f>
        <v>50.5</v>
      </c>
      <c r="S496" s="26">
        <f>Raw_Data!Q487</f>
        <v>2536.41</v>
      </c>
      <c r="T496" s="25" t="str">
        <f>IF(Raw_Data!R487="","Unknown",IF(ISNUMBER(SEARCH("ACT",UPPER(Raw_Data!R487))),"Active",IF(ISNUMBER(SEARCH("CLOS",UPPER(Raw_Data!R487))),"Closed","None")))</f>
        <v>Closed</v>
      </c>
      <c r="U496" s="26">
        <f>IF(Raw_Data!S487="",$C$8,VALUE(Raw_Data!S487))</f>
        <v>300</v>
      </c>
      <c r="V496" s="25" t="str">
        <f>IF(Raw_Data!S487="","Missing-Imputed","Original")</f>
        <v>Original</v>
      </c>
      <c r="W496" s="26">
        <f>Raw_Data!T487</f>
        <v>135</v>
      </c>
      <c r="X496" s="25" t="str">
        <f>IF(ISNUMBER(SEARCH("Y",UPPER(TRIM(Raw_Data!U487)))),"Yes","No")</f>
        <v>No</v>
      </c>
      <c r="Y496" s="25" t="str">
        <f>IF(ISNUMBER(SEARCH("Y",UPPER(TRIM(Raw_Data!V487)))),"Yes","No")</f>
        <v>No</v>
      </c>
      <c r="Z496" s="26">
        <f>Raw_Data!W487</f>
        <v>5</v>
      </c>
      <c r="AA496" s="26">
        <f>Raw_Data!X487</f>
        <v>3.5</v>
      </c>
      <c r="AB496" s="25" t="str">
        <f>IF(COUNTIFS(Raw_Data!$A$2:$A$616,Raw_Data!A487)&gt;1,"Duplicate","Unique")</f>
        <v>Unique</v>
      </c>
      <c r="AC496" s="25" t="str">
        <f t="shared" si="23"/>
        <v>Clean</v>
      </c>
    </row>
    <row r="497" spans="1:29" ht="15" customHeight="1">
      <c r="A497" s="23" t="str">
        <f>Raw_Data!A488</f>
        <v>BYJ1487</v>
      </c>
      <c r="B497" s="23" t="str">
        <f>Raw_Data!B488</f>
        <v>Ekapad Rege</v>
      </c>
      <c r="C497" s="24">
        <f>IF(OR(Raw_Data!C488="",Raw_Data!C488&lt;$C$5,Raw_Data!C488&gt;$C$6),$C$4,Raw_Data!C488)</f>
        <v>31</v>
      </c>
      <c r="D497" s="23" t="str">
        <f>IF(Raw_Data!C488="","Missing-Imputed",IF(OR(Raw_Data!C488&lt;$C$5,Raw_Data!C488&gt;$C$6),"Outlier-Imputed","Original"))</f>
        <v>Original</v>
      </c>
      <c r="E497" s="23" t="str">
        <f>IF(OR(UPPER(TRIM(Raw_Data!D488))="M",UPPER(TRIM(Raw_Data!D488))="MALE"),"Male","Female")</f>
        <v>Female</v>
      </c>
      <c r="F497" s="23" t="str">
        <f>PROPER(TRIM(Raw_Data!E488))</f>
        <v>Kolhapur</v>
      </c>
      <c r="G497" s="23" t="str">
        <f>PROPER(TRIM(Raw_Data!F488))</f>
        <v>Maharashtra</v>
      </c>
      <c r="H497" s="23" t="str">
        <f>PROPER(TRIM(Raw_Data!G488))</f>
        <v>Spoken English</v>
      </c>
      <c r="I497" s="23" t="str">
        <f>PROPER(TRIM(Raw_Data!H488))</f>
        <v>Mumbai West</v>
      </c>
      <c r="J497" s="24">
        <f>IF(LEN(TRIM(Raw_Data!I488))=4,VALUE(TRIM(Raw_Data!I488)),IF(ISNUMBER(IFERROR(VALUE(MID(TRIM(Raw_Data!I488),1,4)),"NA")),VALUE(MID(TRIM(Raw_Data!I488),1,4)),VALUE(RIGHT(TRIM(Raw_Data!I488),4))))</f>
        <v>2016</v>
      </c>
      <c r="K497" s="23" t="str">
        <f>PROPER(TRIM(Raw_Data!J488))</f>
        <v>Homemaker</v>
      </c>
      <c r="L497" s="23" t="str">
        <f t="shared" si="21"/>
        <v>20+</v>
      </c>
      <c r="M497" s="23" t="str">
        <f t="shared" si="22"/>
        <v>Adult Learners</v>
      </c>
      <c r="N497" s="23" t="str">
        <f>IF(ISNUMBER(SEARCH("NON",UPPER(Raw_Data!M488))),"Non-Premium Learner","Premium Learner")</f>
        <v>Premium Learner</v>
      </c>
      <c r="O497" s="23" t="str">
        <f>PROPER(TRIM(Raw_Data!N488))</f>
        <v>Web Only</v>
      </c>
      <c r="P497" s="24">
        <f>IF(Raw_Data!O488="",$C$7,Raw_Data!O488)</f>
        <v>59511.91</v>
      </c>
      <c r="Q497" s="23" t="str">
        <f>IF(Raw_Data!O488="","Missing-Imputed","Original")</f>
        <v>Original</v>
      </c>
      <c r="R497" s="24">
        <f>Raw_Data!P488</f>
        <v>28.6</v>
      </c>
      <c r="S497" s="24">
        <f>Raw_Data!Q488</f>
        <v>11922.17</v>
      </c>
      <c r="T497" s="23" t="str">
        <f>IF(Raw_Data!R488="","Unknown",IF(ISNUMBER(SEARCH("ACT",UPPER(Raw_Data!R488))),"Active",IF(ISNUMBER(SEARCH("CLOS",UPPER(Raw_Data!R488))),"Closed","None")))</f>
        <v>Active</v>
      </c>
      <c r="U497" s="24">
        <f>IF(Raw_Data!S488="",$C$8,VALUE(Raw_Data!S488))</f>
        <v>745</v>
      </c>
      <c r="V497" s="23" t="str">
        <f>IF(Raw_Data!S488="","Missing-Imputed","Original")</f>
        <v>Original</v>
      </c>
      <c r="W497" s="24">
        <f>Raw_Data!T488</f>
        <v>192</v>
      </c>
      <c r="X497" s="23" t="str">
        <f>IF(ISNUMBER(SEARCH("Y",UPPER(TRIM(Raw_Data!U488)))),"Yes","No")</f>
        <v>Yes</v>
      </c>
      <c r="Y497" s="23" t="str">
        <f>IF(ISNUMBER(SEARCH("Y",UPPER(TRIM(Raw_Data!V488)))),"Yes","No")</f>
        <v>Yes</v>
      </c>
      <c r="Z497" s="24">
        <f>Raw_Data!W488</f>
        <v>4</v>
      </c>
      <c r="AA497" s="24">
        <f>Raw_Data!X488</f>
        <v>2.6</v>
      </c>
      <c r="AB497" s="23" t="str">
        <f>IF(COUNTIFS(Raw_Data!$A$2:$A$616,Raw_Data!A488)&gt;1,"Duplicate","Unique")</f>
        <v>Unique</v>
      </c>
      <c r="AC497" s="23" t="str">
        <f t="shared" si="23"/>
        <v>Clean</v>
      </c>
    </row>
    <row r="498" spans="1:29" ht="15" customHeight="1">
      <c r="A498" s="25" t="str">
        <f>Raw_Data!A489</f>
        <v>BYJ1488</v>
      </c>
      <c r="B498" s="25" t="str">
        <f>Raw_Data!B489</f>
        <v xml:space="preserve">  Wyatt Krishnan  </v>
      </c>
      <c r="C498" s="26">
        <f>IF(OR(Raw_Data!C489="",Raw_Data!C489&lt;$C$5,Raw_Data!C489&gt;$C$6),$C$4,Raw_Data!C489)</f>
        <v>34</v>
      </c>
      <c r="D498" s="25" t="str">
        <f>IF(Raw_Data!C489="","Missing-Imputed",IF(OR(Raw_Data!C489&lt;$C$5,Raw_Data!C489&gt;$C$6),"Outlier-Imputed","Original"))</f>
        <v>Original</v>
      </c>
      <c r="E498" s="25" t="str">
        <f>IF(OR(UPPER(TRIM(Raw_Data!D489))="M",UPPER(TRIM(Raw_Data!D489))="MALE"),"Male","Female")</f>
        <v>Female</v>
      </c>
      <c r="F498" s="25" t="str">
        <f>PROPER(TRIM(Raw_Data!E489))</f>
        <v>Bhusawal</v>
      </c>
      <c r="G498" s="25" t="str">
        <f>PROPER(TRIM(Raw_Data!F489))</f>
        <v>Rajasthan</v>
      </c>
      <c r="H498" s="25" t="str">
        <f>PROPER(TRIM(Raw_Data!G489))</f>
        <v>Neet Prep</v>
      </c>
      <c r="I498" s="25" t="str">
        <f>PROPER(TRIM(Raw_Data!H489))</f>
        <v>Delhi North</v>
      </c>
      <c r="J498" s="26">
        <f>IF(LEN(TRIM(Raw_Data!I489))=4,VALUE(TRIM(Raw_Data!I489)),IF(ISNUMBER(IFERROR(VALUE(MID(TRIM(Raw_Data!I489),1,4)),"NA")),VALUE(MID(TRIM(Raw_Data!I489),1,4)),VALUE(RIGHT(TRIM(Raw_Data!I489),4))))</f>
        <v>2023</v>
      </c>
      <c r="K498" s="25" t="str">
        <f>PROPER(TRIM(Raw_Data!J489))</f>
        <v>Business</v>
      </c>
      <c r="L498" s="25" t="str">
        <f t="shared" si="21"/>
        <v>20+</v>
      </c>
      <c r="M498" s="25" t="str">
        <f t="shared" si="22"/>
        <v>Adult Learners</v>
      </c>
      <c r="N498" s="25" t="str">
        <f>IF(ISNUMBER(SEARCH("NON",UPPER(Raw_Data!M489))),"Non-Premium Learner","Premium Learner")</f>
        <v>Non-Premium Learner</v>
      </c>
      <c r="O498" s="25" t="str">
        <f>PROPER(TRIM(Raw_Data!N489))</f>
        <v>App Only</v>
      </c>
      <c r="P498" s="26">
        <f>IF(Raw_Data!O489="",$C$7,Raw_Data!O489)</f>
        <v>47835.62</v>
      </c>
      <c r="Q498" s="25" t="str">
        <f>IF(Raw_Data!O489="","Missing-Imputed","Original")</f>
        <v>Original</v>
      </c>
      <c r="R498" s="26">
        <f>Raw_Data!P489</f>
        <v>39.9</v>
      </c>
      <c r="S498" s="26">
        <f>Raw_Data!Q489</f>
        <v>23193.41</v>
      </c>
      <c r="T498" s="25" t="str">
        <f>IF(Raw_Data!R489="","Unknown",IF(ISNUMBER(SEARCH("ACT",UPPER(Raw_Data!R489))),"Active",IF(ISNUMBER(SEARCH("CLOS",UPPER(Raw_Data!R489))),"Closed","None")))</f>
        <v>None</v>
      </c>
      <c r="U498" s="26">
        <f>IF(Raw_Data!S489="",$C$8,VALUE(Raw_Data!S489))</f>
        <v>379</v>
      </c>
      <c r="V498" s="25" t="str">
        <f>IF(Raw_Data!S489="","Missing-Imputed","Original")</f>
        <v>Original</v>
      </c>
      <c r="W498" s="26">
        <f>Raw_Data!T489</f>
        <v>90</v>
      </c>
      <c r="X498" s="25" t="str">
        <f>IF(ISNUMBER(SEARCH("Y",UPPER(TRIM(Raw_Data!U489)))),"Yes","No")</f>
        <v>No</v>
      </c>
      <c r="Y498" s="25" t="str">
        <f>IF(ISNUMBER(SEARCH("Y",UPPER(TRIM(Raw_Data!V489)))),"Yes","No")</f>
        <v>No</v>
      </c>
      <c r="Z498" s="26">
        <f>Raw_Data!W489</f>
        <v>3</v>
      </c>
      <c r="AA498" s="26">
        <f>Raw_Data!X489</f>
        <v>3.3</v>
      </c>
      <c r="AB498" s="25" t="str">
        <f>IF(COUNTIFS(Raw_Data!$A$2:$A$616,Raw_Data!A489)&gt;1,"Duplicate","Unique")</f>
        <v>Unique</v>
      </c>
      <c r="AC498" s="25" t="str">
        <f t="shared" si="23"/>
        <v>Clean</v>
      </c>
    </row>
    <row r="499" spans="1:29" ht="15" customHeight="1">
      <c r="A499" s="23" t="str">
        <f>Raw_Data!A490</f>
        <v>BYJ1489</v>
      </c>
      <c r="B499" s="23" t="str">
        <f>Raw_Data!B490</f>
        <v>Ethan Sen</v>
      </c>
      <c r="C499" s="24">
        <f>IF(OR(Raw_Data!C490="",Raw_Data!C490&lt;$C$5,Raw_Data!C490&gt;$C$6),$C$4,Raw_Data!C490)</f>
        <v>6</v>
      </c>
      <c r="D499" s="23" t="str">
        <f>IF(Raw_Data!C490="","Missing-Imputed",IF(OR(Raw_Data!C490&lt;$C$5,Raw_Data!C490&gt;$C$6),"Outlier-Imputed","Original"))</f>
        <v>Original</v>
      </c>
      <c r="E499" s="23" t="str">
        <f>IF(OR(UPPER(TRIM(Raw_Data!D490))="M",UPPER(TRIM(Raw_Data!D490))="MALE"),"Male","Female")</f>
        <v>Male</v>
      </c>
      <c r="F499" s="23" t="str">
        <f>PROPER(TRIM(Raw_Data!E490))</f>
        <v>Ballia</v>
      </c>
      <c r="G499" s="23" t="str">
        <f>PROPER(TRIM(Raw_Data!F490))</f>
        <v>Uttar Pradesh</v>
      </c>
      <c r="H499" s="23" t="str">
        <f>PROPER(TRIM(Raw_Data!G490))</f>
        <v>Jee Prep</v>
      </c>
      <c r="I499" s="23" t="str">
        <f>PROPER(TRIM(Raw_Data!H490))</f>
        <v>Chennai Central</v>
      </c>
      <c r="J499" s="24">
        <f>IF(LEN(TRIM(Raw_Data!I490))=4,VALUE(TRIM(Raw_Data!I490)),IF(ISNUMBER(IFERROR(VALUE(MID(TRIM(Raw_Data!I490),1,4)),"NA")),VALUE(MID(TRIM(Raw_Data!I490),1,4)),VALUE(RIGHT(TRIM(Raw_Data!I490),4))))</f>
        <v>2016</v>
      </c>
      <c r="K499" s="23" t="str">
        <f>PROPER(TRIM(Raw_Data!J490))</f>
        <v>Salaried</v>
      </c>
      <c r="L499" s="23" t="str">
        <f t="shared" si="21"/>
        <v>Under 10</v>
      </c>
      <c r="M499" s="23" t="str">
        <f t="shared" si="22"/>
        <v>Kids</v>
      </c>
      <c r="N499" s="23" t="str">
        <f>IF(ISNUMBER(SEARCH("NON",UPPER(Raw_Data!M490))),"Non-Premium Learner","Premium Learner")</f>
        <v>Non-Premium Learner</v>
      </c>
      <c r="O499" s="23" t="str">
        <f>PROPER(TRIM(Raw_Data!N490))</f>
        <v>Both App &amp; Web</v>
      </c>
      <c r="P499" s="24">
        <f>IF(Raw_Data!O490="",$C$7,Raw_Data!O490)</f>
        <v>71742.19</v>
      </c>
      <c r="Q499" s="23" t="str">
        <f>IF(Raw_Data!O490="","Missing-Imputed","Original")</f>
        <v>Original</v>
      </c>
      <c r="R499" s="24">
        <f>Raw_Data!P490</f>
        <v>26.4</v>
      </c>
      <c r="S499" s="24">
        <f>Raw_Data!Q490</f>
        <v>3054.98</v>
      </c>
      <c r="T499" s="23" t="str">
        <f>IF(Raw_Data!R490="","Unknown",IF(ISNUMBER(SEARCH("ACT",UPPER(Raw_Data!R490))),"Active",IF(ISNUMBER(SEARCH("CLOS",UPPER(Raw_Data!R490))),"Closed","None")))</f>
        <v>Unknown</v>
      </c>
      <c r="U499" s="24">
        <f>IF(Raw_Data!S490="",$C$8,VALUE(Raw_Data!S490))</f>
        <v>426</v>
      </c>
      <c r="V499" s="23" t="str">
        <f>IF(Raw_Data!S490="","Missing-Imputed","Original")</f>
        <v>Original</v>
      </c>
      <c r="W499" s="24">
        <f>Raw_Data!T490</f>
        <v>194</v>
      </c>
      <c r="X499" s="23" t="str">
        <f>IF(ISNUMBER(SEARCH("Y",UPPER(TRIM(Raw_Data!U490)))),"Yes","No")</f>
        <v>No</v>
      </c>
      <c r="Y499" s="23" t="str">
        <f>IF(ISNUMBER(SEARCH("Y",UPPER(TRIM(Raw_Data!V490)))),"Yes","No")</f>
        <v>Yes</v>
      </c>
      <c r="Z499" s="24">
        <f>Raw_Data!W490</f>
        <v>2</v>
      </c>
      <c r="AA499" s="24">
        <f>Raw_Data!X490</f>
        <v>8.4</v>
      </c>
      <c r="AB499" s="23" t="str">
        <f>IF(COUNTIFS(Raw_Data!$A$2:$A$616,Raw_Data!A490)&gt;1,"Duplicate","Unique")</f>
        <v>Unique</v>
      </c>
      <c r="AC499" s="23" t="str">
        <f t="shared" si="23"/>
        <v>Clean</v>
      </c>
    </row>
    <row r="500" spans="1:29" ht="15" customHeight="1">
      <c r="A500" s="25" t="str">
        <f>Raw_Data!A491</f>
        <v>BYJ1490</v>
      </c>
      <c r="B500" s="25" t="str">
        <f>Raw_Data!B491</f>
        <v>Yashawini Sahota</v>
      </c>
      <c r="C500" s="26">
        <f>IF(OR(Raw_Data!C491="",Raw_Data!C491&lt;$C$5,Raw_Data!C491&gt;$C$6),$C$4,Raw_Data!C491)</f>
        <v>34</v>
      </c>
      <c r="D500" s="25" t="str">
        <f>IF(Raw_Data!C491="","Missing-Imputed",IF(OR(Raw_Data!C491&lt;$C$5,Raw_Data!C491&gt;$C$6),"Outlier-Imputed","Original"))</f>
        <v>Original</v>
      </c>
      <c r="E500" s="25" t="str">
        <f>IF(OR(UPPER(TRIM(Raw_Data!D491))="M",UPPER(TRIM(Raw_Data!D491))="MALE"),"Male","Female")</f>
        <v>Female</v>
      </c>
      <c r="F500" s="25" t="str">
        <f>PROPER(TRIM(Raw_Data!E491))</f>
        <v>Karimnagar</v>
      </c>
      <c r="G500" s="25" t="str">
        <f>PROPER(TRIM(Raw_Data!F491))</f>
        <v>Delhi</v>
      </c>
      <c r="H500" s="25" t="str">
        <f>PROPER(TRIM(Raw_Data!G491))</f>
        <v>Mathematics</v>
      </c>
      <c r="I500" s="25" t="str">
        <f>PROPER(TRIM(Raw_Data!H491))</f>
        <v>Lucknow Hub</v>
      </c>
      <c r="J500" s="26">
        <f>IF(LEN(TRIM(Raw_Data!I491))=4,VALUE(TRIM(Raw_Data!I491)),IF(ISNUMBER(IFERROR(VALUE(MID(TRIM(Raw_Data!I491),1,4)),"NA")),VALUE(MID(TRIM(Raw_Data!I491),1,4)),VALUE(RIGHT(TRIM(Raw_Data!I491),4))))</f>
        <v>2022</v>
      </c>
      <c r="K500" s="25" t="str">
        <f>PROPER(TRIM(Raw_Data!J491))</f>
        <v>Salaried</v>
      </c>
      <c r="L500" s="25" t="str">
        <f t="shared" si="21"/>
        <v>20+</v>
      </c>
      <c r="M500" s="25" t="str">
        <f t="shared" si="22"/>
        <v>Adult Learners</v>
      </c>
      <c r="N500" s="25" t="str">
        <f>IF(ISNUMBER(SEARCH("NON",UPPER(Raw_Data!M491))),"Non-Premium Learner","Premium Learner")</f>
        <v>Premium Learner</v>
      </c>
      <c r="O500" s="25" t="str">
        <f>PROPER(TRIM(Raw_Data!N491))</f>
        <v>App Only</v>
      </c>
      <c r="P500" s="26">
        <f>IF(Raw_Data!O491="",$C$7,Raw_Data!O491)</f>
        <v>33201.550000000003</v>
      </c>
      <c r="Q500" s="25" t="str">
        <f>IF(Raw_Data!O491="","Missing-Imputed","Original")</f>
        <v>Original</v>
      </c>
      <c r="R500" s="26">
        <f>Raw_Data!P491</f>
        <v>36.299999999999997</v>
      </c>
      <c r="S500" s="26">
        <f>Raw_Data!Q491</f>
        <v>49555.33</v>
      </c>
      <c r="T500" s="25" t="str">
        <f>IF(Raw_Data!R491="","Unknown",IF(ISNUMBER(SEARCH("ACT",UPPER(Raw_Data!R491))),"Active",IF(ISNUMBER(SEARCH("CLOS",UPPER(Raw_Data!R491))),"Closed","None")))</f>
        <v>Active</v>
      </c>
      <c r="U500" s="26">
        <f>IF(Raw_Data!S491="",$C$8,VALUE(Raw_Data!S491))</f>
        <v>860</v>
      </c>
      <c r="V500" s="25" t="str">
        <f>IF(Raw_Data!S491="","Missing-Imputed","Original")</f>
        <v>Original</v>
      </c>
      <c r="W500" s="26">
        <f>Raw_Data!T491</f>
        <v>53</v>
      </c>
      <c r="X500" s="25" t="str">
        <f>IF(ISNUMBER(SEARCH("Y",UPPER(TRIM(Raw_Data!U491)))),"Yes","No")</f>
        <v>Yes</v>
      </c>
      <c r="Y500" s="25" t="str">
        <f>IF(ISNUMBER(SEARCH("Y",UPPER(TRIM(Raw_Data!V491)))),"Yes","No")</f>
        <v>Yes</v>
      </c>
      <c r="Z500" s="26">
        <f>Raw_Data!W491</f>
        <v>3</v>
      </c>
      <c r="AA500" s="26">
        <f>Raw_Data!X491</f>
        <v>6.7</v>
      </c>
      <c r="AB500" s="25" t="str">
        <f>IF(COUNTIFS(Raw_Data!$A$2:$A$616,Raw_Data!A491)&gt;1,"Duplicate","Unique")</f>
        <v>Unique</v>
      </c>
      <c r="AC500" s="25" t="str">
        <f t="shared" si="23"/>
        <v>Clean</v>
      </c>
    </row>
    <row r="501" spans="1:29" ht="15" customHeight="1">
      <c r="A501" s="23" t="str">
        <f>Raw_Data!A492</f>
        <v>BYJ1491</v>
      </c>
      <c r="B501" s="23" t="str">
        <f>Raw_Data!B492</f>
        <v>Ikbal Kothari</v>
      </c>
      <c r="C501" s="24">
        <f>IF(OR(Raw_Data!C492="",Raw_Data!C492&lt;$C$5,Raw_Data!C492&gt;$C$6),$C$4,Raw_Data!C492)</f>
        <v>16</v>
      </c>
      <c r="D501" s="23" t="str">
        <f>IF(Raw_Data!C492="","Missing-Imputed",IF(OR(Raw_Data!C492&lt;$C$5,Raw_Data!C492&gt;$C$6),"Outlier-Imputed","Original"))</f>
        <v>Original</v>
      </c>
      <c r="E501" s="23" t="str">
        <f>IF(OR(UPPER(TRIM(Raw_Data!D492))="M",UPPER(TRIM(Raw_Data!D492))="MALE"),"Male","Female")</f>
        <v>Female</v>
      </c>
      <c r="F501" s="23" t="str">
        <f>PROPER(TRIM(Raw_Data!E492))</f>
        <v>Rourkela</v>
      </c>
      <c r="G501" s="23" t="str">
        <f>PROPER(TRIM(Raw_Data!F492))</f>
        <v>Rajasthan</v>
      </c>
      <c r="H501" s="23" t="str">
        <f>PROPER(TRIM(Raw_Data!G492))</f>
        <v>Neet Prep</v>
      </c>
      <c r="I501" s="23" t="str">
        <f>PROPER(TRIM(Raw_Data!H492))</f>
        <v>Lucknow Hub</v>
      </c>
      <c r="J501" s="24">
        <f>IF(LEN(TRIM(Raw_Data!I492))=4,VALUE(TRIM(Raw_Data!I492)),IF(ISNUMBER(IFERROR(VALUE(MID(TRIM(Raw_Data!I492),1,4)),"NA")),VALUE(MID(TRIM(Raw_Data!I492),1,4)),VALUE(RIGHT(TRIM(Raw_Data!I492),4))))</f>
        <v>2021</v>
      </c>
      <c r="K501" s="23" t="str">
        <f>PROPER(TRIM(Raw_Data!J492))</f>
        <v>Retired</v>
      </c>
      <c r="L501" s="23" t="str">
        <f t="shared" si="21"/>
        <v>14-16</v>
      </c>
      <c r="M501" s="23" t="str">
        <f t="shared" si="22"/>
        <v>Teens</v>
      </c>
      <c r="N501" s="23" t="str">
        <f>IF(ISNUMBER(SEARCH("NON",UPPER(Raw_Data!M492))),"Non-Premium Learner","Premium Learner")</f>
        <v>Non-Premium Learner</v>
      </c>
      <c r="O501" s="23" t="str">
        <f>PROPER(TRIM(Raw_Data!N492))</f>
        <v>Both App &amp; Web</v>
      </c>
      <c r="P501" s="24">
        <f>IF(Raw_Data!O492="",$C$7,Raw_Data!O492)</f>
        <v>103883.81</v>
      </c>
      <c r="Q501" s="23" t="str">
        <f>IF(Raw_Data!O492="","Missing-Imputed","Original")</f>
        <v>Original</v>
      </c>
      <c r="R501" s="24">
        <f>Raw_Data!P492</f>
        <v>44</v>
      </c>
      <c r="S501" s="24">
        <f>Raw_Data!Q492</f>
        <v>16737.88</v>
      </c>
      <c r="T501" s="23" t="str">
        <f>IF(Raw_Data!R492="","Unknown",IF(ISNUMBER(SEARCH("ACT",UPPER(Raw_Data!R492))),"Active",IF(ISNUMBER(SEARCH("CLOS",UPPER(Raw_Data!R492))),"Closed","None")))</f>
        <v>None</v>
      </c>
      <c r="U501" s="24">
        <f>IF(Raw_Data!S492="",$C$8,VALUE(Raw_Data!S492))</f>
        <v>531</v>
      </c>
      <c r="V501" s="23" t="str">
        <f>IF(Raw_Data!S492="","Missing-Imputed","Original")</f>
        <v>Original</v>
      </c>
      <c r="W501" s="24">
        <f>Raw_Data!T492</f>
        <v>111</v>
      </c>
      <c r="X501" s="23" t="str">
        <f>IF(ISNUMBER(SEARCH("Y",UPPER(TRIM(Raw_Data!U492)))),"Yes","No")</f>
        <v>No</v>
      </c>
      <c r="Y501" s="23" t="str">
        <f>IF(ISNUMBER(SEARCH("Y",UPPER(TRIM(Raw_Data!V492)))),"Yes","No")</f>
        <v>No</v>
      </c>
      <c r="Z501" s="24">
        <f>Raw_Data!W492</f>
        <v>4</v>
      </c>
      <c r="AA501" s="24">
        <f>Raw_Data!X492</f>
        <v>8.8000000000000007</v>
      </c>
      <c r="AB501" s="23" t="str">
        <f>IF(COUNTIFS(Raw_Data!$A$2:$A$616,Raw_Data!A492)&gt;1,"Duplicate","Unique")</f>
        <v>Unique</v>
      </c>
      <c r="AC501" s="23" t="str">
        <f t="shared" si="23"/>
        <v>Clean</v>
      </c>
    </row>
    <row r="502" spans="1:29" ht="15" customHeight="1">
      <c r="A502" s="25" t="str">
        <f>Raw_Data!A493</f>
        <v>BYJ1492</v>
      </c>
      <c r="B502" s="25" t="str">
        <f>Raw_Data!B493</f>
        <v>Mugdha Narula</v>
      </c>
      <c r="C502" s="26">
        <f>IF(OR(Raw_Data!C493="",Raw_Data!C493&lt;$C$5,Raw_Data!C493&gt;$C$6),$C$4,Raw_Data!C493)</f>
        <v>43</v>
      </c>
      <c r="D502" s="25" t="str">
        <f>IF(Raw_Data!C493="","Missing-Imputed",IF(OR(Raw_Data!C493&lt;$C$5,Raw_Data!C493&gt;$C$6),"Outlier-Imputed","Original"))</f>
        <v>Original</v>
      </c>
      <c r="E502" s="25" t="str">
        <f>IF(OR(UPPER(TRIM(Raw_Data!D493))="M",UPPER(TRIM(Raw_Data!D493))="MALE"),"Male","Female")</f>
        <v>Female</v>
      </c>
      <c r="F502" s="25" t="str">
        <f>PROPER(TRIM(Raw_Data!E493))</f>
        <v>Aligarh</v>
      </c>
      <c r="G502" s="25" t="str">
        <f>PROPER(TRIM(Raw_Data!F493))</f>
        <v>Maharashtra</v>
      </c>
      <c r="H502" s="25" t="str">
        <f>PROPER(TRIM(Raw_Data!G493))</f>
        <v>English</v>
      </c>
      <c r="I502" s="25" t="str">
        <f>PROPER(TRIM(Raw_Data!H493))</f>
        <v>Delhi North</v>
      </c>
      <c r="J502" s="26">
        <f>IF(LEN(TRIM(Raw_Data!I493))=4,VALUE(TRIM(Raw_Data!I493)),IF(ISNUMBER(IFERROR(VALUE(MID(TRIM(Raw_Data!I493),1,4)),"NA")),VALUE(MID(TRIM(Raw_Data!I493),1,4)),VALUE(RIGHT(TRIM(Raw_Data!I493),4))))</f>
        <v>2019</v>
      </c>
      <c r="K502" s="25" t="str">
        <f>PROPER(TRIM(Raw_Data!J493))</f>
        <v>Retired</v>
      </c>
      <c r="L502" s="25" t="str">
        <f t="shared" si="21"/>
        <v>20+</v>
      </c>
      <c r="M502" s="25" t="str">
        <f t="shared" si="22"/>
        <v>Adult Learners</v>
      </c>
      <c r="N502" s="25" t="str">
        <f>IF(ISNUMBER(SEARCH("NON",UPPER(Raw_Data!M493))),"Non-Premium Learner","Premium Learner")</f>
        <v>Non-Premium Learner</v>
      </c>
      <c r="O502" s="25" t="str">
        <f>PROPER(TRIM(Raw_Data!N493))</f>
        <v>Both App &amp; Web</v>
      </c>
      <c r="P502" s="26">
        <f>IF(Raw_Data!O493="",$C$7,Raw_Data!O493)</f>
        <v>62978.35</v>
      </c>
      <c r="Q502" s="25" t="str">
        <f>IF(Raw_Data!O493="","Missing-Imputed","Original")</f>
        <v>Original</v>
      </c>
      <c r="R502" s="26">
        <f>Raw_Data!P493</f>
        <v>27.4</v>
      </c>
      <c r="S502" s="26">
        <f>Raw_Data!Q493</f>
        <v>14549.65</v>
      </c>
      <c r="T502" s="25" t="str">
        <f>IF(Raw_Data!R493="","Unknown",IF(ISNUMBER(SEARCH("ACT",UPPER(Raw_Data!R493))),"Active",IF(ISNUMBER(SEARCH("CLOS",UPPER(Raw_Data!R493))),"Closed","None")))</f>
        <v>None</v>
      </c>
      <c r="U502" s="26">
        <f>IF(Raw_Data!S493="",$C$8,VALUE(Raw_Data!S493))</f>
        <v>367</v>
      </c>
      <c r="V502" s="25" t="str">
        <f>IF(Raw_Data!S493="","Missing-Imputed","Original")</f>
        <v>Original</v>
      </c>
      <c r="W502" s="26">
        <f>Raw_Data!T493</f>
        <v>14</v>
      </c>
      <c r="X502" s="25" t="str">
        <f>IF(ISNUMBER(SEARCH("Y",UPPER(TRIM(Raw_Data!U493)))),"Yes","No")</f>
        <v>No</v>
      </c>
      <c r="Y502" s="25" t="str">
        <f>IF(ISNUMBER(SEARCH("Y",UPPER(TRIM(Raw_Data!V493)))),"Yes","No")</f>
        <v>No</v>
      </c>
      <c r="Z502" s="26">
        <f>Raw_Data!W493</f>
        <v>4</v>
      </c>
      <c r="AA502" s="26">
        <f>Raw_Data!X493</f>
        <v>4.5</v>
      </c>
      <c r="AB502" s="25" t="str">
        <f>IF(COUNTIFS(Raw_Data!$A$2:$A$616,Raw_Data!A493)&gt;1,"Duplicate","Unique")</f>
        <v>Unique</v>
      </c>
      <c r="AC502" s="25" t="str">
        <f t="shared" si="23"/>
        <v>Clean</v>
      </c>
    </row>
    <row r="503" spans="1:29" ht="15" customHeight="1">
      <c r="A503" s="23" t="str">
        <f>Raw_Data!A494</f>
        <v>BYJ1493</v>
      </c>
      <c r="B503" s="23" t="str">
        <f>Raw_Data!B494</f>
        <v xml:space="preserve">  Guneet Kuruvilla  </v>
      </c>
      <c r="C503" s="24">
        <f>IF(OR(Raw_Data!C494="",Raw_Data!C494&lt;$C$5,Raw_Data!C494&gt;$C$6),$C$4,Raw_Data!C494)</f>
        <v>13</v>
      </c>
      <c r="D503" s="23" t="str">
        <f>IF(Raw_Data!C494="","Missing-Imputed",IF(OR(Raw_Data!C494&lt;$C$5,Raw_Data!C494&gt;$C$6),"Outlier-Imputed","Original"))</f>
        <v>Original</v>
      </c>
      <c r="E503" s="23" t="str">
        <f>IF(OR(UPPER(TRIM(Raw_Data!D494))="M",UPPER(TRIM(Raw_Data!D494))="MALE"),"Male","Female")</f>
        <v>Female</v>
      </c>
      <c r="F503" s="23" t="str">
        <f>PROPER(TRIM(Raw_Data!E494))</f>
        <v>Sasaram</v>
      </c>
      <c r="G503" s="23" t="str">
        <f>PROPER(TRIM(Raw_Data!F494))</f>
        <v>Rajasthan</v>
      </c>
      <c r="H503" s="23" t="str">
        <f>PROPER(TRIM(Raw_Data!G494))</f>
        <v>Robotics</v>
      </c>
      <c r="I503" s="23" t="str">
        <f>PROPER(TRIM(Raw_Data!H494))</f>
        <v>Lucknow Hub</v>
      </c>
      <c r="J503" s="24">
        <f>IF(LEN(TRIM(Raw_Data!I494))=4,VALUE(TRIM(Raw_Data!I494)),IF(ISNUMBER(IFERROR(VALUE(MID(TRIM(Raw_Data!I494),1,4)),"NA")),VALUE(MID(TRIM(Raw_Data!I494),1,4)),VALUE(RIGHT(TRIM(Raw_Data!I494),4))))</f>
        <v>2019</v>
      </c>
      <c r="K503" s="23" t="str">
        <f>PROPER(TRIM(Raw_Data!J494))</f>
        <v>Homemaker</v>
      </c>
      <c r="L503" s="23" t="str">
        <f t="shared" si="21"/>
        <v>10-13</v>
      </c>
      <c r="M503" s="23" t="str">
        <f t="shared" si="22"/>
        <v>Kids</v>
      </c>
      <c r="N503" s="23" t="str">
        <f>IF(ISNUMBER(SEARCH("NON",UPPER(Raw_Data!M494))),"Non-Premium Learner","Premium Learner")</f>
        <v>Premium Learner</v>
      </c>
      <c r="O503" s="23" t="str">
        <f>PROPER(TRIM(Raw_Data!N494))</f>
        <v>Web Only</v>
      </c>
      <c r="P503" s="24">
        <f>IF(Raw_Data!O494="",$C$7,Raw_Data!O494)</f>
        <v>28082.84</v>
      </c>
      <c r="Q503" s="23" t="str">
        <f>IF(Raw_Data!O494="","Missing-Imputed","Original")</f>
        <v>Original</v>
      </c>
      <c r="R503" s="24">
        <f>Raw_Data!P494</f>
        <v>33.299999999999997</v>
      </c>
      <c r="S503" s="24">
        <f>Raw_Data!Q494</f>
        <v>4972.7</v>
      </c>
      <c r="T503" s="23" t="str">
        <f>IF(Raw_Data!R494="","Unknown",IF(ISNUMBER(SEARCH("ACT",UPPER(Raw_Data!R494))),"Active",IF(ISNUMBER(SEARCH("CLOS",UPPER(Raw_Data!R494))),"Closed","None")))</f>
        <v>Active</v>
      </c>
      <c r="U503" s="24">
        <f>IF(Raw_Data!S494="",$C$8,VALUE(Raw_Data!S494))</f>
        <v>308</v>
      </c>
      <c r="V503" s="23" t="str">
        <f>IF(Raw_Data!S494="","Missing-Imputed","Original")</f>
        <v>Original</v>
      </c>
      <c r="W503" s="24">
        <f>Raw_Data!T494</f>
        <v>109</v>
      </c>
      <c r="X503" s="23" t="str">
        <f>IF(ISNUMBER(SEARCH("Y",UPPER(TRIM(Raw_Data!U494)))),"Yes","No")</f>
        <v>No</v>
      </c>
      <c r="Y503" s="23" t="str">
        <f>IF(ISNUMBER(SEARCH("Y",UPPER(TRIM(Raw_Data!V494)))),"Yes","No")</f>
        <v>Yes</v>
      </c>
      <c r="Z503" s="24">
        <f>Raw_Data!W494</f>
        <v>1</v>
      </c>
      <c r="AA503" s="24">
        <f>Raw_Data!X494</f>
        <v>4.5</v>
      </c>
      <c r="AB503" s="23" t="str">
        <f>IF(COUNTIFS(Raw_Data!$A$2:$A$616,Raw_Data!A494)&gt;1,"Duplicate","Unique")</f>
        <v>Unique</v>
      </c>
      <c r="AC503" s="23" t="str">
        <f t="shared" si="23"/>
        <v>Clean</v>
      </c>
    </row>
    <row r="504" spans="1:29" ht="15" customHeight="1">
      <c r="A504" s="25" t="str">
        <f>Raw_Data!A495</f>
        <v>BYJ1494</v>
      </c>
      <c r="B504" s="25" t="str">
        <f>Raw_Data!B495</f>
        <v xml:space="preserve">  Sanaya Prasad  </v>
      </c>
      <c r="C504" s="26">
        <f>IF(OR(Raw_Data!C495="",Raw_Data!C495&lt;$C$5,Raw_Data!C495&gt;$C$6),$C$4,Raw_Data!C495)</f>
        <v>29</v>
      </c>
      <c r="D504" s="25" t="str">
        <f>IF(Raw_Data!C495="","Missing-Imputed",IF(OR(Raw_Data!C495&lt;$C$5,Raw_Data!C495&gt;$C$6),"Outlier-Imputed","Original"))</f>
        <v>Original</v>
      </c>
      <c r="E504" s="25" t="str">
        <f>IF(OR(UPPER(TRIM(Raw_Data!D495))="M",UPPER(TRIM(Raw_Data!D495))="MALE"),"Male","Female")</f>
        <v>Female</v>
      </c>
      <c r="F504" s="25" t="str">
        <f>PROPER(TRIM(Raw_Data!E495))</f>
        <v>Madhyamgram</v>
      </c>
      <c r="G504" s="25" t="str">
        <f>PROPER(TRIM(Raw_Data!F495))</f>
        <v>Maharashtra</v>
      </c>
      <c r="H504" s="25" t="str">
        <f>PROPER(TRIM(Raw_Data!G495))</f>
        <v>Jee Prep</v>
      </c>
      <c r="I504" s="25" t="str">
        <f>PROPER(TRIM(Raw_Data!H495))</f>
        <v>Pune East</v>
      </c>
      <c r="J504" s="26">
        <f>IF(LEN(TRIM(Raw_Data!I495))=4,VALUE(TRIM(Raw_Data!I495)),IF(ISNUMBER(IFERROR(VALUE(MID(TRIM(Raw_Data!I495),1,4)),"NA")),VALUE(MID(TRIM(Raw_Data!I495),1,4)),VALUE(RIGHT(TRIM(Raw_Data!I495),4))))</f>
        <v>2017</v>
      </c>
      <c r="K504" s="25" t="str">
        <f>PROPER(TRIM(Raw_Data!J495))</f>
        <v>Salaried</v>
      </c>
      <c r="L504" s="25" t="str">
        <f t="shared" si="21"/>
        <v>20+</v>
      </c>
      <c r="M504" s="25" t="str">
        <f t="shared" si="22"/>
        <v>Adult Learners</v>
      </c>
      <c r="N504" s="25" t="str">
        <f>IF(ISNUMBER(SEARCH("NON",UPPER(Raw_Data!M495))),"Non-Premium Learner","Premium Learner")</f>
        <v>Non-Premium Learner</v>
      </c>
      <c r="O504" s="25" t="str">
        <f>PROPER(TRIM(Raw_Data!N495))</f>
        <v>App Only</v>
      </c>
      <c r="P504" s="26">
        <f>IF(Raw_Data!O495="",$C$7,Raw_Data!O495)</f>
        <v>119483.69</v>
      </c>
      <c r="Q504" s="25" t="str">
        <f>IF(Raw_Data!O495="","Missing-Imputed","Original")</f>
        <v>Original</v>
      </c>
      <c r="R504" s="26">
        <f>Raw_Data!P495</f>
        <v>66.8</v>
      </c>
      <c r="S504" s="26">
        <f>Raw_Data!Q495</f>
        <v>29421.61</v>
      </c>
      <c r="T504" s="25" t="str">
        <f>IF(Raw_Data!R495="","Unknown",IF(ISNUMBER(SEARCH("ACT",UPPER(Raw_Data!R495))),"Active",IF(ISNUMBER(SEARCH("CLOS",UPPER(Raw_Data!R495))),"Closed","None")))</f>
        <v>Closed</v>
      </c>
      <c r="U504" s="26">
        <f>IF(Raw_Data!S495="",$C$8,VALUE(Raw_Data!S495))</f>
        <v>598</v>
      </c>
      <c r="V504" s="25" t="str">
        <f>IF(Raw_Data!S495="","Missing-Imputed","Original")</f>
        <v>Original</v>
      </c>
      <c r="W504" s="26">
        <f>Raw_Data!T495</f>
        <v>134</v>
      </c>
      <c r="X504" s="25" t="str">
        <f>IF(ISNUMBER(SEARCH("Y",UPPER(TRIM(Raw_Data!U495)))),"Yes","No")</f>
        <v>Yes</v>
      </c>
      <c r="Y504" s="25" t="str">
        <f>IF(ISNUMBER(SEARCH("Y",UPPER(TRIM(Raw_Data!V495)))),"Yes","No")</f>
        <v>Yes</v>
      </c>
      <c r="Z504" s="26">
        <f>Raw_Data!W495</f>
        <v>4</v>
      </c>
      <c r="AA504" s="26">
        <f>Raw_Data!X495</f>
        <v>5.7</v>
      </c>
      <c r="AB504" s="25" t="str">
        <f>IF(COUNTIFS(Raw_Data!$A$2:$A$616,Raw_Data!A495)&gt;1,"Duplicate","Unique")</f>
        <v>Unique</v>
      </c>
      <c r="AC504" s="25" t="str">
        <f t="shared" si="23"/>
        <v>Clean</v>
      </c>
    </row>
    <row r="505" spans="1:29" ht="15" customHeight="1">
      <c r="A505" s="23" t="str">
        <f>Raw_Data!A496</f>
        <v>BYJ1495</v>
      </c>
      <c r="B505" s="23" t="str">
        <f>Raw_Data!B496</f>
        <v>Hemani Bakshi</v>
      </c>
      <c r="C505" s="24">
        <f>IF(OR(Raw_Data!C496="",Raw_Data!C496&lt;$C$5,Raw_Data!C496&gt;$C$6),$C$4,Raw_Data!C496)</f>
        <v>38</v>
      </c>
      <c r="D505" s="23" t="str">
        <f>IF(Raw_Data!C496="","Missing-Imputed",IF(OR(Raw_Data!C496&lt;$C$5,Raw_Data!C496&gt;$C$6),"Outlier-Imputed","Original"))</f>
        <v>Original</v>
      </c>
      <c r="E505" s="23" t="str">
        <f>IF(OR(UPPER(TRIM(Raw_Data!D496))="M",UPPER(TRIM(Raw_Data!D496))="MALE"),"Male","Female")</f>
        <v>Male</v>
      </c>
      <c r="F505" s="23" t="str">
        <f>PROPER(TRIM(Raw_Data!E496))</f>
        <v>Vasai-Virar</v>
      </c>
      <c r="G505" s="23" t="str">
        <f>PROPER(TRIM(Raw_Data!F496))</f>
        <v>Telangana</v>
      </c>
      <c r="H505" s="23" t="str">
        <f>PROPER(TRIM(Raw_Data!G496))</f>
        <v>Coding</v>
      </c>
      <c r="I505" s="23" t="str">
        <f>PROPER(TRIM(Raw_Data!H496))</f>
        <v>Kolkata Main</v>
      </c>
      <c r="J505" s="24">
        <f>IF(LEN(TRIM(Raw_Data!I496))=4,VALUE(TRIM(Raw_Data!I496)),IF(ISNUMBER(IFERROR(VALUE(MID(TRIM(Raw_Data!I496),1,4)),"NA")),VALUE(MID(TRIM(Raw_Data!I496),1,4)),VALUE(RIGHT(TRIM(Raw_Data!I496),4))))</f>
        <v>2021</v>
      </c>
      <c r="K505" s="23" t="str">
        <f>PROPER(TRIM(Raw_Data!J496))</f>
        <v>Self-Employed</v>
      </c>
      <c r="L505" s="23" t="str">
        <f t="shared" si="21"/>
        <v>20+</v>
      </c>
      <c r="M505" s="23" t="str">
        <f t="shared" si="22"/>
        <v>Adult Learners</v>
      </c>
      <c r="N505" s="23" t="str">
        <f>IF(ISNUMBER(SEARCH("NON",UPPER(Raw_Data!M496))),"Non-Premium Learner","Premium Learner")</f>
        <v>Non-Premium Learner</v>
      </c>
      <c r="O505" s="23" t="str">
        <f>PROPER(TRIM(Raw_Data!N496))</f>
        <v>Web Only</v>
      </c>
      <c r="P505" s="24">
        <f>IF(Raw_Data!O496="",$C$7,Raw_Data!O496)</f>
        <v>99755.97</v>
      </c>
      <c r="Q505" s="23" t="str">
        <f>IF(Raw_Data!O496="","Missing-Imputed","Original")</f>
        <v>Original</v>
      </c>
      <c r="R505" s="24">
        <f>Raw_Data!P496</f>
        <v>36.299999999999997</v>
      </c>
      <c r="S505" s="24">
        <f>Raw_Data!Q496</f>
        <v>55829.83</v>
      </c>
      <c r="T505" s="23" t="str">
        <f>IF(Raw_Data!R496="","Unknown",IF(ISNUMBER(SEARCH("ACT",UPPER(Raw_Data!R496))),"Active",IF(ISNUMBER(SEARCH("CLOS",UPPER(Raw_Data!R496))),"Closed","None")))</f>
        <v>Closed</v>
      </c>
      <c r="U505" s="24">
        <f>IF(Raw_Data!S496="",$C$8,VALUE(Raw_Data!S496))</f>
        <v>634</v>
      </c>
      <c r="V505" s="23" t="str">
        <f>IF(Raw_Data!S496="","Missing-Imputed","Original")</f>
        <v>Original</v>
      </c>
      <c r="W505" s="24">
        <f>Raw_Data!T496</f>
        <v>118</v>
      </c>
      <c r="X505" s="23" t="str">
        <f>IF(ISNUMBER(SEARCH("Y",UPPER(TRIM(Raw_Data!U496)))),"Yes","No")</f>
        <v>Yes</v>
      </c>
      <c r="Y505" s="23" t="str">
        <f>IF(ISNUMBER(SEARCH("Y",UPPER(TRIM(Raw_Data!V496)))),"Yes","No")</f>
        <v>Yes</v>
      </c>
      <c r="Z505" s="24">
        <f>Raw_Data!W496</f>
        <v>1</v>
      </c>
      <c r="AA505" s="24">
        <f>Raw_Data!X496</f>
        <v>5.5</v>
      </c>
      <c r="AB505" s="23" t="str">
        <f>IF(COUNTIFS(Raw_Data!$A$2:$A$616,Raw_Data!A496)&gt;1,"Duplicate","Unique")</f>
        <v>Unique</v>
      </c>
      <c r="AC505" s="23" t="str">
        <f t="shared" si="23"/>
        <v>Clean</v>
      </c>
    </row>
    <row r="506" spans="1:29" ht="15" customHeight="1">
      <c r="A506" s="25" t="str">
        <f>Raw_Data!A497</f>
        <v>BYJ1496</v>
      </c>
      <c r="B506" s="25" t="str">
        <f>Raw_Data!B497</f>
        <v>Ojasvi Chada</v>
      </c>
      <c r="C506" s="26">
        <f>IF(OR(Raw_Data!C497="",Raw_Data!C497&lt;$C$5,Raw_Data!C497&gt;$C$6),$C$4,Raw_Data!C497)</f>
        <v>34</v>
      </c>
      <c r="D506" s="25" t="str">
        <f>IF(Raw_Data!C497="","Missing-Imputed",IF(OR(Raw_Data!C497&lt;$C$5,Raw_Data!C497&gt;$C$6),"Outlier-Imputed","Original"))</f>
        <v>Original</v>
      </c>
      <c r="E506" s="25" t="str">
        <f>IF(OR(UPPER(TRIM(Raw_Data!D497))="M",UPPER(TRIM(Raw_Data!D497))="MALE"),"Male","Female")</f>
        <v>Male</v>
      </c>
      <c r="F506" s="25" t="str">
        <f>PROPER(TRIM(Raw_Data!E497))</f>
        <v>Ajmer</v>
      </c>
      <c r="G506" s="25" t="str">
        <f>PROPER(TRIM(Raw_Data!F497))</f>
        <v>Telangana</v>
      </c>
      <c r="H506" s="25" t="str">
        <f>PROPER(TRIM(Raw_Data!G497))</f>
        <v>Neet Prep</v>
      </c>
      <c r="I506" s="25" t="str">
        <f>PROPER(TRIM(Raw_Data!H497))</f>
        <v>Pune East</v>
      </c>
      <c r="J506" s="26">
        <f>IF(LEN(TRIM(Raw_Data!I497))=4,VALUE(TRIM(Raw_Data!I497)),IF(ISNUMBER(IFERROR(VALUE(MID(TRIM(Raw_Data!I497),1,4)),"NA")),VALUE(MID(TRIM(Raw_Data!I497),1,4)),VALUE(RIGHT(TRIM(Raw_Data!I497),4))))</f>
        <v>2025</v>
      </c>
      <c r="K506" s="25" t="str">
        <f>PROPER(TRIM(Raw_Data!J497))</f>
        <v>Self-Employed</v>
      </c>
      <c r="L506" s="25" t="str">
        <f t="shared" si="21"/>
        <v>20+</v>
      </c>
      <c r="M506" s="25" t="str">
        <f t="shared" si="22"/>
        <v>Adult Learners</v>
      </c>
      <c r="N506" s="25" t="str">
        <f>IF(ISNUMBER(SEARCH("NON",UPPER(Raw_Data!M497))),"Non-Premium Learner","Premium Learner")</f>
        <v>Non-Premium Learner</v>
      </c>
      <c r="O506" s="25" t="str">
        <f>PROPER(TRIM(Raw_Data!N497))</f>
        <v>Both App &amp; Web</v>
      </c>
      <c r="P506" s="26">
        <f>IF(Raw_Data!O497="",$C$7,Raw_Data!O497)</f>
        <v>141673.92000000001</v>
      </c>
      <c r="Q506" s="25" t="str">
        <f>IF(Raw_Data!O497="","Missing-Imputed","Original")</f>
        <v>Original</v>
      </c>
      <c r="R506" s="26">
        <f>Raw_Data!P497</f>
        <v>49.1</v>
      </c>
      <c r="S506" s="26">
        <f>Raw_Data!Q497</f>
        <v>56246.17</v>
      </c>
      <c r="T506" s="25" t="str">
        <f>IF(Raw_Data!R497="","Unknown",IF(ISNUMBER(SEARCH("ACT",UPPER(Raw_Data!R497))),"Active",IF(ISNUMBER(SEARCH("CLOS",UPPER(Raw_Data!R497))),"Closed","None")))</f>
        <v>Active</v>
      </c>
      <c r="U506" s="26">
        <f>IF(Raw_Data!S497="",$C$8,VALUE(Raw_Data!S497))</f>
        <v>334</v>
      </c>
      <c r="V506" s="25" t="str">
        <f>IF(Raw_Data!S497="","Missing-Imputed","Original")</f>
        <v>Original</v>
      </c>
      <c r="W506" s="26">
        <f>Raw_Data!T497</f>
        <v>100</v>
      </c>
      <c r="X506" s="25" t="str">
        <f>IF(ISNUMBER(SEARCH("Y",UPPER(TRIM(Raw_Data!U497)))),"Yes","No")</f>
        <v>Yes</v>
      </c>
      <c r="Y506" s="25" t="str">
        <f>IF(ISNUMBER(SEARCH("Y",UPPER(TRIM(Raw_Data!V497)))),"Yes","No")</f>
        <v>Yes</v>
      </c>
      <c r="Z506" s="26">
        <f>Raw_Data!W497</f>
        <v>1</v>
      </c>
      <c r="AA506" s="26">
        <f>Raw_Data!X497</f>
        <v>7.6</v>
      </c>
      <c r="AB506" s="25" t="str">
        <f>IF(COUNTIFS(Raw_Data!$A$2:$A$616,Raw_Data!A497)&gt;1,"Duplicate","Unique")</f>
        <v>Unique</v>
      </c>
      <c r="AC506" s="25" t="str">
        <f t="shared" si="23"/>
        <v>Clean</v>
      </c>
    </row>
    <row r="507" spans="1:29" ht="15" customHeight="1">
      <c r="A507" s="23" t="str">
        <f>Raw_Data!A498</f>
        <v>BYJ1497</v>
      </c>
      <c r="B507" s="23" t="str">
        <f>Raw_Data!B498</f>
        <v>Devika Oza</v>
      </c>
      <c r="C507" s="24">
        <f>IF(OR(Raw_Data!C498="",Raw_Data!C498&lt;$C$5,Raw_Data!C498&gt;$C$6),$C$4,Raw_Data!C498)</f>
        <v>37</v>
      </c>
      <c r="D507" s="23" t="str">
        <f>IF(Raw_Data!C498="","Missing-Imputed",IF(OR(Raw_Data!C498&lt;$C$5,Raw_Data!C498&gt;$C$6),"Outlier-Imputed","Original"))</f>
        <v>Original</v>
      </c>
      <c r="E507" s="23" t="str">
        <f>IF(OR(UPPER(TRIM(Raw_Data!D498))="M",UPPER(TRIM(Raw_Data!D498))="MALE"),"Male","Female")</f>
        <v>Female</v>
      </c>
      <c r="F507" s="23" t="str">
        <f>PROPER(TRIM(Raw_Data!E498))</f>
        <v>Tiruppur</v>
      </c>
      <c r="G507" s="23" t="str">
        <f>PROPER(TRIM(Raw_Data!F498))</f>
        <v>Gujarat</v>
      </c>
      <c r="H507" s="23" t="str">
        <f>PROPER(TRIM(Raw_Data!G498))</f>
        <v>Spoken English</v>
      </c>
      <c r="I507" s="23" t="str">
        <f>PROPER(TRIM(Raw_Data!H498))</f>
        <v>Mumbai West</v>
      </c>
      <c r="J507" s="24">
        <f>IF(LEN(TRIM(Raw_Data!I498))=4,VALUE(TRIM(Raw_Data!I498)),IF(ISNUMBER(IFERROR(VALUE(MID(TRIM(Raw_Data!I498),1,4)),"NA")),VALUE(MID(TRIM(Raw_Data!I498),1,4)),VALUE(RIGHT(TRIM(Raw_Data!I498),4))))</f>
        <v>2021</v>
      </c>
      <c r="K507" s="23" t="str">
        <f>PROPER(TRIM(Raw_Data!J498))</f>
        <v>Retired</v>
      </c>
      <c r="L507" s="23" t="str">
        <f t="shared" si="21"/>
        <v>20+</v>
      </c>
      <c r="M507" s="23" t="str">
        <f t="shared" si="22"/>
        <v>Adult Learners</v>
      </c>
      <c r="N507" s="23" t="str">
        <f>IF(ISNUMBER(SEARCH("NON",UPPER(Raw_Data!M498))),"Non-Premium Learner","Premium Learner")</f>
        <v>Non-Premium Learner</v>
      </c>
      <c r="O507" s="23" t="str">
        <f>PROPER(TRIM(Raw_Data!N498))</f>
        <v>Both App &amp; Web</v>
      </c>
      <c r="P507" s="24">
        <f>IF(Raw_Data!O498="",$C$7,Raw_Data!O498)</f>
        <v>130879.41</v>
      </c>
      <c r="Q507" s="23" t="str">
        <f>IF(Raw_Data!O498="","Missing-Imputed","Original")</f>
        <v>Original</v>
      </c>
      <c r="R507" s="24">
        <f>Raw_Data!P498</f>
        <v>70.2</v>
      </c>
      <c r="S507" s="24">
        <f>Raw_Data!Q498</f>
        <v>9850.75</v>
      </c>
      <c r="T507" s="23" t="str">
        <f>IF(Raw_Data!R498="","Unknown",IF(ISNUMBER(SEARCH("ACT",UPPER(Raw_Data!R498))),"Active",IF(ISNUMBER(SEARCH("CLOS",UPPER(Raw_Data!R498))),"Closed","None")))</f>
        <v>Closed</v>
      </c>
      <c r="U507" s="24">
        <f>IF(Raw_Data!S498="",$C$8,VALUE(Raw_Data!S498))</f>
        <v>395</v>
      </c>
      <c r="V507" s="23" t="str">
        <f>IF(Raw_Data!S498="","Missing-Imputed","Original")</f>
        <v>Original</v>
      </c>
      <c r="W507" s="24">
        <f>Raw_Data!T498</f>
        <v>85</v>
      </c>
      <c r="X507" s="23" t="str">
        <f>IF(ISNUMBER(SEARCH("Y",UPPER(TRIM(Raw_Data!U498)))),"Yes","No")</f>
        <v>Yes</v>
      </c>
      <c r="Y507" s="23" t="str">
        <f>IF(ISNUMBER(SEARCH("Y",UPPER(TRIM(Raw_Data!V498)))),"Yes","No")</f>
        <v>Yes</v>
      </c>
      <c r="Z507" s="24">
        <f>Raw_Data!W498</f>
        <v>5</v>
      </c>
      <c r="AA507" s="24">
        <f>Raw_Data!X498</f>
        <v>5.6</v>
      </c>
      <c r="AB507" s="23" t="str">
        <f>IF(COUNTIFS(Raw_Data!$A$2:$A$616,Raw_Data!A498)&gt;1,"Duplicate","Unique")</f>
        <v>Unique</v>
      </c>
      <c r="AC507" s="23" t="str">
        <f t="shared" si="23"/>
        <v>Clean</v>
      </c>
    </row>
    <row r="508" spans="1:29" ht="15" customHeight="1">
      <c r="A508" s="25" t="str">
        <f>Raw_Data!A499</f>
        <v>BYJ1498</v>
      </c>
      <c r="B508" s="25" t="str">
        <f>Raw_Data!B499</f>
        <v>Ijaya Soni</v>
      </c>
      <c r="C508" s="26">
        <f>IF(OR(Raw_Data!C499="",Raw_Data!C499&lt;$C$5,Raw_Data!C499&gt;$C$6),$C$4,Raw_Data!C499)</f>
        <v>17</v>
      </c>
      <c r="D508" s="25" t="str">
        <f>IF(Raw_Data!C499="","Missing-Imputed",IF(OR(Raw_Data!C499&lt;$C$5,Raw_Data!C499&gt;$C$6),"Outlier-Imputed","Original"))</f>
        <v>Original</v>
      </c>
      <c r="E508" s="25" t="str">
        <f>IF(OR(UPPER(TRIM(Raw_Data!D499))="M",UPPER(TRIM(Raw_Data!D499))="MALE"),"Male","Female")</f>
        <v>Female</v>
      </c>
      <c r="F508" s="25" t="str">
        <f>PROPER(TRIM(Raw_Data!E499))</f>
        <v>Bahraich</v>
      </c>
      <c r="G508" s="25" t="str">
        <f>PROPER(TRIM(Raw_Data!F499))</f>
        <v>Gujarat</v>
      </c>
      <c r="H508" s="25" t="str">
        <f>PROPER(TRIM(Raw_Data!G499))</f>
        <v>Neet Prep</v>
      </c>
      <c r="I508" s="25" t="str">
        <f>PROPER(TRIM(Raw_Data!H499))</f>
        <v>Lucknow Hub</v>
      </c>
      <c r="J508" s="26">
        <f>IF(LEN(TRIM(Raw_Data!I499))=4,VALUE(TRIM(Raw_Data!I499)),IF(ISNUMBER(IFERROR(VALUE(MID(TRIM(Raw_Data!I499),1,4)),"NA")),VALUE(MID(TRIM(Raw_Data!I499),1,4)),VALUE(RIGHT(TRIM(Raw_Data!I499),4))))</f>
        <v>2021</v>
      </c>
      <c r="K508" s="25" t="str">
        <f>PROPER(TRIM(Raw_Data!J499))</f>
        <v>Self-Employed</v>
      </c>
      <c r="L508" s="25" t="str">
        <f t="shared" si="21"/>
        <v>17-19</v>
      </c>
      <c r="M508" s="25" t="str">
        <f t="shared" si="22"/>
        <v>Teens</v>
      </c>
      <c r="N508" s="25" t="str">
        <f>IF(ISNUMBER(SEARCH("NON",UPPER(Raw_Data!M499))),"Non-Premium Learner","Premium Learner")</f>
        <v>Non-Premium Learner</v>
      </c>
      <c r="O508" s="25" t="str">
        <f>PROPER(TRIM(Raw_Data!N499))</f>
        <v>App Only</v>
      </c>
      <c r="P508" s="26">
        <f>IF(Raw_Data!O499="",$C$7,Raw_Data!O499)</f>
        <v>35603.96</v>
      </c>
      <c r="Q508" s="25" t="str">
        <f>IF(Raw_Data!O499="","Missing-Imputed","Original")</f>
        <v>Original</v>
      </c>
      <c r="R508" s="26">
        <f>Raw_Data!P499</f>
        <v>54.4</v>
      </c>
      <c r="S508" s="26">
        <f>Raw_Data!Q499</f>
        <v>44192.73</v>
      </c>
      <c r="T508" s="25" t="str">
        <f>IF(Raw_Data!R499="","Unknown",IF(ISNUMBER(SEARCH("ACT",UPPER(Raw_Data!R499))),"Active",IF(ISNUMBER(SEARCH("CLOS",UPPER(Raw_Data!R499))),"Closed","None")))</f>
        <v>None</v>
      </c>
      <c r="U508" s="26">
        <f>IF(Raw_Data!S499="",$C$8,VALUE(Raw_Data!S499))</f>
        <v>843</v>
      </c>
      <c r="V508" s="25" t="str">
        <f>IF(Raw_Data!S499="","Missing-Imputed","Original")</f>
        <v>Original</v>
      </c>
      <c r="W508" s="26">
        <f>Raw_Data!T499</f>
        <v>135</v>
      </c>
      <c r="X508" s="25" t="str">
        <f>IF(ISNUMBER(SEARCH("Y",UPPER(TRIM(Raw_Data!U499)))),"Yes","No")</f>
        <v>Yes</v>
      </c>
      <c r="Y508" s="25" t="str">
        <f>IF(ISNUMBER(SEARCH("Y",UPPER(TRIM(Raw_Data!V499)))),"Yes","No")</f>
        <v>Yes</v>
      </c>
      <c r="Z508" s="26">
        <f>Raw_Data!W499</f>
        <v>5</v>
      </c>
      <c r="AA508" s="26">
        <f>Raw_Data!X499</f>
        <v>5.2</v>
      </c>
      <c r="AB508" s="25" t="str">
        <f>IF(COUNTIFS(Raw_Data!$A$2:$A$616,Raw_Data!A499)&gt;1,"Duplicate","Unique")</f>
        <v>Unique</v>
      </c>
      <c r="AC508" s="25" t="str">
        <f t="shared" si="23"/>
        <v>Clean</v>
      </c>
    </row>
    <row r="509" spans="1:29" ht="15" customHeight="1">
      <c r="A509" s="23" t="str">
        <f>Raw_Data!A500</f>
        <v>BYJ1499</v>
      </c>
      <c r="B509" s="23" t="str">
        <f>Raw_Data!B500</f>
        <v>Eiravati Bhavsar</v>
      </c>
      <c r="C509" s="24">
        <f>IF(OR(Raw_Data!C500="",Raw_Data!C500&lt;$C$5,Raw_Data!C500&gt;$C$6),$C$4,Raw_Data!C500)</f>
        <v>8</v>
      </c>
      <c r="D509" s="23" t="str">
        <f>IF(Raw_Data!C500="","Missing-Imputed",IF(OR(Raw_Data!C500&lt;$C$5,Raw_Data!C500&gt;$C$6),"Outlier-Imputed","Original"))</f>
        <v>Original</v>
      </c>
      <c r="E509" s="23" t="str">
        <f>IF(OR(UPPER(TRIM(Raw_Data!D500))="M",UPPER(TRIM(Raw_Data!D500))="MALE"),"Male","Female")</f>
        <v>Female</v>
      </c>
      <c r="F509" s="23" t="str">
        <f>PROPER(TRIM(Raw_Data!E500))</f>
        <v>Varanasi</v>
      </c>
      <c r="G509" s="23" t="str">
        <f>PROPER(TRIM(Raw_Data!F500))</f>
        <v>Kerala</v>
      </c>
      <c r="H509" s="23" t="str">
        <f>PROPER(TRIM(Raw_Data!G500))</f>
        <v>Mathematics</v>
      </c>
      <c r="I509" s="23" t="str">
        <f>PROPER(TRIM(Raw_Data!H500))</f>
        <v>Ahmedabad Center</v>
      </c>
      <c r="J509" s="24">
        <f>IF(LEN(TRIM(Raw_Data!I500))=4,VALUE(TRIM(Raw_Data!I500)),IF(ISNUMBER(IFERROR(VALUE(MID(TRIM(Raw_Data!I500),1,4)),"NA")),VALUE(MID(TRIM(Raw_Data!I500),1,4)),VALUE(RIGHT(TRIM(Raw_Data!I500),4))))</f>
        <v>2022</v>
      </c>
      <c r="K509" s="23" t="str">
        <f>PROPER(TRIM(Raw_Data!J500))</f>
        <v>Homemaker</v>
      </c>
      <c r="L509" s="23" t="str">
        <f t="shared" si="21"/>
        <v>Under 10</v>
      </c>
      <c r="M509" s="23" t="str">
        <f t="shared" si="22"/>
        <v>Kids</v>
      </c>
      <c r="N509" s="23" t="str">
        <f>IF(ISNUMBER(SEARCH("NON",UPPER(Raw_Data!M500))),"Non-Premium Learner","Premium Learner")</f>
        <v>Non-Premium Learner</v>
      </c>
      <c r="O509" s="23" t="str">
        <f>PROPER(TRIM(Raw_Data!N500))</f>
        <v>Web Only</v>
      </c>
      <c r="P509" s="24">
        <f>IF(Raw_Data!O500="",$C$7,Raw_Data!O500)</f>
        <v>48540.959999999999</v>
      </c>
      <c r="Q509" s="23" t="str">
        <f>IF(Raw_Data!O500="","Missing-Imputed","Original")</f>
        <v>Original</v>
      </c>
      <c r="R509" s="24">
        <f>Raw_Data!P500</f>
        <v>7.9</v>
      </c>
      <c r="S509" s="24">
        <f>Raw_Data!Q500</f>
        <v>13768.38</v>
      </c>
      <c r="T509" s="23" t="str">
        <f>IF(Raw_Data!R500="","Unknown",IF(ISNUMBER(SEARCH("ACT",UPPER(Raw_Data!R500))),"Active",IF(ISNUMBER(SEARCH("CLOS",UPPER(Raw_Data!R500))),"Closed","None")))</f>
        <v>None</v>
      </c>
      <c r="U509" s="24">
        <f>IF(Raw_Data!S500="",$C$8,VALUE(Raw_Data!S500))</f>
        <v>704</v>
      </c>
      <c r="V509" s="23" t="str">
        <f>IF(Raw_Data!S500="","Missing-Imputed","Original")</f>
        <v>Original</v>
      </c>
      <c r="W509" s="24">
        <f>Raw_Data!T500</f>
        <v>135</v>
      </c>
      <c r="X509" s="23" t="str">
        <f>IF(ISNUMBER(SEARCH("Y",UPPER(TRIM(Raw_Data!U500)))),"Yes","No")</f>
        <v>Yes</v>
      </c>
      <c r="Y509" s="23" t="str">
        <f>IF(ISNUMBER(SEARCH("Y",UPPER(TRIM(Raw_Data!V500)))),"Yes","No")</f>
        <v>Yes</v>
      </c>
      <c r="Z509" s="24">
        <f>Raw_Data!W500</f>
        <v>2</v>
      </c>
      <c r="AA509" s="24">
        <f>Raw_Data!X500</f>
        <v>3.9</v>
      </c>
      <c r="AB509" s="23" t="str">
        <f>IF(COUNTIFS(Raw_Data!$A$2:$A$616,Raw_Data!A500)&gt;1,"Duplicate","Unique")</f>
        <v>Unique</v>
      </c>
      <c r="AC509" s="23" t="str">
        <f t="shared" si="23"/>
        <v>Clean</v>
      </c>
    </row>
    <row r="510" spans="1:29" ht="15" customHeight="1">
      <c r="A510" s="25" t="str">
        <f>Raw_Data!A501</f>
        <v>BYJ1500</v>
      </c>
      <c r="B510" s="25" t="str">
        <f>Raw_Data!B501</f>
        <v>Arin Oza</v>
      </c>
      <c r="C510" s="26">
        <f>IF(OR(Raw_Data!C501="",Raw_Data!C501&lt;$C$5,Raw_Data!C501&gt;$C$6),$C$4,Raw_Data!C501)</f>
        <v>23</v>
      </c>
      <c r="D510" s="25" t="str">
        <f>IF(Raw_Data!C501="","Missing-Imputed",IF(OR(Raw_Data!C501&lt;$C$5,Raw_Data!C501&gt;$C$6),"Outlier-Imputed","Original"))</f>
        <v>Original</v>
      </c>
      <c r="E510" s="25" t="str">
        <f>IF(OR(UPPER(TRIM(Raw_Data!D501))="M",UPPER(TRIM(Raw_Data!D501))="MALE"),"Male","Female")</f>
        <v>Female</v>
      </c>
      <c r="F510" s="25" t="str">
        <f>PROPER(TRIM(Raw_Data!E501))</f>
        <v>Dehradun</v>
      </c>
      <c r="G510" s="25" t="str">
        <f>PROPER(TRIM(Raw_Data!F501))</f>
        <v>Telangana</v>
      </c>
      <c r="H510" s="25" t="str">
        <f>PROPER(TRIM(Raw_Data!G501))</f>
        <v>Coding</v>
      </c>
      <c r="I510" s="25" t="str">
        <f>PROPER(TRIM(Raw_Data!H501))</f>
        <v>Ahmedabad Center</v>
      </c>
      <c r="J510" s="26">
        <f>IF(LEN(TRIM(Raw_Data!I501))=4,VALUE(TRIM(Raw_Data!I501)),IF(ISNUMBER(IFERROR(VALUE(MID(TRIM(Raw_Data!I501),1,4)),"NA")),VALUE(MID(TRIM(Raw_Data!I501),1,4)),VALUE(RIGHT(TRIM(Raw_Data!I501),4))))</f>
        <v>2025</v>
      </c>
      <c r="K510" s="25" t="str">
        <f>PROPER(TRIM(Raw_Data!J501))</f>
        <v>Salaried</v>
      </c>
      <c r="L510" s="25" t="str">
        <f t="shared" si="21"/>
        <v>20+</v>
      </c>
      <c r="M510" s="25" t="str">
        <f t="shared" si="22"/>
        <v>Adult Learners</v>
      </c>
      <c r="N510" s="25" t="str">
        <f>IF(ISNUMBER(SEARCH("NON",UPPER(Raw_Data!M501))),"Non-Premium Learner","Premium Learner")</f>
        <v>Non-Premium Learner</v>
      </c>
      <c r="O510" s="25" t="str">
        <f>PROPER(TRIM(Raw_Data!N501))</f>
        <v>Web Only</v>
      </c>
      <c r="P510" s="26">
        <f>IF(Raw_Data!O501="",$C$7,Raw_Data!O501)</f>
        <v>86309.43</v>
      </c>
      <c r="Q510" s="25" t="str">
        <f>IF(Raw_Data!O501="","Missing-Imputed","Original")</f>
        <v>Original</v>
      </c>
      <c r="R510" s="26">
        <f>Raw_Data!P501</f>
        <v>45.9</v>
      </c>
      <c r="S510" s="26">
        <f>Raw_Data!Q501</f>
        <v>12015.42</v>
      </c>
      <c r="T510" s="25" t="str">
        <f>IF(Raw_Data!R501="","Unknown",IF(ISNUMBER(SEARCH("ACT",UPPER(Raw_Data!R501))),"Active",IF(ISNUMBER(SEARCH("CLOS",UPPER(Raw_Data!R501))),"Closed","None")))</f>
        <v>None</v>
      </c>
      <c r="U510" s="26">
        <f>IF(Raw_Data!S501="",$C$8,VALUE(Raw_Data!S501))</f>
        <v>381</v>
      </c>
      <c r="V510" s="25" t="str">
        <f>IF(Raw_Data!S501="","Missing-Imputed","Original")</f>
        <v>Original</v>
      </c>
      <c r="W510" s="26">
        <f>Raw_Data!T501</f>
        <v>62</v>
      </c>
      <c r="X510" s="25" t="str">
        <f>IF(ISNUMBER(SEARCH("Y",UPPER(TRIM(Raw_Data!U501)))),"Yes","No")</f>
        <v>No</v>
      </c>
      <c r="Y510" s="25" t="str">
        <f>IF(ISNUMBER(SEARCH("Y",UPPER(TRIM(Raw_Data!V501)))),"Yes","No")</f>
        <v>Yes</v>
      </c>
      <c r="Z510" s="26">
        <f>Raw_Data!W501</f>
        <v>3</v>
      </c>
      <c r="AA510" s="26">
        <f>Raw_Data!X501</f>
        <v>1.9</v>
      </c>
      <c r="AB510" s="25" t="str">
        <f>IF(COUNTIFS(Raw_Data!$A$2:$A$616,Raw_Data!A501)&gt;1,"Duplicate","Unique")</f>
        <v>Unique</v>
      </c>
      <c r="AC510" s="25" t="str">
        <f t="shared" si="23"/>
        <v>Clean</v>
      </c>
    </row>
    <row r="511" spans="1:29" ht="15" customHeight="1">
      <c r="A511" s="23" t="str">
        <f>Raw_Data!A502</f>
        <v>BYJ1501</v>
      </c>
      <c r="B511" s="23" t="str">
        <f>Raw_Data!B502</f>
        <v>Zaitra Ghosh</v>
      </c>
      <c r="C511" s="24">
        <f>IF(OR(Raw_Data!C502="",Raw_Data!C502&lt;$C$5,Raw_Data!C502&gt;$C$6),$C$4,Raw_Data!C502)</f>
        <v>16</v>
      </c>
      <c r="D511" s="23" t="str">
        <f>IF(Raw_Data!C502="","Missing-Imputed",IF(OR(Raw_Data!C502&lt;$C$5,Raw_Data!C502&gt;$C$6),"Outlier-Imputed","Original"))</f>
        <v>Original</v>
      </c>
      <c r="E511" s="23" t="str">
        <f>IF(OR(UPPER(TRIM(Raw_Data!D502))="M",UPPER(TRIM(Raw_Data!D502))="MALE"),"Male","Female")</f>
        <v>Female</v>
      </c>
      <c r="F511" s="23" t="str">
        <f>PROPER(TRIM(Raw_Data!E502))</f>
        <v>Bathinda</v>
      </c>
      <c r="G511" s="23" t="str">
        <f>PROPER(TRIM(Raw_Data!F502))</f>
        <v>Gujarat</v>
      </c>
      <c r="H511" s="23" t="str">
        <f>PROPER(TRIM(Raw_Data!G502))</f>
        <v>Mathematics</v>
      </c>
      <c r="I511" s="23" t="str">
        <f>PROPER(TRIM(Raw_Data!H502))</f>
        <v>Hyderabad Hub</v>
      </c>
      <c r="J511" s="24">
        <f>IF(LEN(TRIM(Raw_Data!I502))=4,VALUE(TRIM(Raw_Data!I502)),IF(ISNUMBER(IFERROR(VALUE(MID(TRIM(Raw_Data!I502),1,4)),"NA")),VALUE(MID(TRIM(Raw_Data!I502),1,4)),VALUE(RIGHT(TRIM(Raw_Data!I502),4))))</f>
        <v>2020</v>
      </c>
      <c r="K511" s="23" t="str">
        <f>PROPER(TRIM(Raw_Data!J502))</f>
        <v>Salaried</v>
      </c>
      <c r="L511" s="23" t="str">
        <f t="shared" si="21"/>
        <v>14-16</v>
      </c>
      <c r="M511" s="23" t="str">
        <f t="shared" si="22"/>
        <v>Teens</v>
      </c>
      <c r="N511" s="23" t="str">
        <f>IF(ISNUMBER(SEARCH("NON",UPPER(Raw_Data!M502))),"Non-Premium Learner","Premium Learner")</f>
        <v>Non-Premium Learner</v>
      </c>
      <c r="O511" s="23" t="str">
        <f>PROPER(TRIM(Raw_Data!N502))</f>
        <v>App Only</v>
      </c>
      <c r="P511" s="24">
        <f>IF(Raw_Data!O502="",$C$7,Raw_Data!O502)</f>
        <v>143269.9</v>
      </c>
      <c r="Q511" s="23" t="str">
        <f>IF(Raw_Data!O502="","Missing-Imputed","Original")</f>
        <v>Original</v>
      </c>
      <c r="R511" s="24">
        <f>Raw_Data!P502</f>
        <v>62.8</v>
      </c>
      <c r="S511" s="24">
        <f>Raw_Data!Q502</f>
        <v>45506.87</v>
      </c>
      <c r="T511" s="23" t="str">
        <f>IF(Raw_Data!R502="","Unknown",IF(ISNUMBER(SEARCH("ACT",UPPER(Raw_Data!R502))),"Active",IF(ISNUMBER(SEARCH("CLOS",UPPER(Raw_Data!R502))),"Closed","None")))</f>
        <v>Closed</v>
      </c>
      <c r="U511" s="24">
        <f>IF(Raw_Data!S502="",$C$8,VALUE(Raw_Data!S502))</f>
        <v>416</v>
      </c>
      <c r="V511" s="23" t="str">
        <f>IF(Raw_Data!S502="","Missing-Imputed","Original")</f>
        <v>Original</v>
      </c>
      <c r="W511" s="24">
        <f>Raw_Data!T502</f>
        <v>86</v>
      </c>
      <c r="X511" s="23" t="str">
        <f>IF(ISNUMBER(SEARCH("Y",UPPER(TRIM(Raw_Data!U502)))),"Yes","No")</f>
        <v>Yes</v>
      </c>
      <c r="Y511" s="23" t="str">
        <f>IF(ISNUMBER(SEARCH("Y",UPPER(TRIM(Raw_Data!V502)))),"Yes","No")</f>
        <v>Yes</v>
      </c>
      <c r="Z511" s="24">
        <f>Raw_Data!W502</f>
        <v>5</v>
      </c>
      <c r="AA511" s="24">
        <f>Raw_Data!X502</f>
        <v>2.9</v>
      </c>
      <c r="AB511" s="23" t="str">
        <f>IF(COUNTIFS(Raw_Data!$A$2:$A$616,Raw_Data!A502)&gt;1,"Duplicate","Unique")</f>
        <v>Unique</v>
      </c>
      <c r="AC511" s="23" t="str">
        <f t="shared" si="23"/>
        <v>Clean</v>
      </c>
    </row>
    <row r="512" spans="1:29" ht="15" customHeight="1">
      <c r="A512" s="25" t="str">
        <f>Raw_Data!A503</f>
        <v>BYJ1502</v>
      </c>
      <c r="B512" s="25" t="str">
        <f>Raw_Data!B503</f>
        <v>Turvi Kata</v>
      </c>
      <c r="C512" s="26">
        <f>IF(OR(Raw_Data!C503="",Raw_Data!C503&lt;$C$5,Raw_Data!C503&gt;$C$6),$C$4,Raw_Data!C503)</f>
        <v>28</v>
      </c>
      <c r="D512" s="25" t="str">
        <f>IF(Raw_Data!C503="","Missing-Imputed",IF(OR(Raw_Data!C503&lt;$C$5,Raw_Data!C503&gt;$C$6),"Outlier-Imputed","Original"))</f>
        <v>Original</v>
      </c>
      <c r="E512" s="25" t="str">
        <f>IF(OR(UPPER(TRIM(Raw_Data!D503))="M",UPPER(TRIM(Raw_Data!D503))="MALE"),"Male","Female")</f>
        <v>Male</v>
      </c>
      <c r="F512" s="25" t="str">
        <f>PROPER(TRIM(Raw_Data!E503))</f>
        <v>Udaipur</v>
      </c>
      <c r="G512" s="25" t="str">
        <f>PROPER(TRIM(Raw_Data!F503))</f>
        <v>Uttar Pradesh</v>
      </c>
      <c r="H512" s="25" t="str">
        <f>PROPER(TRIM(Raw_Data!G503))</f>
        <v>Jee Prep</v>
      </c>
      <c r="I512" s="25" t="str">
        <f>PROPER(TRIM(Raw_Data!H503))</f>
        <v>Chennai Central</v>
      </c>
      <c r="J512" s="26">
        <f>IF(LEN(TRIM(Raw_Data!I503))=4,VALUE(TRIM(Raw_Data!I503)),IF(ISNUMBER(IFERROR(VALUE(MID(TRIM(Raw_Data!I503),1,4)),"NA")),VALUE(MID(TRIM(Raw_Data!I503),1,4)),VALUE(RIGHT(TRIM(Raw_Data!I503),4))))</f>
        <v>2025</v>
      </c>
      <c r="K512" s="25" t="str">
        <f>PROPER(TRIM(Raw_Data!J503))</f>
        <v>Business</v>
      </c>
      <c r="L512" s="25" t="str">
        <f t="shared" si="21"/>
        <v>20+</v>
      </c>
      <c r="M512" s="25" t="str">
        <f t="shared" si="22"/>
        <v>Adult Learners</v>
      </c>
      <c r="N512" s="25" t="str">
        <f>IF(ISNUMBER(SEARCH("NON",UPPER(Raw_Data!M503))),"Non-Premium Learner","Premium Learner")</f>
        <v>Non-Premium Learner</v>
      </c>
      <c r="O512" s="25" t="str">
        <f>PROPER(TRIM(Raw_Data!N503))</f>
        <v>Both App &amp; Web</v>
      </c>
      <c r="P512" s="26">
        <f>IF(Raw_Data!O503="",$C$7,Raw_Data!O503)</f>
        <v>82547.34</v>
      </c>
      <c r="Q512" s="25" t="str">
        <f>IF(Raw_Data!O503="","Missing-Imputed","Original")</f>
        <v>Original</v>
      </c>
      <c r="R512" s="26">
        <f>Raw_Data!P503</f>
        <v>74.400000000000006</v>
      </c>
      <c r="S512" s="26">
        <f>Raw_Data!Q503</f>
        <v>37894.22</v>
      </c>
      <c r="T512" s="25" t="str">
        <f>IF(Raw_Data!R503="","Unknown",IF(ISNUMBER(SEARCH("ACT",UPPER(Raw_Data!R503))),"Active",IF(ISNUMBER(SEARCH("CLOS",UPPER(Raw_Data!R503))),"Closed","None")))</f>
        <v>Active</v>
      </c>
      <c r="U512" s="26">
        <f>IF(Raw_Data!S503="",$C$8,VALUE(Raw_Data!S503))</f>
        <v>698</v>
      </c>
      <c r="V512" s="25" t="str">
        <f>IF(Raw_Data!S503="","Missing-Imputed","Original")</f>
        <v>Original</v>
      </c>
      <c r="W512" s="26">
        <f>Raw_Data!T503</f>
        <v>110</v>
      </c>
      <c r="X512" s="25" t="str">
        <f>IF(ISNUMBER(SEARCH("Y",UPPER(TRIM(Raw_Data!U503)))),"Yes","No")</f>
        <v>Yes</v>
      </c>
      <c r="Y512" s="25" t="str">
        <f>IF(ISNUMBER(SEARCH("Y",UPPER(TRIM(Raw_Data!V503)))),"Yes","No")</f>
        <v>Yes</v>
      </c>
      <c r="Z512" s="26">
        <f>Raw_Data!W503</f>
        <v>2</v>
      </c>
      <c r="AA512" s="26">
        <f>Raw_Data!X503</f>
        <v>5.8</v>
      </c>
      <c r="AB512" s="25" t="str">
        <f>IF(COUNTIFS(Raw_Data!$A$2:$A$616,Raw_Data!A503)&gt;1,"Duplicate","Unique")</f>
        <v>Unique</v>
      </c>
      <c r="AC512" s="25" t="str">
        <f t="shared" si="23"/>
        <v>Clean</v>
      </c>
    </row>
    <row r="513" spans="1:29" ht="15" customHeight="1">
      <c r="A513" s="23" t="str">
        <f>Raw_Data!A504</f>
        <v>BYJ1503</v>
      </c>
      <c r="B513" s="23" t="str">
        <f>Raw_Data!B504</f>
        <v>Rachana Randhawa</v>
      </c>
      <c r="C513" s="24">
        <f>IF(OR(Raw_Data!C504="",Raw_Data!C504&lt;$C$5,Raw_Data!C504&gt;$C$6),$C$4,Raw_Data!C504)</f>
        <v>10</v>
      </c>
      <c r="D513" s="23" t="str">
        <f>IF(Raw_Data!C504="","Missing-Imputed",IF(OR(Raw_Data!C504&lt;$C$5,Raw_Data!C504&gt;$C$6),"Outlier-Imputed","Original"))</f>
        <v>Original</v>
      </c>
      <c r="E513" s="23" t="str">
        <f>IF(OR(UPPER(TRIM(Raw_Data!D504))="M",UPPER(TRIM(Raw_Data!D504))="MALE"),"Male","Female")</f>
        <v>Male</v>
      </c>
      <c r="F513" s="23" t="str">
        <f>PROPER(TRIM(Raw_Data!E504))</f>
        <v>Srikakulam</v>
      </c>
      <c r="G513" s="23" t="str">
        <f>PROPER(TRIM(Raw_Data!F504))</f>
        <v>Rajasthan</v>
      </c>
      <c r="H513" s="23" t="str">
        <f>PROPER(TRIM(Raw_Data!G504))</f>
        <v>Robotics</v>
      </c>
      <c r="I513" s="23" t="str">
        <f>PROPER(TRIM(Raw_Data!H504))</f>
        <v>Pune East</v>
      </c>
      <c r="J513" s="24">
        <f>IF(LEN(TRIM(Raw_Data!I504))=4,VALUE(TRIM(Raw_Data!I504)),IF(ISNUMBER(IFERROR(VALUE(MID(TRIM(Raw_Data!I504),1,4)),"NA")),VALUE(MID(TRIM(Raw_Data!I504),1,4)),VALUE(RIGHT(TRIM(Raw_Data!I504),4))))</f>
        <v>2021</v>
      </c>
      <c r="K513" s="23" t="str">
        <f>PROPER(TRIM(Raw_Data!J504))</f>
        <v>Self-Employed</v>
      </c>
      <c r="L513" s="23" t="str">
        <f t="shared" si="21"/>
        <v>10-13</v>
      </c>
      <c r="M513" s="23" t="str">
        <f t="shared" si="22"/>
        <v>Kids</v>
      </c>
      <c r="N513" s="23" t="str">
        <f>IF(ISNUMBER(SEARCH("NON",UPPER(Raw_Data!M504))),"Non-Premium Learner","Premium Learner")</f>
        <v>Premium Learner</v>
      </c>
      <c r="O513" s="23" t="str">
        <f>PROPER(TRIM(Raw_Data!N504))</f>
        <v>App Only</v>
      </c>
      <c r="P513" s="24">
        <f>IF(Raw_Data!O504="",$C$7,Raw_Data!O504)</f>
        <v>148211.04999999999</v>
      </c>
      <c r="Q513" s="23" t="str">
        <f>IF(Raw_Data!O504="","Missing-Imputed","Original")</f>
        <v>Original</v>
      </c>
      <c r="R513" s="24">
        <f>Raw_Data!P504</f>
        <v>53.7</v>
      </c>
      <c r="S513" s="24">
        <f>Raw_Data!Q504</f>
        <v>24932.02</v>
      </c>
      <c r="T513" s="23" t="str">
        <f>IF(Raw_Data!R504="","Unknown",IF(ISNUMBER(SEARCH("ACT",UPPER(Raw_Data!R504))),"Active",IF(ISNUMBER(SEARCH("CLOS",UPPER(Raw_Data!R504))),"Closed","None")))</f>
        <v>Active</v>
      </c>
      <c r="U513" s="24">
        <f>IF(Raw_Data!S504="",$C$8,VALUE(Raw_Data!S504))</f>
        <v>774</v>
      </c>
      <c r="V513" s="23" t="str">
        <f>IF(Raw_Data!S504="","Missing-Imputed","Original")</f>
        <v>Original</v>
      </c>
      <c r="W513" s="24">
        <f>Raw_Data!T504</f>
        <v>24</v>
      </c>
      <c r="X513" s="23" t="str">
        <f>IF(ISNUMBER(SEARCH("Y",UPPER(TRIM(Raw_Data!U504)))),"Yes","No")</f>
        <v>Yes</v>
      </c>
      <c r="Y513" s="23" t="str">
        <f>IF(ISNUMBER(SEARCH("Y",UPPER(TRIM(Raw_Data!V504)))),"Yes","No")</f>
        <v>No</v>
      </c>
      <c r="Z513" s="24">
        <f>Raw_Data!W504</f>
        <v>5</v>
      </c>
      <c r="AA513" s="24">
        <f>Raw_Data!X504</f>
        <v>9</v>
      </c>
      <c r="AB513" s="23" t="str">
        <f>IF(COUNTIFS(Raw_Data!$A$2:$A$616,Raw_Data!A504)&gt;1,"Duplicate","Unique")</f>
        <v>Unique</v>
      </c>
      <c r="AC513" s="23" t="str">
        <f t="shared" si="23"/>
        <v>Clean</v>
      </c>
    </row>
    <row r="514" spans="1:29" ht="15" customHeight="1">
      <c r="A514" s="25" t="str">
        <f>Raw_Data!A505</f>
        <v>BYJ1504</v>
      </c>
      <c r="B514" s="25" t="str">
        <f>Raw_Data!B505</f>
        <v>Shivani Sanghvi</v>
      </c>
      <c r="C514" s="26">
        <f>IF(OR(Raw_Data!C505="",Raw_Data!C505&lt;$C$5,Raw_Data!C505&gt;$C$6),$C$4,Raw_Data!C505)</f>
        <v>45</v>
      </c>
      <c r="D514" s="25" t="str">
        <f>IF(Raw_Data!C505="","Missing-Imputed",IF(OR(Raw_Data!C505&lt;$C$5,Raw_Data!C505&gt;$C$6),"Outlier-Imputed","Original"))</f>
        <v>Original</v>
      </c>
      <c r="E514" s="25" t="str">
        <f>IF(OR(UPPER(TRIM(Raw_Data!D505))="M",UPPER(TRIM(Raw_Data!D505))="MALE"),"Male","Female")</f>
        <v>Male</v>
      </c>
      <c r="F514" s="25" t="str">
        <f>PROPER(TRIM(Raw_Data!E505))</f>
        <v>Kolkata</v>
      </c>
      <c r="G514" s="25" t="str">
        <f>PROPER(TRIM(Raw_Data!F505))</f>
        <v>Uttar Pradesh</v>
      </c>
      <c r="H514" s="25" t="str">
        <f>PROPER(TRIM(Raw_Data!G505))</f>
        <v>Robotics</v>
      </c>
      <c r="I514" s="25" t="str">
        <f>PROPER(TRIM(Raw_Data!H505))</f>
        <v>Hyderabad Hub</v>
      </c>
      <c r="J514" s="26">
        <f>IF(LEN(TRIM(Raw_Data!I505))=4,VALUE(TRIM(Raw_Data!I505)),IF(ISNUMBER(IFERROR(VALUE(MID(TRIM(Raw_Data!I505),1,4)),"NA")),VALUE(MID(TRIM(Raw_Data!I505),1,4)),VALUE(RIGHT(TRIM(Raw_Data!I505),4))))</f>
        <v>2016</v>
      </c>
      <c r="K514" s="25" t="str">
        <f>PROPER(TRIM(Raw_Data!J505))</f>
        <v>Retired</v>
      </c>
      <c r="L514" s="25" t="str">
        <f t="shared" si="21"/>
        <v>20+</v>
      </c>
      <c r="M514" s="25" t="str">
        <f t="shared" si="22"/>
        <v>Adult Learners</v>
      </c>
      <c r="N514" s="25" t="str">
        <f>IF(ISNUMBER(SEARCH("NON",UPPER(Raw_Data!M505))),"Non-Premium Learner","Premium Learner")</f>
        <v>Non-Premium Learner</v>
      </c>
      <c r="O514" s="25" t="str">
        <f>PROPER(TRIM(Raw_Data!N505))</f>
        <v>Web Only</v>
      </c>
      <c r="P514" s="26">
        <f>IF(Raw_Data!O505="",$C$7,Raw_Data!O505)</f>
        <v>123275.54</v>
      </c>
      <c r="Q514" s="25" t="str">
        <f>IF(Raw_Data!O505="","Missing-Imputed","Original")</f>
        <v>Original</v>
      </c>
      <c r="R514" s="26">
        <f>Raw_Data!P505</f>
        <v>26.1</v>
      </c>
      <c r="S514" s="26">
        <f>Raw_Data!Q505</f>
        <v>50984.22</v>
      </c>
      <c r="T514" s="25" t="str">
        <f>IF(Raw_Data!R505="","Unknown",IF(ISNUMBER(SEARCH("ACT",UPPER(Raw_Data!R505))),"Active",IF(ISNUMBER(SEARCH("CLOS",UPPER(Raw_Data!R505))),"Closed","None")))</f>
        <v>Active</v>
      </c>
      <c r="U514" s="26">
        <f>IF(Raw_Data!S505="",$C$8,VALUE(Raw_Data!S505))</f>
        <v>376</v>
      </c>
      <c r="V514" s="25" t="str">
        <f>IF(Raw_Data!S505="","Missing-Imputed","Original")</f>
        <v>Original</v>
      </c>
      <c r="W514" s="26">
        <f>Raw_Data!T505</f>
        <v>189</v>
      </c>
      <c r="X514" s="25" t="str">
        <f>IF(ISNUMBER(SEARCH("Y",UPPER(TRIM(Raw_Data!U505)))),"Yes","No")</f>
        <v>No</v>
      </c>
      <c r="Y514" s="25" t="str">
        <f>IF(ISNUMBER(SEARCH("Y",UPPER(TRIM(Raw_Data!V505)))),"Yes","No")</f>
        <v>Yes</v>
      </c>
      <c r="Z514" s="26">
        <f>Raw_Data!W505</f>
        <v>3</v>
      </c>
      <c r="AA514" s="26">
        <f>Raw_Data!X505</f>
        <v>3.3</v>
      </c>
      <c r="AB514" s="25" t="str">
        <f>IF(COUNTIFS(Raw_Data!$A$2:$A$616,Raw_Data!A505)&gt;1,"Duplicate","Unique")</f>
        <v>Unique</v>
      </c>
      <c r="AC514" s="25" t="str">
        <f t="shared" si="23"/>
        <v>Clean</v>
      </c>
    </row>
    <row r="515" spans="1:29" ht="15" customHeight="1">
      <c r="A515" s="23" t="str">
        <f>Raw_Data!A506</f>
        <v>BYJ1505</v>
      </c>
      <c r="B515" s="23" t="str">
        <f>Raw_Data!B506</f>
        <v>Samesh Mallick</v>
      </c>
      <c r="C515" s="24">
        <f>IF(OR(Raw_Data!C506="",Raw_Data!C506&lt;$C$5,Raw_Data!C506&gt;$C$6),$C$4,Raw_Data!C506)</f>
        <v>39</v>
      </c>
      <c r="D515" s="23" t="str">
        <f>IF(Raw_Data!C506="","Missing-Imputed",IF(OR(Raw_Data!C506&lt;$C$5,Raw_Data!C506&gt;$C$6),"Outlier-Imputed","Original"))</f>
        <v>Original</v>
      </c>
      <c r="E515" s="23" t="str">
        <f>IF(OR(UPPER(TRIM(Raw_Data!D506))="M",UPPER(TRIM(Raw_Data!D506))="MALE"),"Male","Female")</f>
        <v>Male</v>
      </c>
      <c r="F515" s="23" t="str">
        <f>PROPER(TRIM(Raw_Data!E506))</f>
        <v>Gangtok</v>
      </c>
      <c r="G515" s="23" t="str">
        <f>PROPER(TRIM(Raw_Data!F506))</f>
        <v>Telangana</v>
      </c>
      <c r="H515" s="23" t="str">
        <f>PROPER(TRIM(Raw_Data!G506))</f>
        <v>Neet Prep</v>
      </c>
      <c r="I515" s="23" t="str">
        <f>PROPER(TRIM(Raw_Data!H506))</f>
        <v>Pune East</v>
      </c>
      <c r="J515" s="24">
        <f>IF(LEN(TRIM(Raw_Data!I506))=4,VALUE(TRIM(Raw_Data!I506)),IF(ISNUMBER(IFERROR(VALUE(MID(TRIM(Raw_Data!I506),1,4)),"NA")),VALUE(MID(TRIM(Raw_Data!I506),1,4)),VALUE(RIGHT(TRIM(Raw_Data!I506),4))))</f>
        <v>2017</v>
      </c>
      <c r="K515" s="23" t="str">
        <f>PROPER(TRIM(Raw_Data!J506))</f>
        <v>Government Employee</v>
      </c>
      <c r="L515" s="23" t="str">
        <f t="shared" si="21"/>
        <v>20+</v>
      </c>
      <c r="M515" s="23" t="str">
        <f t="shared" si="22"/>
        <v>Adult Learners</v>
      </c>
      <c r="N515" s="23" t="str">
        <f>IF(ISNUMBER(SEARCH("NON",UPPER(Raw_Data!M506))),"Non-Premium Learner","Premium Learner")</f>
        <v>Non-Premium Learner</v>
      </c>
      <c r="O515" s="23" t="str">
        <f>PROPER(TRIM(Raw_Data!N506))</f>
        <v>Web Only</v>
      </c>
      <c r="P515" s="24">
        <f>IF(Raw_Data!O506="",$C$7,Raw_Data!O506)</f>
        <v>50165.84</v>
      </c>
      <c r="Q515" s="23" t="str">
        <f>IF(Raw_Data!O506="","Missing-Imputed","Original")</f>
        <v>Original</v>
      </c>
      <c r="R515" s="24">
        <f>Raw_Data!P506</f>
        <v>61.6</v>
      </c>
      <c r="S515" s="24">
        <f>Raw_Data!Q506</f>
        <v>54778.39</v>
      </c>
      <c r="T515" s="23" t="str">
        <f>IF(Raw_Data!R506="","Unknown",IF(ISNUMBER(SEARCH("ACT",UPPER(Raw_Data!R506))),"Active",IF(ISNUMBER(SEARCH("CLOS",UPPER(Raw_Data!R506))),"Closed","None")))</f>
        <v>Active</v>
      </c>
      <c r="U515" s="24">
        <f>IF(Raw_Data!S506="",$C$8,VALUE(Raw_Data!S506))</f>
        <v>865</v>
      </c>
      <c r="V515" s="23" t="str">
        <f>IF(Raw_Data!S506="","Missing-Imputed","Original")</f>
        <v>Original</v>
      </c>
      <c r="W515" s="24">
        <f>Raw_Data!T506</f>
        <v>25</v>
      </c>
      <c r="X515" s="23" t="str">
        <f>IF(ISNUMBER(SEARCH("Y",UPPER(TRIM(Raw_Data!U506)))),"Yes","No")</f>
        <v>No</v>
      </c>
      <c r="Y515" s="23" t="str">
        <f>IF(ISNUMBER(SEARCH("Y",UPPER(TRIM(Raw_Data!V506)))),"Yes","No")</f>
        <v>No</v>
      </c>
      <c r="Z515" s="24">
        <f>Raw_Data!W506</f>
        <v>1</v>
      </c>
      <c r="AA515" s="24">
        <f>Raw_Data!X506</f>
        <v>6.1</v>
      </c>
      <c r="AB515" s="23" t="str">
        <f>IF(COUNTIFS(Raw_Data!$A$2:$A$616,Raw_Data!A506)&gt;1,"Duplicate","Unique")</f>
        <v>Unique</v>
      </c>
      <c r="AC515" s="23" t="str">
        <f t="shared" si="23"/>
        <v>Clean</v>
      </c>
    </row>
    <row r="516" spans="1:29" ht="15" customHeight="1">
      <c r="A516" s="25" t="str">
        <f>Raw_Data!A507</f>
        <v>BYJ1506</v>
      </c>
      <c r="B516" s="25" t="str">
        <f>Raw_Data!B507</f>
        <v>Rachit Pau</v>
      </c>
      <c r="C516" s="26">
        <f>IF(OR(Raw_Data!C507="",Raw_Data!C507&lt;$C$5,Raw_Data!C507&gt;$C$6),$C$4,Raw_Data!C507)</f>
        <v>10</v>
      </c>
      <c r="D516" s="25" t="str">
        <f>IF(Raw_Data!C507="","Missing-Imputed",IF(OR(Raw_Data!C507&lt;$C$5,Raw_Data!C507&gt;$C$6),"Outlier-Imputed","Original"))</f>
        <v>Original</v>
      </c>
      <c r="E516" s="25" t="str">
        <f>IF(OR(UPPER(TRIM(Raw_Data!D507))="M",UPPER(TRIM(Raw_Data!D507))="MALE"),"Male","Female")</f>
        <v>Male</v>
      </c>
      <c r="F516" s="25" t="str">
        <f>PROPER(TRIM(Raw_Data!E507))</f>
        <v>Thiruvananthapuram</v>
      </c>
      <c r="G516" s="25" t="str">
        <f>PROPER(TRIM(Raw_Data!F507))</f>
        <v>Rajasthan</v>
      </c>
      <c r="H516" s="25" t="str">
        <f>PROPER(TRIM(Raw_Data!G507))</f>
        <v>Coding</v>
      </c>
      <c r="I516" s="25" t="str">
        <f>PROPER(TRIM(Raw_Data!H507))</f>
        <v>Ahmedabad Center</v>
      </c>
      <c r="J516" s="26">
        <f>IF(LEN(TRIM(Raw_Data!I507))=4,VALUE(TRIM(Raw_Data!I507)),IF(ISNUMBER(IFERROR(VALUE(MID(TRIM(Raw_Data!I507),1,4)),"NA")),VALUE(MID(TRIM(Raw_Data!I507),1,4)),VALUE(RIGHT(TRIM(Raw_Data!I507),4))))</f>
        <v>2021</v>
      </c>
      <c r="K516" s="25" t="str">
        <f>PROPER(TRIM(Raw_Data!J507))</f>
        <v>Homemaker</v>
      </c>
      <c r="L516" s="25" t="str">
        <f t="shared" si="21"/>
        <v>10-13</v>
      </c>
      <c r="M516" s="25" t="str">
        <f t="shared" si="22"/>
        <v>Kids</v>
      </c>
      <c r="N516" s="25" t="str">
        <f>IF(ISNUMBER(SEARCH("NON",UPPER(Raw_Data!M507))),"Non-Premium Learner","Premium Learner")</f>
        <v>Premium Learner</v>
      </c>
      <c r="O516" s="25" t="str">
        <f>PROPER(TRIM(Raw_Data!N507))</f>
        <v>App Only</v>
      </c>
      <c r="P516" s="26">
        <f>IF(Raw_Data!O507="",$C$7,Raw_Data!O507)</f>
        <v>16891.29</v>
      </c>
      <c r="Q516" s="25" t="str">
        <f>IF(Raw_Data!O507="","Missing-Imputed","Original")</f>
        <v>Original</v>
      </c>
      <c r="R516" s="26">
        <f>Raw_Data!P507</f>
        <v>53.6</v>
      </c>
      <c r="S516" s="26">
        <f>Raw_Data!Q507</f>
        <v>34140.910000000003</v>
      </c>
      <c r="T516" s="25" t="str">
        <f>IF(Raw_Data!R507="","Unknown",IF(ISNUMBER(SEARCH("ACT",UPPER(Raw_Data!R507))),"Active",IF(ISNUMBER(SEARCH("CLOS",UPPER(Raw_Data!R507))),"Closed","None")))</f>
        <v>Active</v>
      </c>
      <c r="U516" s="26">
        <f>IF(Raw_Data!S507="",$C$8,VALUE(Raw_Data!S507))</f>
        <v>781</v>
      </c>
      <c r="V516" s="25" t="str">
        <f>IF(Raw_Data!S507="","Missing-Imputed","Original")</f>
        <v>Original</v>
      </c>
      <c r="W516" s="26">
        <f>Raw_Data!T507</f>
        <v>181</v>
      </c>
      <c r="X516" s="25" t="str">
        <f>IF(ISNUMBER(SEARCH("Y",UPPER(TRIM(Raw_Data!U507)))),"Yes","No")</f>
        <v>Yes</v>
      </c>
      <c r="Y516" s="25" t="str">
        <f>IF(ISNUMBER(SEARCH("Y",UPPER(TRIM(Raw_Data!V507)))),"Yes","No")</f>
        <v>Yes</v>
      </c>
      <c r="Z516" s="26">
        <f>Raw_Data!W507</f>
        <v>1</v>
      </c>
      <c r="AA516" s="26">
        <f>Raw_Data!X507</f>
        <v>6.3</v>
      </c>
      <c r="AB516" s="25" t="str">
        <f>IF(COUNTIFS(Raw_Data!$A$2:$A$616,Raw_Data!A507)&gt;1,"Duplicate","Unique")</f>
        <v>Duplicate</v>
      </c>
      <c r="AC516" s="25" t="str">
        <f t="shared" si="23"/>
        <v>Review-Duplicate</v>
      </c>
    </row>
    <row r="517" spans="1:29" ht="15" customHeight="1">
      <c r="A517" s="23" t="str">
        <f>Raw_Data!A508</f>
        <v>BYJ1507</v>
      </c>
      <c r="B517" s="23" t="str">
        <f>Raw_Data!B508</f>
        <v>Ishaan Lala</v>
      </c>
      <c r="C517" s="24">
        <f>IF(OR(Raw_Data!C508="",Raw_Data!C508&lt;$C$5,Raw_Data!C508&gt;$C$6),$C$4,Raw_Data!C508)</f>
        <v>18</v>
      </c>
      <c r="D517" s="23" t="str">
        <f>IF(Raw_Data!C508="","Missing-Imputed",IF(OR(Raw_Data!C508&lt;$C$5,Raw_Data!C508&gt;$C$6),"Outlier-Imputed","Original"))</f>
        <v>Original</v>
      </c>
      <c r="E517" s="23" t="str">
        <f>IF(OR(UPPER(TRIM(Raw_Data!D508))="M",UPPER(TRIM(Raw_Data!D508))="MALE"),"Male","Female")</f>
        <v>Female</v>
      </c>
      <c r="F517" s="23" t="str">
        <f>PROPER(TRIM(Raw_Data!E508))</f>
        <v>Dehri</v>
      </c>
      <c r="G517" s="23" t="str">
        <f>PROPER(TRIM(Raw_Data!F508))</f>
        <v>West Bengal</v>
      </c>
      <c r="H517" s="23" t="str">
        <f>PROPER(TRIM(Raw_Data!G508))</f>
        <v>English</v>
      </c>
      <c r="I517" s="23" t="str">
        <f>PROPER(TRIM(Raw_Data!H508))</f>
        <v>Lucknow Hub</v>
      </c>
      <c r="J517" s="24">
        <f>IF(LEN(TRIM(Raw_Data!I508))=4,VALUE(TRIM(Raw_Data!I508)),IF(ISNUMBER(IFERROR(VALUE(MID(TRIM(Raw_Data!I508),1,4)),"NA")),VALUE(MID(TRIM(Raw_Data!I508),1,4)),VALUE(RIGHT(TRIM(Raw_Data!I508),4))))</f>
        <v>2022</v>
      </c>
      <c r="K517" s="23" t="str">
        <f>PROPER(TRIM(Raw_Data!J508))</f>
        <v>Homemaker</v>
      </c>
      <c r="L517" s="23" t="str">
        <f t="shared" si="21"/>
        <v>17-19</v>
      </c>
      <c r="M517" s="23" t="str">
        <f t="shared" si="22"/>
        <v>Teens</v>
      </c>
      <c r="N517" s="23" t="str">
        <f>IF(ISNUMBER(SEARCH("NON",UPPER(Raw_Data!M508))),"Non-Premium Learner","Premium Learner")</f>
        <v>Premium Learner</v>
      </c>
      <c r="O517" s="23" t="str">
        <f>PROPER(TRIM(Raw_Data!N508))</f>
        <v>Web Only</v>
      </c>
      <c r="P517" s="24">
        <f>IF(Raw_Data!O508="",$C$7,Raw_Data!O508)</f>
        <v>137058.20000000001</v>
      </c>
      <c r="Q517" s="23" t="str">
        <f>IF(Raw_Data!O508="","Missing-Imputed","Original")</f>
        <v>Original</v>
      </c>
      <c r="R517" s="24">
        <f>Raw_Data!P508</f>
        <v>23.7</v>
      </c>
      <c r="S517" s="24">
        <f>Raw_Data!Q508</f>
        <v>51368.4</v>
      </c>
      <c r="T517" s="23" t="str">
        <f>IF(Raw_Data!R508="","Unknown",IF(ISNUMBER(SEARCH("ACT",UPPER(Raw_Data!R508))),"Active",IF(ISNUMBER(SEARCH("CLOS",UPPER(Raw_Data!R508))),"Closed","None")))</f>
        <v>Active</v>
      </c>
      <c r="U517" s="24">
        <f>IF(Raw_Data!S508="",$C$8,VALUE(Raw_Data!S508))</f>
        <v>561</v>
      </c>
      <c r="V517" s="23" t="str">
        <f>IF(Raw_Data!S508="","Missing-Imputed","Original")</f>
        <v>Original</v>
      </c>
      <c r="W517" s="24">
        <f>Raw_Data!T508</f>
        <v>127</v>
      </c>
      <c r="X517" s="23" t="str">
        <f>IF(ISNUMBER(SEARCH("Y",UPPER(TRIM(Raw_Data!U508)))),"Yes","No")</f>
        <v>Yes</v>
      </c>
      <c r="Y517" s="23" t="str">
        <f>IF(ISNUMBER(SEARCH("Y",UPPER(TRIM(Raw_Data!V508)))),"Yes","No")</f>
        <v>No</v>
      </c>
      <c r="Z517" s="24">
        <f>Raw_Data!W508</f>
        <v>3</v>
      </c>
      <c r="AA517" s="24">
        <f>Raw_Data!X508</f>
        <v>6.4</v>
      </c>
      <c r="AB517" s="23" t="str">
        <f>IF(COUNTIFS(Raw_Data!$A$2:$A$616,Raw_Data!A508)&gt;1,"Duplicate","Unique")</f>
        <v>Unique</v>
      </c>
      <c r="AC517" s="23" t="str">
        <f t="shared" si="23"/>
        <v>Clean</v>
      </c>
    </row>
    <row r="518" spans="1:29" ht="15" customHeight="1">
      <c r="A518" s="25" t="str">
        <f>Raw_Data!A509</f>
        <v>BYJ1508</v>
      </c>
      <c r="B518" s="25" t="str">
        <f>Raw_Data!B509</f>
        <v>Lipika Ramanathan</v>
      </c>
      <c r="C518" s="26">
        <f>IF(OR(Raw_Data!C509="",Raw_Data!C509&lt;$C$5,Raw_Data!C509&gt;$C$6),$C$4,Raw_Data!C509)</f>
        <v>43</v>
      </c>
      <c r="D518" s="25" t="str">
        <f>IF(Raw_Data!C509="","Missing-Imputed",IF(OR(Raw_Data!C509&lt;$C$5,Raw_Data!C509&gt;$C$6),"Outlier-Imputed","Original"))</f>
        <v>Original</v>
      </c>
      <c r="E518" s="25" t="str">
        <f>IF(OR(UPPER(TRIM(Raw_Data!D509))="M",UPPER(TRIM(Raw_Data!D509))="MALE"),"Male","Female")</f>
        <v>Male</v>
      </c>
      <c r="F518" s="25" t="str">
        <f>PROPER(TRIM(Raw_Data!E509))</f>
        <v>Karnal</v>
      </c>
      <c r="G518" s="25" t="str">
        <f>PROPER(TRIM(Raw_Data!F509))</f>
        <v>Tamil Nadu</v>
      </c>
      <c r="H518" s="25" t="str">
        <f>PROPER(TRIM(Raw_Data!G509))</f>
        <v>English</v>
      </c>
      <c r="I518" s="25" t="str">
        <f>PROPER(TRIM(Raw_Data!H509))</f>
        <v>Delhi North</v>
      </c>
      <c r="J518" s="26">
        <f>IF(LEN(TRIM(Raw_Data!I509))=4,VALUE(TRIM(Raw_Data!I509)),IF(ISNUMBER(IFERROR(VALUE(MID(TRIM(Raw_Data!I509),1,4)),"NA")),VALUE(MID(TRIM(Raw_Data!I509),1,4)),VALUE(RIGHT(TRIM(Raw_Data!I509),4))))</f>
        <v>2016</v>
      </c>
      <c r="K518" s="25" t="str">
        <f>PROPER(TRIM(Raw_Data!J509))</f>
        <v>Business</v>
      </c>
      <c r="L518" s="25" t="str">
        <f t="shared" si="21"/>
        <v>20+</v>
      </c>
      <c r="M518" s="25" t="str">
        <f t="shared" si="22"/>
        <v>Adult Learners</v>
      </c>
      <c r="N518" s="25" t="str">
        <f>IF(ISNUMBER(SEARCH("NON",UPPER(Raw_Data!M509))),"Non-Premium Learner","Premium Learner")</f>
        <v>Non-Premium Learner</v>
      </c>
      <c r="O518" s="25" t="str">
        <f>PROPER(TRIM(Raw_Data!N509))</f>
        <v>App Only</v>
      </c>
      <c r="P518" s="26">
        <f>IF(Raw_Data!O509="",$C$7,Raw_Data!O509)</f>
        <v>88313.33</v>
      </c>
      <c r="Q518" s="25" t="str">
        <f>IF(Raw_Data!O509="","Missing-Imputed","Original")</f>
        <v>Original</v>
      </c>
      <c r="R518" s="26">
        <f>Raw_Data!P509</f>
        <v>58.8</v>
      </c>
      <c r="S518" s="26">
        <f>Raw_Data!Q509</f>
        <v>49798.239999999998</v>
      </c>
      <c r="T518" s="25" t="str">
        <f>IF(Raw_Data!R509="","Unknown",IF(ISNUMBER(SEARCH("ACT",UPPER(Raw_Data!R509))),"Active",IF(ISNUMBER(SEARCH("CLOS",UPPER(Raw_Data!R509))),"Closed","None")))</f>
        <v>Active</v>
      </c>
      <c r="U518" s="26">
        <f>IF(Raw_Data!S509="",$C$8,VALUE(Raw_Data!S509))</f>
        <v>409</v>
      </c>
      <c r="V518" s="25" t="str">
        <f>IF(Raw_Data!S509="","Missing-Imputed","Original")</f>
        <v>Original</v>
      </c>
      <c r="W518" s="26">
        <f>Raw_Data!T509</f>
        <v>114</v>
      </c>
      <c r="X518" s="25" t="str">
        <f>IF(ISNUMBER(SEARCH("Y",UPPER(TRIM(Raw_Data!U509)))),"Yes","No")</f>
        <v>Yes</v>
      </c>
      <c r="Y518" s="25" t="str">
        <f>IF(ISNUMBER(SEARCH("Y",UPPER(TRIM(Raw_Data!V509)))),"Yes","No")</f>
        <v>Yes</v>
      </c>
      <c r="Z518" s="26">
        <f>Raw_Data!W509</f>
        <v>3</v>
      </c>
      <c r="AA518" s="26">
        <f>Raw_Data!X509</f>
        <v>8.8000000000000007</v>
      </c>
      <c r="AB518" s="25" t="str">
        <f>IF(COUNTIFS(Raw_Data!$A$2:$A$616,Raw_Data!A509)&gt;1,"Duplicate","Unique")</f>
        <v>Unique</v>
      </c>
      <c r="AC518" s="25" t="str">
        <f t="shared" si="23"/>
        <v>Clean</v>
      </c>
    </row>
    <row r="519" spans="1:29" ht="15" customHeight="1">
      <c r="A519" s="23" t="str">
        <f>Raw_Data!A510</f>
        <v>BYJ1509</v>
      </c>
      <c r="B519" s="23" t="str">
        <f>Raw_Data!B510</f>
        <v>Tanvi Gera</v>
      </c>
      <c r="C519" s="24">
        <f>IF(OR(Raw_Data!C510="",Raw_Data!C510&lt;$C$5,Raw_Data!C510&gt;$C$6),$C$4,Raw_Data!C510)</f>
        <v>23</v>
      </c>
      <c r="D519" s="23" t="str">
        <f>IF(Raw_Data!C510="","Missing-Imputed",IF(OR(Raw_Data!C510&lt;$C$5,Raw_Data!C510&gt;$C$6),"Outlier-Imputed","Original"))</f>
        <v>Original</v>
      </c>
      <c r="E519" s="23" t="str">
        <f>IF(OR(UPPER(TRIM(Raw_Data!D510))="M",UPPER(TRIM(Raw_Data!D510))="MALE"),"Male","Female")</f>
        <v>Female</v>
      </c>
      <c r="F519" s="23" t="str">
        <f>PROPER(TRIM(Raw_Data!E510))</f>
        <v>Srikakulam</v>
      </c>
      <c r="G519" s="23" t="str">
        <f>PROPER(TRIM(Raw_Data!F510))</f>
        <v>Maharashtra</v>
      </c>
      <c r="H519" s="23" t="str">
        <f>PROPER(TRIM(Raw_Data!G510))</f>
        <v>English</v>
      </c>
      <c r="I519" s="23" t="str">
        <f>PROPER(TRIM(Raw_Data!H510))</f>
        <v>Kolkata Main</v>
      </c>
      <c r="J519" s="24">
        <f>IF(LEN(TRIM(Raw_Data!I510))=4,VALUE(TRIM(Raw_Data!I510)),IF(ISNUMBER(IFERROR(VALUE(MID(TRIM(Raw_Data!I510),1,4)),"NA")),VALUE(MID(TRIM(Raw_Data!I510),1,4)),VALUE(RIGHT(TRIM(Raw_Data!I510),4))))</f>
        <v>2021</v>
      </c>
      <c r="K519" s="23" t="str">
        <f>PROPER(TRIM(Raw_Data!J510))</f>
        <v>Self-Employed</v>
      </c>
      <c r="L519" s="23" t="str">
        <f t="shared" si="21"/>
        <v>20+</v>
      </c>
      <c r="M519" s="23" t="str">
        <f t="shared" si="22"/>
        <v>Adult Learners</v>
      </c>
      <c r="N519" s="23" t="str">
        <f>IF(ISNUMBER(SEARCH("NON",UPPER(Raw_Data!M510))),"Non-Premium Learner","Premium Learner")</f>
        <v>Non-Premium Learner</v>
      </c>
      <c r="O519" s="23" t="str">
        <f>PROPER(TRIM(Raw_Data!N510))</f>
        <v>App Only</v>
      </c>
      <c r="P519" s="24">
        <f>IF(Raw_Data!O510="",$C$7,Raw_Data!O510)</f>
        <v>41556.129999999997</v>
      </c>
      <c r="Q519" s="23" t="str">
        <f>IF(Raw_Data!O510="","Missing-Imputed","Original")</f>
        <v>Original</v>
      </c>
      <c r="R519" s="24">
        <f>Raw_Data!P510</f>
        <v>16.899999999999999</v>
      </c>
      <c r="S519" s="24">
        <f>Raw_Data!Q510</f>
        <v>46883.59</v>
      </c>
      <c r="T519" s="23" t="str">
        <f>IF(Raw_Data!R510="","Unknown",IF(ISNUMBER(SEARCH("ACT",UPPER(Raw_Data!R510))),"Active",IF(ISNUMBER(SEARCH("CLOS",UPPER(Raw_Data!R510))),"Closed","None")))</f>
        <v>Active</v>
      </c>
      <c r="U519" s="24">
        <f>IF(Raw_Data!S510="",$C$8,VALUE(Raw_Data!S510))</f>
        <v>836</v>
      </c>
      <c r="V519" s="23" t="str">
        <f>IF(Raw_Data!S510="","Missing-Imputed","Original")</f>
        <v>Original</v>
      </c>
      <c r="W519" s="24">
        <f>Raw_Data!T510</f>
        <v>105</v>
      </c>
      <c r="X519" s="23" t="str">
        <f>IF(ISNUMBER(SEARCH("Y",UPPER(TRIM(Raw_Data!U510)))),"Yes","No")</f>
        <v>Yes</v>
      </c>
      <c r="Y519" s="23" t="str">
        <f>IF(ISNUMBER(SEARCH("Y",UPPER(TRIM(Raw_Data!V510)))),"Yes","No")</f>
        <v>Yes</v>
      </c>
      <c r="Z519" s="24">
        <f>Raw_Data!W510</f>
        <v>3</v>
      </c>
      <c r="AA519" s="24">
        <f>Raw_Data!X510</f>
        <v>2</v>
      </c>
      <c r="AB519" s="23" t="str">
        <f>IF(COUNTIFS(Raw_Data!$A$2:$A$616,Raw_Data!A510)&gt;1,"Duplicate","Unique")</f>
        <v>Unique</v>
      </c>
      <c r="AC519" s="23" t="str">
        <f t="shared" si="23"/>
        <v>Clean</v>
      </c>
    </row>
    <row r="520" spans="1:29" ht="15" customHeight="1">
      <c r="A520" s="25" t="str">
        <f>Raw_Data!A511</f>
        <v>BYJ1510</v>
      </c>
      <c r="B520" s="25" t="str">
        <f>Raw_Data!B511</f>
        <v>Krish Munshi</v>
      </c>
      <c r="C520" s="26">
        <f>IF(OR(Raw_Data!C511="",Raw_Data!C511&lt;$C$5,Raw_Data!C511&gt;$C$6),$C$4,Raw_Data!C511)</f>
        <v>39</v>
      </c>
      <c r="D520" s="25" t="str">
        <f>IF(Raw_Data!C511="","Missing-Imputed",IF(OR(Raw_Data!C511&lt;$C$5,Raw_Data!C511&gt;$C$6),"Outlier-Imputed","Original"))</f>
        <v>Original</v>
      </c>
      <c r="E520" s="25" t="str">
        <f>IF(OR(UPPER(TRIM(Raw_Data!D511))="M",UPPER(TRIM(Raw_Data!D511))="MALE"),"Male","Female")</f>
        <v>Male</v>
      </c>
      <c r="F520" s="25" t="str">
        <f>PROPER(TRIM(Raw_Data!E511))</f>
        <v>Mathura</v>
      </c>
      <c r="G520" s="25" t="str">
        <f>PROPER(TRIM(Raw_Data!F511))</f>
        <v>Telangana</v>
      </c>
      <c r="H520" s="25" t="str">
        <f>PROPER(TRIM(Raw_Data!G511))</f>
        <v>English</v>
      </c>
      <c r="I520" s="25" t="str">
        <f>PROPER(TRIM(Raw_Data!H511))</f>
        <v>Ahmedabad Center</v>
      </c>
      <c r="J520" s="26">
        <f>IF(LEN(TRIM(Raw_Data!I511))=4,VALUE(TRIM(Raw_Data!I511)),IF(ISNUMBER(IFERROR(VALUE(MID(TRIM(Raw_Data!I511),1,4)),"NA")),VALUE(MID(TRIM(Raw_Data!I511),1,4)),VALUE(RIGHT(TRIM(Raw_Data!I511),4))))</f>
        <v>46050</v>
      </c>
      <c r="K520" s="25" t="str">
        <f>PROPER(TRIM(Raw_Data!J511))</f>
        <v>Self-Employed</v>
      </c>
      <c r="L520" s="25" t="str">
        <f t="shared" si="21"/>
        <v>20+</v>
      </c>
      <c r="M520" s="25" t="str">
        <f t="shared" si="22"/>
        <v>Adult Learners</v>
      </c>
      <c r="N520" s="25" t="str">
        <f>IF(ISNUMBER(SEARCH("NON",UPPER(Raw_Data!M511))),"Non-Premium Learner","Premium Learner")</f>
        <v>Non-Premium Learner</v>
      </c>
      <c r="O520" s="25" t="str">
        <f>PROPER(TRIM(Raw_Data!N511))</f>
        <v>Web Only</v>
      </c>
      <c r="P520" s="26">
        <f>IF(Raw_Data!O511="",$C$7,Raw_Data!O511)</f>
        <v>36982.019999999997</v>
      </c>
      <c r="Q520" s="25" t="str">
        <f>IF(Raw_Data!O511="","Missing-Imputed","Original")</f>
        <v>Original</v>
      </c>
      <c r="R520" s="26">
        <f>Raw_Data!P511</f>
        <v>6.3</v>
      </c>
      <c r="S520" s="26">
        <f>Raw_Data!Q511</f>
        <v>14065.26</v>
      </c>
      <c r="T520" s="25" t="str">
        <f>IF(Raw_Data!R511="","Unknown",IF(ISNUMBER(SEARCH("ACT",UPPER(Raw_Data!R511))),"Active",IF(ISNUMBER(SEARCH("CLOS",UPPER(Raw_Data!R511))),"Closed","None")))</f>
        <v>Closed</v>
      </c>
      <c r="U520" s="26">
        <f>IF(Raw_Data!S511="",$C$8,VALUE(Raw_Data!S511))</f>
        <v>524</v>
      </c>
      <c r="V520" s="25" t="str">
        <f>IF(Raw_Data!S511="","Missing-Imputed","Original")</f>
        <v>Original</v>
      </c>
      <c r="W520" s="26">
        <f>Raw_Data!T511</f>
        <v>141</v>
      </c>
      <c r="X520" s="25" t="str">
        <f>IF(ISNUMBER(SEARCH("Y",UPPER(TRIM(Raw_Data!U511)))),"Yes","No")</f>
        <v>Yes</v>
      </c>
      <c r="Y520" s="25" t="str">
        <f>IF(ISNUMBER(SEARCH("Y",UPPER(TRIM(Raw_Data!V511)))),"Yes","No")</f>
        <v>No</v>
      </c>
      <c r="Z520" s="26">
        <f>Raw_Data!W511</f>
        <v>5</v>
      </c>
      <c r="AA520" s="26">
        <f>Raw_Data!X511</f>
        <v>2.7</v>
      </c>
      <c r="AB520" s="25" t="str">
        <f>IF(COUNTIFS(Raw_Data!$A$2:$A$616,Raw_Data!A511)&gt;1,"Duplicate","Unique")</f>
        <v>Unique</v>
      </c>
      <c r="AC520" s="25" t="str">
        <f t="shared" si="23"/>
        <v>Clean</v>
      </c>
    </row>
    <row r="521" spans="1:29" ht="15" customHeight="1">
      <c r="A521" s="23" t="str">
        <f>Raw_Data!A512</f>
        <v>BYJ1511</v>
      </c>
      <c r="B521" s="23" t="str">
        <f>Raw_Data!B512</f>
        <v>Jackson Goswami</v>
      </c>
      <c r="C521" s="24">
        <f>IF(OR(Raw_Data!C512="",Raw_Data!C512&lt;$C$5,Raw_Data!C512&gt;$C$6),$C$4,Raw_Data!C512)</f>
        <v>39</v>
      </c>
      <c r="D521" s="23" t="str">
        <f>IF(Raw_Data!C512="","Missing-Imputed",IF(OR(Raw_Data!C512&lt;$C$5,Raw_Data!C512&gt;$C$6),"Outlier-Imputed","Original"))</f>
        <v>Original</v>
      </c>
      <c r="E521" s="23" t="str">
        <f>IF(OR(UPPER(TRIM(Raw_Data!D512))="M",UPPER(TRIM(Raw_Data!D512))="MALE"),"Male","Female")</f>
        <v>Female</v>
      </c>
      <c r="F521" s="23" t="str">
        <f>PROPER(TRIM(Raw_Data!E512))</f>
        <v>Ajmer</v>
      </c>
      <c r="G521" s="23" t="str">
        <f>PROPER(TRIM(Raw_Data!F512))</f>
        <v>Kerala</v>
      </c>
      <c r="H521" s="23" t="str">
        <f>PROPER(TRIM(Raw_Data!G512))</f>
        <v>Mathematics</v>
      </c>
      <c r="I521" s="23" t="str">
        <f>PROPER(TRIM(Raw_Data!H512))</f>
        <v>Delhi North</v>
      </c>
      <c r="J521" s="24">
        <f>IF(LEN(TRIM(Raw_Data!I512))=4,VALUE(TRIM(Raw_Data!I512)),IF(ISNUMBER(IFERROR(VALUE(MID(TRIM(Raw_Data!I512),1,4)),"NA")),VALUE(MID(TRIM(Raw_Data!I512),1,4)),VALUE(RIGHT(TRIM(Raw_Data!I512),4))))</f>
        <v>2020</v>
      </c>
      <c r="K521" s="23" t="str">
        <f>PROPER(TRIM(Raw_Data!J512))</f>
        <v>Retired</v>
      </c>
      <c r="L521" s="23" t="str">
        <f t="shared" si="21"/>
        <v>20+</v>
      </c>
      <c r="M521" s="23" t="str">
        <f t="shared" si="22"/>
        <v>Adult Learners</v>
      </c>
      <c r="N521" s="23" t="str">
        <f>IF(ISNUMBER(SEARCH("NON",UPPER(Raw_Data!M512))),"Non-Premium Learner","Premium Learner")</f>
        <v>Non-Premium Learner</v>
      </c>
      <c r="O521" s="23" t="str">
        <f>PROPER(TRIM(Raw_Data!N512))</f>
        <v>Both App &amp; Web</v>
      </c>
      <c r="P521" s="24">
        <f>IF(Raw_Data!O512="",$C$7,Raw_Data!O512)</f>
        <v>120854.22</v>
      </c>
      <c r="Q521" s="23" t="str">
        <f>IF(Raw_Data!O512="","Missing-Imputed","Original")</f>
        <v>Original</v>
      </c>
      <c r="R521" s="24">
        <f>Raw_Data!P512</f>
        <v>18.7</v>
      </c>
      <c r="S521" s="24">
        <f>Raw_Data!Q512</f>
        <v>29822.2</v>
      </c>
      <c r="T521" s="23" t="str">
        <f>IF(Raw_Data!R512="","Unknown",IF(ISNUMBER(SEARCH("ACT",UPPER(Raw_Data!R512))),"Active",IF(ISNUMBER(SEARCH("CLOS",UPPER(Raw_Data!R512))),"Closed","None")))</f>
        <v>None</v>
      </c>
      <c r="U521" s="24">
        <f>IF(Raw_Data!S512="",$C$8,VALUE(Raw_Data!S512))</f>
        <v>452</v>
      </c>
      <c r="V521" s="23" t="str">
        <f>IF(Raw_Data!S512="","Missing-Imputed","Original")</f>
        <v>Original</v>
      </c>
      <c r="W521" s="24">
        <f>Raw_Data!T512</f>
        <v>83</v>
      </c>
      <c r="X521" s="23" t="str">
        <f>IF(ISNUMBER(SEARCH("Y",UPPER(TRIM(Raw_Data!U512)))),"Yes","No")</f>
        <v>No</v>
      </c>
      <c r="Y521" s="23" t="str">
        <f>IF(ISNUMBER(SEARCH("Y",UPPER(TRIM(Raw_Data!V512)))),"Yes","No")</f>
        <v>Yes</v>
      </c>
      <c r="Z521" s="24">
        <f>Raw_Data!W512</f>
        <v>2</v>
      </c>
      <c r="AA521" s="24">
        <f>Raw_Data!X512</f>
        <v>2.1</v>
      </c>
      <c r="AB521" s="23" t="str">
        <f>IF(COUNTIFS(Raw_Data!$A$2:$A$616,Raw_Data!A512)&gt;1,"Duplicate","Unique")</f>
        <v>Unique</v>
      </c>
      <c r="AC521" s="23" t="str">
        <f t="shared" si="23"/>
        <v>Clean</v>
      </c>
    </row>
    <row r="522" spans="1:29" ht="15" customHeight="1">
      <c r="A522" s="25" t="str">
        <f>Raw_Data!A513</f>
        <v>BYJ1512</v>
      </c>
      <c r="B522" s="25" t="str">
        <f>Raw_Data!B513</f>
        <v>Omya Devi</v>
      </c>
      <c r="C522" s="26">
        <f>IF(OR(Raw_Data!C513="",Raw_Data!C513&lt;$C$5,Raw_Data!C513&gt;$C$6),$C$4,Raw_Data!C513)</f>
        <v>33</v>
      </c>
      <c r="D522" s="25" t="str">
        <f>IF(Raw_Data!C513="","Missing-Imputed",IF(OR(Raw_Data!C513&lt;$C$5,Raw_Data!C513&gt;$C$6),"Outlier-Imputed","Original"))</f>
        <v>Original</v>
      </c>
      <c r="E522" s="25" t="str">
        <f>IF(OR(UPPER(TRIM(Raw_Data!D513))="M",UPPER(TRIM(Raw_Data!D513))="MALE"),"Male","Female")</f>
        <v>Female</v>
      </c>
      <c r="F522" s="25" t="str">
        <f>PROPER(TRIM(Raw_Data!E513))</f>
        <v>Bhusawal</v>
      </c>
      <c r="G522" s="25" t="str">
        <f>PROPER(TRIM(Raw_Data!F513))</f>
        <v>West Bengal</v>
      </c>
      <c r="H522" s="25" t="str">
        <f>PROPER(TRIM(Raw_Data!G513))</f>
        <v>Neet Prep</v>
      </c>
      <c r="I522" s="25" t="str">
        <f>PROPER(TRIM(Raw_Data!H513))</f>
        <v>Bengaluru South</v>
      </c>
      <c r="J522" s="26">
        <f>IF(LEN(TRIM(Raw_Data!I513))=4,VALUE(TRIM(Raw_Data!I513)),IF(ISNUMBER(IFERROR(VALUE(MID(TRIM(Raw_Data!I513),1,4)),"NA")),VALUE(MID(TRIM(Raw_Data!I513),1,4)),VALUE(RIGHT(TRIM(Raw_Data!I513),4))))</f>
        <v>2022</v>
      </c>
      <c r="K522" s="25" t="str">
        <f>PROPER(TRIM(Raw_Data!J513))</f>
        <v>Business</v>
      </c>
      <c r="L522" s="25" t="str">
        <f t="shared" si="21"/>
        <v>20+</v>
      </c>
      <c r="M522" s="25" t="str">
        <f t="shared" si="22"/>
        <v>Adult Learners</v>
      </c>
      <c r="N522" s="25" t="str">
        <f>IF(ISNUMBER(SEARCH("NON",UPPER(Raw_Data!M513))),"Non-Premium Learner","Premium Learner")</f>
        <v>Non-Premium Learner</v>
      </c>
      <c r="O522" s="25" t="str">
        <f>PROPER(TRIM(Raw_Data!N513))</f>
        <v>Web Only</v>
      </c>
      <c r="P522" s="26">
        <f>IF(Raw_Data!O513="",$C$7,Raw_Data!O513)</f>
        <v>73350.66</v>
      </c>
      <c r="Q522" s="25" t="str">
        <f>IF(Raw_Data!O513="","Missing-Imputed","Original")</f>
        <v>Original</v>
      </c>
      <c r="R522" s="26">
        <f>Raw_Data!P513</f>
        <v>30</v>
      </c>
      <c r="S522" s="26">
        <f>Raw_Data!Q513</f>
        <v>13654.66</v>
      </c>
      <c r="T522" s="25" t="str">
        <f>IF(Raw_Data!R513="","Unknown",IF(ISNUMBER(SEARCH("ACT",UPPER(Raw_Data!R513))),"Active",IF(ISNUMBER(SEARCH("CLOS",UPPER(Raw_Data!R513))),"Closed","None")))</f>
        <v>None</v>
      </c>
      <c r="U522" s="26">
        <f>IF(Raw_Data!S513="",$C$8,VALUE(Raw_Data!S513))</f>
        <v>378</v>
      </c>
      <c r="V522" s="25" t="str">
        <f>IF(Raw_Data!S513="","Missing-Imputed","Original")</f>
        <v>Original</v>
      </c>
      <c r="W522" s="26">
        <f>Raw_Data!T513</f>
        <v>35</v>
      </c>
      <c r="X522" s="25" t="str">
        <f>IF(ISNUMBER(SEARCH("Y",UPPER(TRIM(Raw_Data!U513)))),"Yes","No")</f>
        <v>Yes</v>
      </c>
      <c r="Y522" s="25" t="str">
        <f>IF(ISNUMBER(SEARCH("Y",UPPER(TRIM(Raw_Data!V513)))),"Yes","No")</f>
        <v>Yes</v>
      </c>
      <c r="Z522" s="26">
        <f>Raw_Data!W513</f>
        <v>4</v>
      </c>
      <c r="AA522" s="26">
        <f>Raw_Data!X513</f>
        <v>4</v>
      </c>
      <c r="AB522" s="25" t="str">
        <f>IF(COUNTIFS(Raw_Data!$A$2:$A$616,Raw_Data!A513)&gt;1,"Duplicate","Unique")</f>
        <v>Unique</v>
      </c>
      <c r="AC522" s="25" t="str">
        <f t="shared" si="23"/>
        <v>Clean</v>
      </c>
    </row>
    <row r="523" spans="1:29" ht="15" customHeight="1">
      <c r="A523" s="23" t="str">
        <f>Raw_Data!A514</f>
        <v>BYJ1513</v>
      </c>
      <c r="B523" s="23" t="str">
        <f>Raw_Data!B514</f>
        <v>Vidhi Yogi</v>
      </c>
      <c r="C523" s="24">
        <f>IF(OR(Raw_Data!C514="",Raw_Data!C514&lt;$C$5,Raw_Data!C514&gt;$C$6),$C$4,Raw_Data!C514)</f>
        <v>41</v>
      </c>
      <c r="D523" s="23" t="str">
        <f>IF(Raw_Data!C514="","Missing-Imputed",IF(OR(Raw_Data!C514&lt;$C$5,Raw_Data!C514&gt;$C$6),"Outlier-Imputed","Original"))</f>
        <v>Original</v>
      </c>
      <c r="E523" s="23" t="str">
        <f>IF(OR(UPPER(TRIM(Raw_Data!D514))="M",UPPER(TRIM(Raw_Data!D514))="MALE"),"Male","Female")</f>
        <v>Female</v>
      </c>
      <c r="F523" s="23" t="str">
        <f>PROPER(TRIM(Raw_Data!E514))</f>
        <v>Miryalaguda</v>
      </c>
      <c r="G523" s="23" t="str">
        <f>PROPER(TRIM(Raw_Data!F514))</f>
        <v>Delhi</v>
      </c>
      <c r="H523" s="23" t="str">
        <f>PROPER(TRIM(Raw_Data!G514))</f>
        <v>English</v>
      </c>
      <c r="I523" s="23" t="str">
        <f>PROPER(TRIM(Raw_Data!H514))</f>
        <v>Pune East</v>
      </c>
      <c r="J523" s="24">
        <f>IF(LEN(TRIM(Raw_Data!I514))=4,VALUE(TRIM(Raw_Data!I514)),IF(ISNUMBER(IFERROR(VALUE(MID(TRIM(Raw_Data!I514),1,4)),"NA")),VALUE(MID(TRIM(Raw_Data!I514),1,4)),VALUE(RIGHT(TRIM(Raw_Data!I514),4))))</f>
        <v>2017</v>
      </c>
      <c r="K523" s="23" t="str">
        <f>PROPER(TRIM(Raw_Data!J514))</f>
        <v>Government Employee</v>
      </c>
      <c r="L523" s="23" t="str">
        <f t="shared" ref="L523:L586" si="24">IF(C523&lt;10,"Under 10",IF(C523&lt;=13,"10-13",IF(C523&lt;=16,"14-16",IF(C523&lt;=19,"17-19","20+"))))</f>
        <v>20+</v>
      </c>
      <c r="M523" s="23" t="str">
        <f t="shared" ref="M523:M586" si="25">IF(OR(L523="Under 10",L523="10-13"),"Kids",IF(OR(L523="14-16",L523="17-19"),"Teens","Adult Learners"))</f>
        <v>Adult Learners</v>
      </c>
      <c r="N523" s="23" t="str">
        <f>IF(ISNUMBER(SEARCH("NON",UPPER(Raw_Data!M514))),"Non-Premium Learner","Premium Learner")</f>
        <v>Non-Premium Learner</v>
      </c>
      <c r="O523" s="23" t="str">
        <f>PROPER(TRIM(Raw_Data!N514))</f>
        <v>Both App &amp; Web</v>
      </c>
      <c r="P523" s="24">
        <f>IF(Raw_Data!O514="",$C$7,Raw_Data!O514)</f>
        <v>90350.8</v>
      </c>
      <c r="Q523" s="23" t="str">
        <f>IF(Raw_Data!O514="","Missing-Imputed","Original")</f>
        <v>Original</v>
      </c>
      <c r="R523" s="24">
        <f>Raw_Data!P514</f>
        <v>20.7</v>
      </c>
      <c r="S523" s="24">
        <f>Raw_Data!Q514</f>
        <v>20448.86</v>
      </c>
      <c r="T523" s="23" t="str">
        <f>IF(Raw_Data!R514="","Unknown",IF(ISNUMBER(SEARCH("ACT",UPPER(Raw_Data!R514))),"Active",IF(ISNUMBER(SEARCH("CLOS",UPPER(Raw_Data!R514))),"Closed","None")))</f>
        <v>Active</v>
      </c>
      <c r="U523" s="24">
        <f>IF(Raw_Data!S514="",$C$8,VALUE(Raw_Data!S514))</f>
        <v>395</v>
      </c>
      <c r="V523" s="23" t="str">
        <f>IF(Raw_Data!S514="","Missing-Imputed","Original")</f>
        <v>Original</v>
      </c>
      <c r="W523" s="24">
        <f>Raw_Data!T514</f>
        <v>153</v>
      </c>
      <c r="X523" s="23" t="str">
        <f>IF(ISNUMBER(SEARCH("Y",UPPER(TRIM(Raw_Data!U514)))),"Yes","No")</f>
        <v>Yes</v>
      </c>
      <c r="Y523" s="23" t="str">
        <f>IF(ISNUMBER(SEARCH("Y",UPPER(TRIM(Raw_Data!V514)))),"Yes","No")</f>
        <v>No</v>
      </c>
      <c r="Z523" s="24">
        <f>Raw_Data!W514</f>
        <v>5</v>
      </c>
      <c r="AA523" s="24">
        <f>Raw_Data!X514</f>
        <v>1.9</v>
      </c>
      <c r="AB523" s="23" t="str">
        <f>IF(COUNTIFS(Raw_Data!$A$2:$A$616,Raw_Data!A514)&gt;1,"Duplicate","Unique")</f>
        <v>Unique</v>
      </c>
      <c r="AC523" s="23" t="str">
        <f t="shared" ref="AC523:AC586" si="26">IF(AB523="Duplicate","Review-Duplicate",IF(OR(D523&lt;&gt;"Original",Q523&lt;&gt;"Original",V523&lt;&gt;"Original"),"Imputed","Clean"))</f>
        <v>Clean</v>
      </c>
    </row>
    <row r="524" spans="1:29" ht="15" customHeight="1">
      <c r="A524" s="25" t="str">
        <f>Raw_Data!A515</f>
        <v>BYJ1514</v>
      </c>
      <c r="B524" s="25" t="str">
        <f>Raw_Data!B515</f>
        <v>Vrishti Mani</v>
      </c>
      <c r="C524" s="26">
        <f>IF(OR(Raw_Data!C515="",Raw_Data!C515&lt;$C$5,Raw_Data!C515&gt;$C$6),$C$4,Raw_Data!C515)</f>
        <v>37</v>
      </c>
      <c r="D524" s="25" t="str">
        <f>IF(Raw_Data!C515="","Missing-Imputed",IF(OR(Raw_Data!C515&lt;$C$5,Raw_Data!C515&gt;$C$6),"Outlier-Imputed","Original"))</f>
        <v>Original</v>
      </c>
      <c r="E524" s="25" t="str">
        <f>IF(OR(UPPER(TRIM(Raw_Data!D515))="M",UPPER(TRIM(Raw_Data!D515))="MALE"),"Male","Female")</f>
        <v>Male</v>
      </c>
      <c r="F524" s="25" t="str">
        <f>PROPER(TRIM(Raw_Data!E515))</f>
        <v>Gaya</v>
      </c>
      <c r="G524" s="25" t="str">
        <f>PROPER(TRIM(Raw_Data!F515))</f>
        <v>Karnataka</v>
      </c>
      <c r="H524" s="25" t="str">
        <f>PROPER(TRIM(Raw_Data!G515))</f>
        <v>Mathematics</v>
      </c>
      <c r="I524" s="25" t="str">
        <f>PROPER(TRIM(Raw_Data!H515))</f>
        <v>Jaipur Center</v>
      </c>
      <c r="J524" s="26">
        <f>IF(LEN(TRIM(Raw_Data!I515))=4,VALUE(TRIM(Raw_Data!I515)),IF(ISNUMBER(IFERROR(VALUE(MID(TRIM(Raw_Data!I515),1,4)),"NA")),VALUE(MID(TRIM(Raw_Data!I515),1,4)),VALUE(RIGHT(TRIM(Raw_Data!I515),4))))</f>
        <v>2025</v>
      </c>
      <c r="K524" s="25" t="str">
        <f>PROPER(TRIM(Raw_Data!J515))</f>
        <v>Salaried</v>
      </c>
      <c r="L524" s="25" t="str">
        <f t="shared" si="24"/>
        <v>20+</v>
      </c>
      <c r="M524" s="25" t="str">
        <f t="shared" si="25"/>
        <v>Adult Learners</v>
      </c>
      <c r="N524" s="25" t="str">
        <f>IF(ISNUMBER(SEARCH("NON",UPPER(Raw_Data!M515))),"Non-Premium Learner","Premium Learner")</f>
        <v>Non-Premium Learner</v>
      </c>
      <c r="O524" s="25" t="str">
        <f>PROPER(TRIM(Raw_Data!N515))</f>
        <v>Web Only</v>
      </c>
      <c r="P524" s="26">
        <f>IF(Raw_Data!O515="",$C$7,Raw_Data!O515)</f>
        <v>114232.47</v>
      </c>
      <c r="Q524" s="25" t="str">
        <f>IF(Raw_Data!O515="","Missing-Imputed","Original")</f>
        <v>Original</v>
      </c>
      <c r="R524" s="26">
        <f>Raw_Data!P515</f>
        <v>17.3</v>
      </c>
      <c r="S524" s="26">
        <f>Raw_Data!Q515</f>
        <v>44334.04</v>
      </c>
      <c r="T524" s="25" t="str">
        <f>IF(Raw_Data!R515="","Unknown",IF(ISNUMBER(SEARCH("ACT",UPPER(Raw_Data!R515))),"Active",IF(ISNUMBER(SEARCH("CLOS",UPPER(Raw_Data!R515))),"Closed","None")))</f>
        <v>Unknown</v>
      </c>
      <c r="U524" s="26">
        <f>IF(Raw_Data!S515="",$C$8,VALUE(Raw_Data!S515))</f>
        <v>321</v>
      </c>
      <c r="V524" s="25" t="str">
        <f>IF(Raw_Data!S515="","Missing-Imputed","Original")</f>
        <v>Original</v>
      </c>
      <c r="W524" s="26">
        <f>Raw_Data!T515</f>
        <v>49</v>
      </c>
      <c r="X524" s="25" t="str">
        <f>IF(ISNUMBER(SEARCH("Y",UPPER(TRIM(Raw_Data!U515)))),"Yes","No")</f>
        <v>Yes</v>
      </c>
      <c r="Y524" s="25" t="str">
        <f>IF(ISNUMBER(SEARCH("Y",UPPER(TRIM(Raw_Data!V515)))),"Yes","No")</f>
        <v>Yes</v>
      </c>
      <c r="Z524" s="26">
        <f>Raw_Data!W515</f>
        <v>2</v>
      </c>
      <c r="AA524" s="26">
        <f>Raw_Data!X515</f>
        <v>2.2000000000000002</v>
      </c>
      <c r="AB524" s="25" t="str">
        <f>IF(COUNTIFS(Raw_Data!$A$2:$A$616,Raw_Data!A515)&gt;1,"Duplicate","Unique")</f>
        <v>Unique</v>
      </c>
      <c r="AC524" s="25" t="str">
        <f t="shared" si="26"/>
        <v>Clean</v>
      </c>
    </row>
    <row r="525" spans="1:29" ht="15" customHeight="1">
      <c r="A525" s="23" t="str">
        <f>Raw_Data!A516</f>
        <v>BYJ1515</v>
      </c>
      <c r="B525" s="23" t="str">
        <f>Raw_Data!B516</f>
        <v>Shravya Bera</v>
      </c>
      <c r="C525" s="24">
        <f>IF(OR(Raw_Data!C516="",Raw_Data!C516&lt;$C$5,Raw_Data!C516&gt;$C$6),$C$4,Raw_Data!C516)</f>
        <v>35</v>
      </c>
      <c r="D525" s="23" t="str">
        <f>IF(Raw_Data!C516="","Missing-Imputed",IF(OR(Raw_Data!C516&lt;$C$5,Raw_Data!C516&gt;$C$6),"Outlier-Imputed","Original"))</f>
        <v>Original</v>
      </c>
      <c r="E525" s="23" t="str">
        <f>IF(OR(UPPER(TRIM(Raw_Data!D516))="M",UPPER(TRIM(Raw_Data!D516))="MALE"),"Male","Female")</f>
        <v>Male</v>
      </c>
      <c r="F525" s="23" t="str">
        <f>PROPER(TRIM(Raw_Data!E516))</f>
        <v>Bangalore</v>
      </c>
      <c r="G525" s="23" t="str">
        <f>PROPER(TRIM(Raw_Data!F516))</f>
        <v>Maharashtra</v>
      </c>
      <c r="H525" s="23" t="str">
        <f>PROPER(TRIM(Raw_Data!G516))</f>
        <v>Coding</v>
      </c>
      <c r="I525" s="23" t="str">
        <f>PROPER(TRIM(Raw_Data!H516))</f>
        <v>Bengaluru South</v>
      </c>
      <c r="J525" s="24">
        <f>IF(LEN(TRIM(Raw_Data!I516))=4,VALUE(TRIM(Raw_Data!I516)),IF(ISNUMBER(IFERROR(VALUE(MID(TRIM(Raw_Data!I516),1,4)),"NA")),VALUE(MID(TRIM(Raw_Data!I516),1,4)),VALUE(RIGHT(TRIM(Raw_Data!I516),4))))</f>
        <v>2019</v>
      </c>
      <c r="K525" s="23" t="str">
        <f>PROPER(TRIM(Raw_Data!J516))</f>
        <v>Retired</v>
      </c>
      <c r="L525" s="23" t="str">
        <f t="shared" si="24"/>
        <v>20+</v>
      </c>
      <c r="M525" s="23" t="str">
        <f t="shared" si="25"/>
        <v>Adult Learners</v>
      </c>
      <c r="N525" s="23" t="str">
        <f>IF(ISNUMBER(SEARCH("NON",UPPER(Raw_Data!M516))),"Non-Premium Learner","Premium Learner")</f>
        <v>Non-Premium Learner</v>
      </c>
      <c r="O525" s="23" t="str">
        <f>PROPER(TRIM(Raw_Data!N516))</f>
        <v>App Only</v>
      </c>
      <c r="P525" s="24">
        <f>IF(Raw_Data!O516="",$C$7,Raw_Data!O516)</f>
        <v>71742.19</v>
      </c>
      <c r="Q525" s="23" t="str">
        <f>IF(Raw_Data!O516="","Missing-Imputed","Original")</f>
        <v>Missing-Imputed</v>
      </c>
      <c r="R525" s="24">
        <f>Raw_Data!P516</f>
        <v>33.1</v>
      </c>
      <c r="S525" s="24">
        <f>Raw_Data!Q516</f>
        <v>31981.78</v>
      </c>
      <c r="T525" s="23" t="str">
        <f>IF(Raw_Data!R516="","Unknown",IF(ISNUMBER(SEARCH("ACT",UPPER(Raw_Data!R516))),"Active",IF(ISNUMBER(SEARCH("CLOS",UPPER(Raw_Data!R516))),"Closed","None")))</f>
        <v>None</v>
      </c>
      <c r="U525" s="24">
        <f>IF(Raw_Data!S516="",$C$8,VALUE(Raw_Data!S516))</f>
        <v>411</v>
      </c>
      <c r="V525" s="23" t="str">
        <f>IF(Raw_Data!S516="","Missing-Imputed","Original")</f>
        <v>Original</v>
      </c>
      <c r="W525" s="24">
        <f>Raw_Data!T516</f>
        <v>40</v>
      </c>
      <c r="X525" s="23" t="str">
        <f>IF(ISNUMBER(SEARCH("Y",UPPER(TRIM(Raw_Data!U516)))),"Yes","No")</f>
        <v>Yes</v>
      </c>
      <c r="Y525" s="23" t="str">
        <f>IF(ISNUMBER(SEARCH("Y",UPPER(TRIM(Raw_Data!V516)))),"Yes","No")</f>
        <v>Yes</v>
      </c>
      <c r="Z525" s="24">
        <f>Raw_Data!W516</f>
        <v>1</v>
      </c>
      <c r="AA525" s="24">
        <f>Raw_Data!X516</f>
        <v>4.2</v>
      </c>
      <c r="AB525" s="23" t="str">
        <f>IF(COUNTIFS(Raw_Data!$A$2:$A$616,Raw_Data!A516)&gt;1,"Duplicate","Unique")</f>
        <v>Unique</v>
      </c>
      <c r="AC525" s="23" t="str">
        <f t="shared" si="26"/>
        <v>Imputed</v>
      </c>
    </row>
    <row r="526" spans="1:29" ht="15" customHeight="1">
      <c r="A526" s="25" t="str">
        <f>Raw_Data!A517</f>
        <v>BYJ1516</v>
      </c>
      <c r="B526" s="25" t="str">
        <f>Raw_Data!B517</f>
        <v>Laban Hayer</v>
      </c>
      <c r="C526" s="26">
        <f>IF(OR(Raw_Data!C517="",Raw_Data!C517&lt;$C$5,Raw_Data!C517&gt;$C$6),$C$4,Raw_Data!C517)</f>
        <v>39</v>
      </c>
      <c r="D526" s="25" t="str">
        <f>IF(Raw_Data!C517="","Missing-Imputed",IF(OR(Raw_Data!C517&lt;$C$5,Raw_Data!C517&gt;$C$6),"Outlier-Imputed","Original"))</f>
        <v>Original</v>
      </c>
      <c r="E526" s="25" t="str">
        <f>IF(OR(UPPER(TRIM(Raw_Data!D517))="M",UPPER(TRIM(Raw_Data!D517))="MALE"),"Male","Female")</f>
        <v>Female</v>
      </c>
      <c r="F526" s="25" t="str">
        <f>PROPER(TRIM(Raw_Data!E517))</f>
        <v>Kishanganj</v>
      </c>
      <c r="G526" s="25" t="str">
        <f>PROPER(TRIM(Raw_Data!F517))</f>
        <v>Kerala</v>
      </c>
      <c r="H526" s="25" t="str">
        <f>PROPER(TRIM(Raw_Data!G517))</f>
        <v>English</v>
      </c>
      <c r="I526" s="25" t="str">
        <f>PROPER(TRIM(Raw_Data!H517))</f>
        <v>Ahmedabad Center</v>
      </c>
      <c r="J526" s="26">
        <f>IF(LEN(TRIM(Raw_Data!I517))=4,VALUE(TRIM(Raw_Data!I517)),IF(ISNUMBER(IFERROR(VALUE(MID(TRIM(Raw_Data!I517),1,4)),"NA")),VALUE(MID(TRIM(Raw_Data!I517),1,4)),VALUE(RIGHT(TRIM(Raw_Data!I517),4))))</f>
        <v>2022</v>
      </c>
      <c r="K526" s="25" t="str">
        <f>PROPER(TRIM(Raw_Data!J517))</f>
        <v>Homemaker</v>
      </c>
      <c r="L526" s="25" t="str">
        <f t="shared" si="24"/>
        <v>20+</v>
      </c>
      <c r="M526" s="25" t="str">
        <f t="shared" si="25"/>
        <v>Adult Learners</v>
      </c>
      <c r="N526" s="25" t="str">
        <f>IF(ISNUMBER(SEARCH("NON",UPPER(Raw_Data!M517))),"Non-Premium Learner","Premium Learner")</f>
        <v>Non-Premium Learner</v>
      </c>
      <c r="O526" s="25" t="str">
        <f>PROPER(TRIM(Raw_Data!N517))</f>
        <v>Both App &amp; Web</v>
      </c>
      <c r="P526" s="26">
        <f>IF(Raw_Data!O517="",$C$7,Raw_Data!O517)</f>
        <v>120753.81</v>
      </c>
      <c r="Q526" s="25" t="str">
        <f>IF(Raw_Data!O517="","Missing-Imputed","Original")</f>
        <v>Original</v>
      </c>
      <c r="R526" s="26">
        <f>Raw_Data!P517</f>
        <v>19.7</v>
      </c>
      <c r="S526" s="26">
        <f>Raw_Data!Q517</f>
        <v>17732.05</v>
      </c>
      <c r="T526" s="25" t="str">
        <f>IF(Raw_Data!R517="","Unknown",IF(ISNUMBER(SEARCH("ACT",UPPER(Raw_Data!R517))),"Active",IF(ISNUMBER(SEARCH("CLOS",UPPER(Raw_Data!R517))),"Closed","None")))</f>
        <v>None</v>
      </c>
      <c r="U526" s="26">
        <f>IF(Raw_Data!S517="",$C$8,VALUE(Raw_Data!S517))</f>
        <v>393</v>
      </c>
      <c r="V526" s="25" t="str">
        <f>IF(Raw_Data!S517="","Missing-Imputed","Original")</f>
        <v>Original</v>
      </c>
      <c r="W526" s="26">
        <f>Raw_Data!T517</f>
        <v>29</v>
      </c>
      <c r="X526" s="25" t="str">
        <f>IF(ISNUMBER(SEARCH("Y",UPPER(TRIM(Raw_Data!U517)))),"Yes","No")</f>
        <v>Yes</v>
      </c>
      <c r="Y526" s="25" t="str">
        <f>IF(ISNUMBER(SEARCH("Y",UPPER(TRIM(Raw_Data!V517)))),"Yes","No")</f>
        <v>Yes</v>
      </c>
      <c r="Z526" s="26">
        <f>Raw_Data!W517</f>
        <v>5</v>
      </c>
      <c r="AA526" s="26">
        <f>Raw_Data!X517</f>
        <v>4.5999999999999996</v>
      </c>
      <c r="AB526" s="25" t="str">
        <f>IF(COUNTIFS(Raw_Data!$A$2:$A$616,Raw_Data!A517)&gt;1,"Duplicate","Unique")</f>
        <v>Unique</v>
      </c>
      <c r="AC526" s="25" t="str">
        <f t="shared" si="26"/>
        <v>Clean</v>
      </c>
    </row>
    <row r="527" spans="1:29" ht="15" customHeight="1">
      <c r="A527" s="23" t="str">
        <f>Raw_Data!A518</f>
        <v>BYJ1517</v>
      </c>
      <c r="B527" s="23" t="str">
        <f>Raw_Data!B518</f>
        <v>Nilima Swamy</v>
      </c>
      <c r="C527" s="24">
        <f>IF(OR(Raw_Data!C518="",Raw_Data!C518&lt;$C$5,Raw_Data!C518&gt;$C$6),$C$4,Raw_Data!C518)</f>
        <v>14</v>
      </c>
      <c r="D527" s="23" t="str">
        <f>IF(Raw_Data!C518="","Missing-Imputed",IF(OR(Raw_Data!C518&lt;$C$5,Raw_Data!C518&gt;$C$6),"Outlier-Imputed","Original"))</f>
        <v>Original</v>
      </c>
      <c r="E527" s="23" t="str">
        <f>IF(OR(UPPER(TRIM(Raw_Data!D518))="M",UPPER(TRIM(Raw_Data!D518))="MALE"),"Male","Female")</f>
        <v>Male</v>
      </c>
      <c r="F527" s="23" t="str">
        <f>PROPER(TRIM(Raw_Data!E518))</f>
        <v>Raiganj</v>
      </c>
      <c r="G527" s="23" t="str">
        <f>PROPER(TRIM(Raw_Data!F518))</f>
        <v>Delhi</v>
      </c>
      <c r="H527" s="23" t="str">
        <f>PROPER(TRIM(Raw_Data!G518))</f>
        <v>Science</v>
      </c>
      <c r="I527" s="23" t="str">
        <f>PROPER(TRIM(Raw_Data!H518))</f>
        <v>Delhi North</v>
      </c>
      <c r="J527" s="24">
        <f>IF(LEN(TRIM(Raw_Data!I518))=4,VALUE(TRIM(Raw_Data!I518)),IF(ISNUMBER(IFERROR(VALUE(MID(TRIM(Raw_Data!I518),1,4)),"NA")),VALUE(MID(TRIM(Raw_Data!I518),1,4)),VALUE(RIGHT(TRIM(Raw_Data!I518),4))))</f>
        <v>2016</v>
      </c>
      <c r="K527" s="23" t="str">
        <f>PROPER(TRIM(Raw_Data!J518))</f>
        <v>Business</v>
      </c>
      <c r="L527" s="23" t="str">
        <f t="shared" si="24"/>
        <v>14-16</v>
      </c>
      <c r="M527" s="23" t="str">
        <f t="shared" si="25"/>
        <v>Teens</v>
      </c>
      <c r="N527" s="23" t="str">
        <f>IF(ISNUMBER(SEARCH("NON",UPPER(Raw_Data!M518))),"Non-Premium Learner","Premium Learner")</f>
        <v>Non-Premium Learner</v>
      </c>
      <c r="O527" s="23" t="str">
        <f>PROPER(TRIM(Raw_Data!N518))</f>
        <v>Both App &amp; Web</v>
      </c>
      <c r="P527" s="24">
        <f>IF(Raw_Data!O518="",$C$7,Raw_Data!O518)</f>
        <v>82947.14</v>
      </c>
      <c r="Q527" s="23" t="str">
        <f>IF(Raw_Data!O518="","Missing-Imputed","Original")</f>
        <v>Original</v>
      </c>
      <c r="R527" s="24">
        <f>Raw_Data!P518</f>
        <v>29.9</v>
      </c>
      <c r="S527" s="24">
        <f>Raw_Data!Q518</f>
        <v>8170.8</v>
      </c>
      <c r="T527" s="23" t="str">
        <f>IF(Raw_Data!R518="","Unknown",IF(ISNUMBER(SEARCH("ACT",UPPER(Raw_Data!R518))),"Active",IF(ISNUMBER(SEARCH("CLOS",UPPER(Raw_Data!R518))),"Closed","None")))</f>
        <v>Active</v>
      </c>
      <c r="U527" s="24">
        <f>IF(Raw_Data!S518="",$C$8,VALUE(Raw_Data!S518))</f>
        <v>737</v>
      </c>
      <c r="V527" s="23" t="str">
        <f>IF(Raw_Data!S518="","Missing-Imputed","Original")</f>
        <v>Original</v>
      </c>
      <c r="W527" s="24">
        <f>Raw_Data!T518</f>
        <v>52</v>
      </c>
      <c r="X527" s="23" t="str">
        <f>IF(ISNUMBER(SEARCH("Y",UPPER(TRIM(Raw_Data!U518)))),"Yes","No")</f>
        <v>Yes</v>
      </c>
      <c r="Y527" s="23" t="str">
        <f>IF(ISNUMBER(SEARCH("Y",UPPER(TRIM(Raw_Data!V518)))),"Yes","No")</f>
        <v>Yes</v>
      </c>
      <c r="Z527" s="24">
        <f>Raw_Data!W518</f>
        <v>5</v>
      </c>
      <c r="AA527" s="24">
        <f>Raw_Data!X518</f>
        <v>4.3</v>
      </c>
      <c r="AB527" s="23" t="str">
        <f>IF(COUNTIFS(Raw_Data!$A$2:$A$616,Raw_Data!A518)&gt;1,"Duplicate","Unique")</f>
        <v>Unique</v>
      </c>
      <c r="AC527" s="23" t="str">
        <f t="shared" si="26"/>
        <v>Clean</v>
      </c>
    </row>
    <row r="528" spans="1:29" ht="15" customHeight="1">
      <c r="A528" s="25" t="str">
        <f>Raw_Data!A519</f>
        <v>BYJ1518</v>
      </c>
      <c r="B528" s="25" t="str">
        <f>Raw_Data!B519</f>
        <v>Oliver Butala</v>
      </c>
      <c r="C528" s="26">
        <f>IF(OR(Raw_Data!C519="",Raw_Data!C519&lt;$C$5,Raw_Data!C519&gt;$C$6),$C$4,Raw_Data!C519)</f>
        <v>11</v>
      </c>
      <c r="D528" s="25" t="str">
        <f>IF(Raw_Data!C519="","Missing-Imputed",IF(OR(Raw_Data!C519&lt;$C$5,Raw_Data!C519&gt;$C$6),"Outlier-Imputed","Original"))</f>
        <v>Original</v>
      </c>
      <c r="E528" s="25" t="str">
        <f>IF(OR(UPPER(TRIM(Raw_Data!D519))="M",UPPER(TRIM(Raw_Data!D519))="MALE"),"Male","Female")</f>
        <v>Female</v>
      </c>
      <c r="F528" s="25" t="str">
        <f>PROPER(TRIM(Raw_Data!E519))</f>
        <v>Muzaffarnagar</v>
      </c>
      <c r="G528" s="25" t="str">
        <f>PROPER(TRIM(Raw_Data!F519))</f>
        <v>Telangana</v>
      </c>
      <c r="H528" s="25" t="str">
        <f>PROPER(TRIM(Raw_Data!G519))</f>
        <v>Neet Prep</v>
      </c>
      <c r="I528" s="25" t="str">
        <f>PROPER(TRIM(Raw_Data!H519))</f>
        <v>Chennai Central</v>
      </c>
      <c r="J528" s="26">
        <f>IF(LEN(TRIM(Raw_Data!I519))=4,VALUE(TRIM(Raw_Data!I519)),IF(ISNUMBER(IFERROR(VALUE(MID(TRIM(Raw_Data!I519),1,4)),"NA")),VALUE(MID(TRIM(Raw_Data!I519),1,4)),VALUE(RIGHT(TRIM(Raw_Data!I519),4))))</f>
        <v>2016</v>
      </c>
      <c r="K528" s="25" t="str">
        <f>PROPER(TRIM(Raw_Data!J519))</f>
        <v>Retired</v>
      </c>
      <c r="L528" s="25" t="str">
        <f t="shared" si="24"/>
        <v>10-13</v>
      </c>
      <c r="M528" s="25" t="str">
        <f t="shared" si="25"/>
        <v>Kids</v>
      </c>
      <c r="N528" s="25" t="str">
        <f>IF(ISNUMBER(SEARCH("NON",UPPER(Raw_Data!M519))),"Non-Premium Learner","Premium Learner")</f>
        <v>Non-Premium Learner</v>
      </c>
      <c r="O528" s="25" t="str">
        <f>PROPER(TRIM(Raw_Data!N519))</f>
        <v>Both App &amp; Web</v>
      </c>
      <c r="P528" s="26">
        <f>IF(Raw_Data!O519="",$C$7,Raw_Data!O519)</f>
        <v>9400.3700000000008</v>
      </c>
      <c r="Q528" s="25" t="str">
        <f>IF(Raw_Data!O519="","Missing-Imputed","Original")</f>
        <v>Original</v>
      </c>
      <c r="R528" s="26">
        <f>Raw_Data!P519</f>
        <v>61.8</v>
      </c>
      <c r="S528" s="26">
        <f>Raw_Data!Q519</f>
        <v>48478.33</v>
      </c>
      <c r="T528" s="25" t="str">
        <f>IF(Raw_Data!R519="","Unknown",IF(ISNUMBER(SEARCH("ACT",UPPER(Raw_Data!R519))),"Active",IF(ISNUMBER(SEARCH("CLOS",UPPER(Raw_Data!R519))),"Closed","None")))</f>
        <v>None</v>
      </c>
      <c r="U528" s="26">
        <f>IF(Raw_Data!S519="",$C$8,VALUE(Raw_Data!S519))</f>
        <v>384</v>
      </c>
      <c r="V528" s="25" t="str">
        <f>IF(Raw_Data!S519="","Missing-Imputed","Original")</f>
        <v>Original</v>
      </c>
      <c r="W528" s="26">
        <f>Raw_Data!T519</f>
        <v>123</v>
      </c>
      <c r="X528" s="25" t="str">
        <f>IF(ISNUMBER(SEARCH("Y",UPPER(TRIM(Raw_Data!U519)))),"Yes","No")</f>
        <v>Yes</v>
      </c>
      <c r="Y528" s="25" t="str">
        <f>IF(ISNUMBER(SEARCH("Y",UPPER(TRIM(Raw_Data!V519)))),"Yes","No")</f>
        <v>No</v>
      </c>
      <c r="Z528" s="26">
        <f>Raw_Data!W519</f>
        <v>5</v>
      </c>
      <c r="AA528" s="26">
        <f>Raw_Data!X519</f>
        <v>0.7</v>
      </c>
      <c r="AB528" s="25" t="str">
        <f>IF(COUNTIFS(Raw_Data!$A$2:$A$616,Raw_Data!A519)&gt;1,"Duplicate","Unique")</f>
        <v>Unique</v>
      </c>
      <c r="AC528" s="25" t="str">
        <f t="shared" si="26"/>
        <v>Clean</v>
      </c>
    </row>
    <row r="529" spans="1:29" ht="15" customHeight="1">
      <c r="A529" s="23" t="str">
        <f>Raw_Data!A520</f>
        <v>BYJ1519</v>
      </c>
      <c r="B529" s="23" t="str">
        <f>Raw_Data!B520</f>
        <v>Bachittar Maharaj</v>
      </c>
      <c r="C529" s="24">
        <f>IF(OR(Raw_Data!C520="",Raw_Data!C520&lt;$C$5,Raw_Data!C520&gt;$C$6),$C$4,Raw_Data!C520)</f>
        <v>30</v>
      </c>
      <c r="D529" s="23" t="str">
        <f>IF(Raw_Data!C520="","Missing-Imputed",IF(OR(Raw_Data!C520&lt;$C$5,Raw_Data!C520&gt;$C$6),"Outlier-Imputed","Original"))</f>
        <v>Original</v>
      </c>
      <c r="E529" s="23" t="str">
        <f>IF(OR(UPPER(TRIM(Raw_Data!D520))="M",UPPER(TRIM(Raw_Data!D520))="MALE"),"Male","Female")</f>
        <v>Male</v>
      </c>
      <c r="F529" s="23" t="str">
        <f>PROPER(TRIM(Raw_Data!E520))</f>
        <v>Siwan</v>
      </c>
      <c r="G529" s="23" t="str">
        <f>PROPER(TRIM(Raw_Data!F520))</f>
        <v>Telangana</v>
      </c>
      <c r="H529" s="23" t="str">
        <f>PROPER(TRIM(Raw_Data!G520))</f>
        <v>Jee Prep</v>
      </c>
      <c r="I529" s="23" t="str">
        <f>PROPER(TRIM(Raw_Data!H520))</f>
        <v>Mumbai West</v>
      </c>
      <c r="J529" s="24">
        <f>IF(LEN(TRIM(Raw_Data!I520))=4,VALUE(TRIM(Raw_Data!I520)),IF(ISNUMBER(IFERROR(VALUE(MID(TRIM(Raw_Data!I520),1,4)),"NA")),VALUE(MID(TRIM(Raw_Data!I520),1,4)),VALUE(RIGHT(TRIM(Raw_Data!I520),4))))</f>
        <v>2017</v>
      </c>
      <c r="K529" s="23" t="str">
        <f>PROPER(TRIM(Raw_Data!J520))</f>
        <v>Government Employee</v>
      </c>
      <c r="L529" s="23" t="str">
        <f t="shared" si="24"/>
        <v>20+</v>
      </c>
      <c r="M529" s="23" t="str">
        <f t="shared" si="25"/>
        <v>Adult Learners</v>
      </c>
      <c r="N529" s="23" t="str">
        <f>IF(ISNUMBER(SEARCH("NON",UPPER(Raw_Data!M520))),"Non-Premium Learner","Premium Learner")</f>
        <v>Non-Premium Learner</v>
      </c>
      <c r="O529" s="23" t="str">
        <f>PROPER(TRIM(Raw_Data!N520))</f>
        <v>Web Only</v>
      </c>
      <c r="P529" s="24">
        <f>IF(Raw_Data!O520="",$C$7,Raw_Data!O520)</f>
        <v>76215.179999999993</v>
      </c>
      <c r="Q529" s="23" t="str">
        <f>IF(Raw_Data!O520="","Missing-Imputed","Original")</f>
        <v>Original</v>
      </c>
      <c r="R529" s="24">
        <f>Raw_Data!P520</f>
        <v>10.7</v>
      </c>
      <c r="S529" s="24">
        <f>Raw_Data!Q520</f>
        <v>10543.5</v>
      </c>
      <c r="T529" s="23" t="str">
        <f>IF(Raw_Data!R520="","Unknown",IF(ISNUMBER(SEARCH("ACT",UPPER(Raw_Data!R520))),"Active",IF(ISNUMBER(SEARCH("CLOS",UPPER(Raw_Data!R520))),"Closed","None")))</f>
        <v>Closed</v>
      </c>
      <c r="U529" s="24">
        <f>IF(Raw_Data!S520="",$C$8,VALUE(Raw_Data!S520))</f>
        <v>343</v>
      </c>
      <c r="V529" s="23" t="str">
        <f>IF(Raw_Data!S520="","Missing-Imputed","Original")</f>
        <v>Original</v>
      </c>
      <c r="W529" s="24">
        <f>Raw_Data!T520</f>
        <v>120</v>
      </c>
      <c r="X529" s="23" t="str">
        <f>IF(ISNUMBER(SEARCH("Y",UPPER(TRIM(Raw_Data!U520)))),"Yes","No")</f>
        <v>Yes</v>
      </c>
      <c r="Y529" s="23" t="str">
        <f>IF(ISNUMBER(SEARCH("Y",UPPER(TRIM(Raw_Data!V520)))),"Yes","No")</f>
        <v>No</v>
      </c>
      <c r="Z529" s="24">
        <f>Raw_Data!W520</f>
        <v>1</v>
      </c>
      <c r="AA529" s="24">
        <f>Raw_Data!X520</f>
        <v>5.6</v>
      </c>
      <c r="AB529" s="23" t="str">
        <f>IF(COUNTIFS(Raw_Data!$A$2:$A$616,Raw_Data!A520)&gt;1,"Duplicate","Unique")</f>
        <v>Unique</v>
      </c>
      <c r="AC529" s="23" t="str">
        <f t="shared" si="26"/>
        <v>Clean</v>
      </c>
    </row>
    <row r="530" spans="1:29" ht="15" customHeight="1">
      <c r="A530" s="25" t="str">
        <f>Raw_Data!A521</f>
        <v>BYJ1520</v>
      </c>
      <c r="B530" s="25" t="str">
        <f>Raw_Data!B521</f>
        <v xml:space="preserve">  Om Shankar  </v>
      </c>
      <c r="C530" s="26">
        <f>IF(OR(Raw_Data!C521="",Raw_Data!C521&lt;$C$5,Raw_Data!C521&gt;$C$6),$C$4,Raw_Data!C521)</f>
        <v>21</v>
      </c>
      <c r="D530" s="25" t="str">
        <f>IF(Raw_Data!C521="","Missing-Imputed",IF(OR(Raw_Data!C521&lt;$C$5,Raw_Data!C521&gt;$C$6),"Outlier-Imputed","Original"))</f>
        <v>Original</v>
      </c>
      <c r="E530" s="25" t="str">
        <f>IF(OR(UPPER(TRIM(Raw_Data!D521))="M",UPPER(TRIM(Raw_Data!D521))="MALE"),"Male","Female")</f>
        <v>Female</v>
      </c>
      <c r="F530" s="25" t="str">
        <f>PROPER(TRIM(Raw_Data!E521))</f>
        <v>Jamalpur</v>
      </c>
      <c r="G530" s="25" t="str">
        <f>PROPER(TRIM(Raw_Data!F521))</f>
        <v>Karnataka</v>
      </c>
      <c r="H530" s="25" t="str">
        <f>PROPER(TRIM(Raw_Data!G521))</f>
        <v>Neet Prep</v>
      </c>
      <c r="I530" s="25" t="str">
        <f>PROPER(TRIM(Raw_Data!H521))</f>
        <v>Jaipur Center</v>
      </c>
      <c r="J530" s="26">
        <f>IF(LEN(TRIM(Raw_Data!I521))=4,VALUE(TRIM(Raw_Data!I521)),IF(ISNUMBER(IFERROR(VALUE(MID(TRIM(Raw_Data!I521),1,4)),"NA")),VALUE(MID(TRIM(Raw_Data!I521),1,4)),VALUE(RIGHT(TRIM(Raw_Data!I521),4))))</f>
        <v>2020</v>
      </c>
      <c r="K530" s="25" t="str">
        <f>PROPER(TRIM(Raw_Data!J521))</f>
        <v>Self-Employed</v>
      </c>
      <c r="L530" s="25" t="str">
        <f t="shared" si="24"/>
        <v>20+</v>
      </c>
      <c r="M530" s="25" t="str">
        <f t="shared" si="25"/>
        <v>Adult Learners</v>
      </c>
      <c r="N530" s="25" t="str">
        <f>IF(ISNUMBER(SEARCH("NON",UPPER(Raw_Data!M521))),"Non-Premium Learner","Premium Learner")</f>
        <v>Non-Premium Learner</v>
      </c>
      <c r="O530" s="25" t="str">
        <f>PROPER(TRIM(Raw_Data!N521))</f>
        <v>App Only</v>
      </c>
      <c r="P530" s="26">
        <f>IF(Raw_Data!O521="",$C$7,Raw_Data!O521)</f>
        <v>120666.52</v>
      </c>
      <c r="Q530" s="25" t="str">
        <f>IF(Raw_Data!O521="","Missing-Imputed","Original")</f>
        <v>Original</v>
      </c>
      <c r="R530" s="26">
        <f>Raw_Data!P521</f>
        <v>79.3</v>
      </c>
      <c r="S530" s="26">
        <f>Raw_Data!Q521</f>
        <v>22173.98</v>
      </c>
      <c r="T530" s="25" t="str">
        <f>IF(Raw_Data!R521="","Unknown",IF(ISNUMBER(SEARCH("ACT",UPPER(Raw_Data!R521))),"Active",IF(ISNUMBER(SEARCH("CLOS",UPPER(Raw_Data!R521))),"Closed","None")))</f>
        <v>Active</v>
      </c>
      <c r="U530" s="26">
        <f>IF(Raw_Data!S521="",$C$8,VALUE(Raw_Data!S521))</f>
        <v>617</v>
      </c>
      <c r="V530" s="25" t="str">
        <f>IF(Raw_Data!S521="","Missing-Imputed","Original")</f>
        <v>Original</v>
      </c>
      <c r="W530" s="26">
        <f>Raw_Data!T521</f>
        <v>200</v>
      </c>
      <c r="X530" s="25" t="str">
        <f>IF(ISNUMBER(SEARCH("Y",UPPER(TRIM(Raw_Data!U521)))),"Yes","No")</f>
        <v>No</v>
      </c>
      <c r="Y530" s="25" t="str">
        <f>IF(ISNUMBER(SEARCH("Y",UPPER(TRIM(Raw_Data!V521)))),"Yes","No")</f>
        <v>Yes</v>
      </c>
      <c r="Z530" s="26">
        <f>Raw_Data!W521</f>
        <v>1</v>
      </c>
      <c r="AA530" s="26">
        <f>Raw_Data!X521</f>
        <v>4</v>
      </c>
      <c r="AB530" s="25" t="str">
        <f>IF(COUNTIFS(Raw_Data!$A$2:$A$616,Raw_Data!A521)&gt;1,"Duplicate","Unique")</f>
        <v>Unique</v>
      </c>
      <c r="AC530" s="25" t="str">
        <f t="shared" si="26"/>
        <v>Clean</v>
      </c>
    </row>
    <row r="531" spans="1:29" ht="15" customHeight="1">
      <c r="A531" s="23" t="str">
        <f>Raw_Data!A522</f>
        <v>BYJ1521</v>
      </c>
      <c r="B531" s="23" t="str">
        <f>Raw_Data!B522</f>
        <v>Ishaan Loyal</v>
      </c>
      <c r="C531" s="24">
        <f>IF(OR(Raw_Data!C522="",Raw_Data!C522&lt;$C$5,Raw_Data!C522&gt;$C$6),$C$4,Raw_Data!C522)</f>
        <v>45</v>
      </c>
      <c r="D531" s="23" t="str">
        <f>IF(Raw_Data!C522="","Missing-Imputed",IF(OR(Raw_Data!C522&lt;$C$5,Raw_Data!C522&gt;$C$6),"Outlier-Imputed","Original"))</f>
        <v>Original</v>
      </c>
      <c r="E531" s="23" t="str">
        <f>IF(OR(UPPER(TRIM(Raw_Data!D522))="M",UPPER(TRIM(Raw_Data!D522))="MALE"),"Male","Female")</f>
        <v>Female</v>
      </c>
      <c r="F531" s="23" t="str">
        <f>PROPER(TRIM(Raw_Data!E522))</f>
        <v>Hosur</v>
      </c>
      <c r="G531" s="23" t="str">
        <f>PROPER(TRIM(Raw_Data!F522))</f>
        <v>Tamil Nadu</v>
      </c>
      <c r="H531" s="23" t="str">
        <f>PROPER(TRIM(Raw_Data!G522))</f>
        <v>Science</v>
      </c>
      <c r="I531" s="23" t="str">
        <f>PROPER(TRIM(Raw_Data!H522))</f>
        <v>Mumbai West</v>
      </c>
      <c r="J531" s="24">
        <f>IF(LEN(TRIM(Raw_Data!I522))=4,VALUE(TRIM(Raw_Data!I522)),IF(ISNUMBER(IFERROR(VALUE(MID(TRIM(Raw_Data!I522),1,4)),"NA")),VALUE(MID(TRIM(Raw_Data!I522),1,4)),VALUE(RIGHT(TRIM(Raw_Data!I522),4))))</f>
        <v>2017</v>
      </c>
      <c r="K531" s="23" t="str">
        <f>PROPER(TRIM(Raw_Data!J522))</f>
        <v>Salaried</v>
      </c>
      <c r="L531" s="23" t="str">
        <f t="shared" si="24"/>
        <v>20+</v>
      </c>
      <c r="M531" s="23" t="str">
        <f t="shared" si="25"/>
        <v>Adult Learners</v>
      </c>
      <c r="N531" s="23" t="str">
        <f>IF(ISNUMBER(SEARCH("NON",UPPER(Raw_Data!M522))),"Non-Premium Learner","Premium Learner")</f>
        <v>Non-Premium Learner</v>
      </c>
      <c r="O531" s="23" t="str">
        <f>PROPER(TRIM(Raw_Data!N522))</f>
        <v>Both App &amp; Web</v>
      </c>
      <c r="P531" s="24">
        <f>IF(Raw_Data!O522="",$C$7,Raw_Data!O522)</f>
        <v>23018.35</v>
      </c>
      <c r="Q531" s="23" t="str">
        <f>IF(Raw_Data!O522="","Missing-Imputed","Original")</f>
        <v>Original</v>
      </c>
      <c r="R531" s="24">
        <f>Raw_Data!P522</f>
        <v>44.7</v>
      </c>
      <c r="S531" s="24">
        <f>Raw_Data!Q522</f>
        <v>298.3</v>
      </c>
      <c r="T531" s="23" t="str">
        <f>IF(Raw_Data!R522="","Unknown",IF(ISNUMBER(SEARCH("ACT",UPPER(Raw_Data!R522))),"Active",IF(ISNUMBER(SEARCH("CLOS",UPPER(Raw_Data!R522))),"Closed","None")))</f>
        <v>None</v>
      </c>
      <c r="U531" s="24">
        <f>IF(Raw_Data!S522="",$C$8,VALUE(Raw_Data!S522))</f>
        <v>481</v>
      </c>
      <c r="V531" s="23" t="str">
        <f>IF(Raw_Data!S522="","Missing-Imputed","Original")</f>
        <v>Original</v>
      </c>
      <c r="W531" s="24">
        <f>Raw_Data!T522</f>
        <v>121</v>
      </c>
      <c r="X531" s="23" t="str">
        <f>IF(ISNUMBER(SEARCH("Y",UPPER(TRIM(Raw_Data!U522)))),"Yes","No")</f>
        <v>No</v>
      </c>
      <c r="Y531" s="23" t="str">
        <f>IF(ISNUMBER(SEARCH("Y",UPPER(TRIM(Raw_Data!V522)))),"Yes","No")</f>
        <v>Yes</v>
      </c>
      <c r="Z531" s="24">
        <f>Raw_Data!W522</f>
        <v>2</v>
      </c>
      <c r="AA531" s="24">
        <f>Raw_Data!X522</f>
        <v>5</v>
      </c>
      <c r="AB531" s="23" t="str">
        <f>IF(COUNTIFS(Raw_Data!$A$2:$A$616,Raw_Data!A522)&gt;1,"Duplicate","Unique")</f>
        <v>Unique</v>
      </c>
      <c r="AC531" s="23" t="str">
        <f t="shared" si="26"/>
        <v>Clean</v>
      </c>
    </row>
    <row r="532" spans="1:29" ht="15" customHeight="1">
      <c r="A532" s="25" t="str">
        <f>Raw_Data!A523</f>
        <v>BYJ1522</v>
      </c>
      <c r="B532" s="25" t="str">
        <f>Raw_Data!B523</f>
        <v xml:space="preserve">  Ridhi Kamdar  </v>
      </c>
      <c r="C532" s="26">
        <f>IF(OR(Raw_Data!C523="",Raw_Data!C523&lt;$C$5,Raw_Data!C523&gt;$C$6),$C$4,Raw_Data!C523)</f>
        <v>15</v>
      </c>
      <c r="D532" s="25" t="str">
        <f>IF(Raw_Data!C523="","Missing-Imputed",IF(OR(Raw_Data!C523&lt;$C$5,Raw_Data!C523&gt;$C$6),"Outlier-Imputed","Original"))</f>
        <v>Original</v>
      </c>
      <c r="E532" s="25" t="str">
        <f>IF(OR(UPPER(TRIM(Raw_Data!D523))="M",UPPER(TRIM(Raw_Data!D523))="MALE"),"Male","Female")</f>
        <v>Male</v>
      </c>
      <c r="F532" s="25" t="str">
        <f>PROPER(TRIM(Raw_Data!E523))</f>
        <v>Kota</v>
      </c>
      <c r="G532" s="25" t="str">
        <f>PROPER(TRIM(Raw_Data!F523))</f>
        <v>Kerala</v>
      </c>
      <c r="H532" s="25" t="str">
        <f>PROPER(TRIM(Raw_Data!G523))</f>
        <v>Jee Prep</v>
      </c>
      <c r="I532" s="25" t="str">
        <f>PROPER(TRIM(Raw_Data!H523))</f>
        <v>Mumbai West</v>
      </c>
      <c r="J532" s="26">
        <f>IF(LEN(TRIM(Raw_Data!I523))=4,VALUE(TRIM(Raw_Data!I523)),IF(ISNUMBER(IFERROR(VALUE(MID(TRIM(Raw_Data!I523),1,4)),"NA")),VALUE(MID(TRIM(Raw_Data!I523),1,4)),VALUE(RIGHT(TRIM(Raw_Data!I523),4))))</f>
        <v>46043</v>
      </c>
      <c r="K532" s="25" t="str">
        <f>PROPER(TRIM(Raw_Data!J523))</f>
        <v>Self-Employed</v>
      </c>
      <c r="L532" s="25" t="str">
        <f t="shared" si="24"/>
        <v>14-16</v>
      </c>
      <c r="M532" s="25" t="str">
        <f t="shared" si="25"/>
        <v>Teens</v>
      </c>
      <c r="N532" s="25" t="str">
        <f>IF(ISNUMBER(SEARCH("NON",UPPER(Raw_Data!M523))),"Non-Premium Learner","Premium Learner")</f>
        <v>Premium Learner</v>
      </c>
      <c r="O532" s="25" t="str">
        <f>PROPER(TRIM(Raw_Data!N523))</f>
        <v>Web Only</v>
      </c>
      <c r="P532" s="26">
        <f>IF(Raw_Data!O523="",$C$7,Raw_Data!O523)</f>
        <v>114689.52</v>
      </c>
      <c r="Q532" s="25" t="str">
        <f>IF(Raw_Data!O523="","Missing-Imputed","Original")</f>
        <v>Original</v>
      </c>
      <c r="R532" s="26">
        <f>Raw_Data!P523</f>
        <v>59.2</v>
      </c>
      <c r="S532" s="26">
        <f>Raw_Data!Q523</f>
        <v>50702.38</v>
      </c>
      <c r="T532" s="25" t="str">
        <f>IF(Raw_Data!R523="","Unknown",IF(ISNUMBER(SEARCH("ACT",UPPER(Raw_Data!R523))),"Active",IF(ISNUMBER(SEARCH("CLOS",UPPER(Raw_Data!R523))),"Closed","None")))</f>
        <v>Closed</v>
      </c>
      <c r="U532" s="26">
        <f>IF(Raw_Data!S523="",$C$8,VALUE(Raw_Data!S523))</f>
        <v>406</v>
      </c>
      <c r="V532" s="25" t="str">
        <f>IF(Raw_Data!S523="","Missing-Imputed","Original")</f>
        <v>Original</v>
      </c>
      <c r="W532" s="26">
        <f>Raw_Data!T523</f>
        <v>199</v>
      </c>
      <c r="X532" s="25" t="str">
        <f>IF(ISNUMBER(SEARCH("Y",UPPER(TRIM(Raw_Data!U523)))),"Yes","No")</f>
        <v>No</v>
      </c>
      <c r="Y532" s="25" t="str">
        <f>IF(ISNUMBER(SEARCH("Y",UPPER(TRIM(Raw_Data!V523)))),"Yes","No")</f>
        <v>No</v>
      </c>
      <c r="Z532" s="26">
        <f>Raw_Data!W523</f>
        <v>4</v>
      </c>
      <c r="AA532" s="26">
        <f>Raw_Data!X523</f>
        <v>3</v>
      </c>
      <c r="AB532" s="25" t="str">
        <f>IF(COUNTIFS(Raw_Data!$A$2:$A$616,Raw_Data!A523)&gt;1,"Duplicate","Unique")</f>
        <v>Unique</v>
      </c>
      <c r="AC532" s="25" t="str">
        <f t="shared" si="26"/>
        <v>Clean</v>
      </c>
    </row>
    <row r="533" spans="1:29" ht="15" customHeight="1">
      <c r="A533" s="23" t="str">
        <f>Raw_Data!A524</f>
        <v>BYJ1523</v>
      </c>
      <c r="B533" s="23" t="str">
        <f>Raw_Data!B524</f>
        <v>Chameli Bali</v>
      </c>
      <c r="C533" s="24">
        <f>IF(OR(Raw_Data!C524="",Raw_Data!C524&lt;$C$5,Raw_Data!C524&gt;$C$6),$C$4,Raw_Data!C524)</f>
        <v>28</v>
      </c>
      <c r="D533" s="23" t="str">
        <f>IF(Raw_Data!C524="","Missing-Imputed",IF(OR(Raw_Data!C524&lt;$C$5,Raw_Data!C524&gt;$C$6),"Outlier-Imputed","Original"))</f>
        <v>Original</v>
      </c>
      <c r="E533" s="23" t="str">
        <f>IF(OR(UPPER(TRIM(Raw_Data!D524))="M",UPPER(TRIM(Raw_Data!D524))="MALE"),"Male","Female")</f>
        <v>Female</v>
      </c>
      <c r="F533" s="23" t="str">
        <f>PROPER(TRIM(Raw_Data!E524))</f>
        <v>Firozabad</v>
      </c>
      <c r="G533" s="23" t="str">
        <f>PROPER(TRIM(Raw_Data!F524))</f>
        <v>Tamil Nadu</v>
      </c>
      <c r="H533" s="23" t="str">
        <f>PROPER(TRIM(Raw_Data!G524))</f>
        <v>Science</v>
      </c>
      <c r="I533" s="23" t="str">
        <f>PROPER(TRIM(Raw_Data!H524))</f>
        <v>Kolkata Main</v>
      </c>
      <c r="J533" s="24">
        <f>IF(LEN(TRIM(Raw_Data!I524))=4,VALUE(TRIM(Raw_Data!I524)),IF(ISNUMBER(IFERROR(VALUE(MID(TRIM(Raw_Data!I524),1,4)),"NA")),VALUE(MID(TRIM(Raw_Data!I524),1,4)),VALUE(RIGHT(TRIM(Raw_Data!I524),4))))</f>
        <v>46044</v>
      </c>
      <c r="K533" s="23" t="str">
        <f>PROPER(TRIM(Raw_Data!J524))</f>
        <v>Homemaker</v>
      </c>
      <c r="L533" s="23" t="str">
        <f t="shared" si="24"/>
        <v>20+</v>
      </c>
      <c r="M533" s="23" t="str">
        <f t="shared" si="25"/>
        <v>Adult Learners</v>
      </c>
      <c r="N533" s="23" t="str">
        <f>IF(ISNUMBER(SEARCH("NON",UPPER(Raw_Data!M524))),"Non-Premium Learner","Premium Learner")</f>
        <v>Non-Premium Learner</v>
      </c>
      <c r="O533" s="23" t="str">
        <f>PROPER(TRIM(Raw_Data!N524))</f>
        <v>App Only</v>
      </c>
      <c r="P533" s="24">
        <f>IF(Raw_Data!O524="",$C$7,Raw_Data!O524)</f>
        <v>144086.67000000001</v>
      </c>
      <c r="Q533" s="23" t="str">
        <f>IF(Raw_Data!O524="","Missing-Imputed","Original")</f>
        <v>Original</v>
      </c>
      <c r="R533" s="24">
        <f>Raw_Data!P524</f>
        <v>6.7</v>
      </c>
      <c r="S533" s="24">
        <f>Raw_Data!Q524</f>
        <v>5076.41</v>
      </c>
      <c r="T533" s="23" t="str">
        <f>IF(Raw_Data!R524="","Unknown",IF(ISNUMBER(SEARCH("ACT",UPPER(Raw_Data!R524))),"Active",IF(ISNUMBER(SEARCH("CLOS",UPPER(Raw_Data!R524))),"Closed","None")))</f>
        <v>Closed</v>
      </c>
      <c r="U533" s="24">
        <f>IF(Raw_Data!S524="",$C$8,VALUE(Raw_Data!S524))</f>
        <v>721</v>
      </c>
      <c r="V533" s="23" t="str">
        <f>IF(Raw_Data!S524="","Missing-Imputed","Original")</f>
        <v>Original</v>
      </c>
      <c r="W533" s="24">
        <f>Raw_Data!T524</f>
        <v>74</v>
      </c>
      <c r="X533" s="23" t="str">
        <f>IF(ISNUMBER(SEARCH("Y",UPPER(TRIM(Raw_Data!U524)))),"Yes","No")</f>
        <v>Yes</v>
      </c>
      <c r="Y533" s="23" t="str">
        <f>IF(ISNUMBER(SEARCH("Y",UPPER(TRIM(Raw_Data!V524)))),"Yes","No")</f>
        <v>Yes</v>
      </c>
      <c r="Z533" s="24">
        <f>Raw_Data!W524</f>
        <v>2</v>
      </c>
      <c r="AA533" s="24">
        <f>Raw_Data!X524</f>
        <v>5.2</v>
      </c>
      <c r="AB533" s="23" t="str">
        <f>IF(COUNTIFS(Raw_Data!$A$2:$A$616,Raw_Data!A524)&gt;1,"Duplicate","Unique")</f>
        <v>Unique</v>
      </c>
      <c r="AC533" s="23" t="str">
        <f t="shared" si="26"/>
        <v>Clean</v>
      </c>
    </row>
    <row r="534" spans="1:29" ht="15" customHeight="1">
      <c r="A534" s="25" t="str">
        <f>Raw_Data!A525</f>
        <v>BYJ1524</v>
      </c>
      <c r="B534" s="25" t="str">
        <f>Raw_Data!B525</f>
        <v>Gagan Sarna</v>
      </c>
      <c r="C534" s="26">
        <f>IF(OR(Raw_Data!C525="",Raw_Data!C525&lt;$C$5,Raw_Data!C525&gt;$C$6),$C$4,Raw_Data!C525)</f>
        <v>23</v>
      </c>
      <c r="D534" s="25" t="str">
        <f>IF(Raw_Data!C525="","Missing-Imputed",IF(OR(Raw_Data!C525&lt;$C$5,Raw_Data!C525&gt;$C$6),"Outlier-Imputed","Original"))</f>
        <v>Original</v>
      </c>
      <c r="E534" s="25" t="str">
        <f>IF(OR(UPPER(TRIM(Raw_Data!D525))="M",UPPER(TRIM(Raw_Data!D525))="MALE"),"Male","Female")</f>
        <v>Female</v>
      </c>
      <c r="F534" s="25" t="str">
        <f>PROPER(TRIM(Raw_Data!E525))</f>
        <v>Patiala</v>
      </c>
      <c r="G534" s="25" t="str">
        <f>PROPER(TRIM(Raw_Data!F525))</f>
        <v>Tamil Nadu</v>
      </c>
      <c r="H534" s="25" t="str">
        <f>PROPER(TRIM(Raw_Data!G525))</f>
        <v>Neet Prep</v>
      </c>
      <c r="I534" s="25" t="str">
        <f>PROPER(TRIM(Raw_Data!H525))</f>
        <v>Chennai Central</v>
      </c>
      <c r="J534" s="26">
        <f>IF(LEN(TRIM(Raw_Data!I525))=4,VALUE(TRIM(Raw_Data!I525)),IF(ISNUMBER(IFERROR(VALUE(MID(TRIM(Raw_Data!I525),1,4)),"NA")),VALUE(MID(TRIM(Raw_Data!I525),1,4)),VALUE(RIGHT(TRIM(Raw_Data!I525),4))))</f>
        <v>2020</v>
      </c>
      <c r="K534" s="25" t="str">
        <f>PROPER(TRIM(Raw_Data!J525))</f>
        <v>Homemaker</v>
      </c>
      <c r="L534" s="25" t="str">
        <f t="shared" si="24"/>
        <v>20+</v>
      </c>
      <c r="M534" s="25" t="str">
        <f t="shared" si="25"/>
        <v>Adult Learners</v>
      </c>
      <c r="N534" s="25" t="str">
        <f>IF(ISNUMBER(SEARCH("NON",UPPER(Raw_Data!M525))),"Non-Premium Learner","Premium Learner")</f>
        <v>Premium Learner</v>
      </c>
      <c r="O534" s="25" t="str">
        <f>PROPER(TRIM(Raw_Data!N525))</f>
        <v>App Only</v>
      </c>
      <c r="P534" s="26">
        <f>IF(Raw_Data!O525="",$C$7,Raw_Data!O525)</f>
        <v>145611.12</v>
      </c>
      <c r="Q534" s="25" t="str">
        <f>IF(Raw_Data!O525="","Missing-Imputed","Original")</f>
        <v>Original</v>
      </c>
      <c r="R534" s="26">
        <f>Raw_Data!P525</f>
        <v>19.600000000000001</v>
      </c>
      <c r="S534" s="26">
        <f>Raw_Data!Q525</f>
        <v>31572.75</v>
      </c>
      <c r="T534" s="25" t="str">
        <f>IF(Raw_Data!R525="","Unknown",IF(ISNUMBER(SEARCH("ACT",UPPER(Raw_Data!R525))),"Active",IF(ISNUMBER(SEARCH("CLOS",UPPER(Raw_Data!R525))),"Closed","None")))</f>
        <v>None</v>
      </c>
      <c r="U534" s="26">
        <f>IF(Raw_Data!S525="",$C$8,VALUE(Raw_Data!S525))</f>
        <v>425</v>
      </c>
      <c r="V534" s="25" t="str">
        <f>IF(Raw_Data!S525="","Missing-Imputed","Original")</f>
        <v>Original</v>
      </c>
      <c r="W534" s="26">
        <f>Raw_Data!T525</f>
        <v>56</v>
      </c>
      <c r="X534" s="25" t="str">
        <f>IF(ISNUMBER(SEARCH("Y",UPPER(TRIM(Raw_Data!U525)))),"Yes","No")</f>
        <v>Yes</v>
      </c>
      <c r="Y534" s="25" t="str">
        <f>IF(ISNUMBER(SEARCH("Y",UPPER(TRIM(Raw_Data!V525)))),"Yes","No")</f>
        <v>Yes</v>
      </c>
      <c r="Z534" s="26">
        <f>Raw_Data!W525</f>
        <v>5</v>
      </c>
      <c r="AA534" s="26">
        <f>Raw_Data!X525</f>
        <v>4.4000000000000004</v>
      </c>
      <c r="AB534" s="25" t="str">
        <f>IF(COUNTIFS(Raw_Data!$A$2:$A$616,Raw_Data!A525)&gt;1,"Duplicate","Unique")</f>
        <v>Unique</v>
      </c>
      <c r="AC534" s="25" t="str">
        <f t="shared" si="26"/>
        <v>Clean</v>
      </c>
    </row>
    <row r="535" spans="1:29" ht="15" customHeight="1">
      <c r="A535" s="23" t="str">
        <f>Raw_Data!A526</f>
        <v>BYJ1525</v>
      </c>
      <c r="B535" s="23" t="str">
        <f>Raw_Data!B526</f>
        <v>Indali Sangha</v>
      </c>
      <c r="C535" s="24">
        <f>IF(OR(Raw_Data!C526="",Raw_Data!C526&lt;$C$5,Raw_Data!C526&gt;$C$6),$C$4,Raw_Data!C526)</f>
        <v>13</v>
      </c>
      <c r="D535" s="23" t="str">
        <f>IF(Raw_Data!C526="","Missing-Imputed",IF(OR(Raw_Data!C526&lt;$C$5,Raw_Data!C526&gt;$C$6),"Outlier-Imputed","Original"))</f>
        <v>Original</v>
      </c>
      <c r="E535" s="23" t="str">
        <f>IF(OR(UPPER(TRIM(Raw_Data!D526))="M",UPPER(TRIM(Raw_Data!D526))="MALE"),"Male","Female")</f>
        <v>Male</v>
      </c>
      <c r="F535" s="23" t="str">
        <f>PROPER(TRIM(Raw_Data!E526))</f>
        <v>Tadepalligudem</v>
      </c>
      <c r="G535" s="23" t="str">
        <f>PROPER(TRIM(Raw_Data!F526))</f>
        <v>Delhi</v>
      </c>
      <c r="H535" s="23" t="str">
        <f>PROPER(TRIM(Raw_Data!G526))</f>
        <v>Mathematics</v>
      </c>
      <c r="I535" s="23" t="str">
        <f>PROPER(TRIM(Raw_Data!H526))</f>
        <v>Delhi North</v>
      </c>
      <c r="J535" s="24">
        <f>IF(LEN(TRIM(Raw_Data!I526))=4,VALUE(TRIM(Raw_Data!I526)),IF(ISNUMBER(IFERROR(VALUE(MID(TRIM(Raw_Data!I526),1,4)),"NA")),VALUE(MID(TRIM(Raw_Data!I526),1,4)),VALUE(RIGHT(TRIM(Raw_Data!I526),4))))</f>
        <v>2023</v>
      </c>
      <c r="K535" s="23" t="str">
        <f>PROPER(TRIM(Raw_Data!J526))</f>
        <v>Retired</v>
      </c>
      <c r="L535" s="23" t="str">
        <f t="shared" si="24"/>
        <v>10-13</v>
      </c>
      <c r="M535" s="23" t="str">
        <f t="shared" si="25"/>
        <v>Kids</v>
      </c>
      <c r="N535" s="23" t="str">
        <f>IF(ISNUMBER(SEARCH("NON",UPPER(Raw_Data!M526))),"Non-Premium Learner","Premium Learner")</f>
        <v>Non-Premium Learner</v>
      </c>
      <c r="O535" s="23" t="str">
        <f>PROPER(TRIM(Raw_Data!N526))</f>
        <v>Web Only</v>
      </c>
      <c r="P535" s="24">
        <f>IF(Raw_Data!O526="",$C$7,Raw_Data!O526)</f>
        <v>128947.96</v>
      </c>
      <c r="Q535" s="23" t="str">
        <f>IF(Raw_Data!O526="","Missing-Imputed","Original")</f>
        <v>Original</v>
      </c>
      <c r="R535" s="24">
        <f>Raw_Data!P526</f>
        <v>76.7</v>
      </c>
      <c r="S535" s="24">
        <f>Raw_Data!Q526</f>
        <v>55087.82</v>
      </c>
      <c r="T535" s="23" t="str">
        <f>IF(Raw_Data!R526="","Unknown",IF(ISNUMBER(SEARCH("ACT",UPPER(Raw_Data!R526))),"Active",IF(ISNUMBER(SEARCH("CLOS",UPPER(Raw_Data!R526))),"Closed","None")))</f>
        <v>Unknown</v>
      </c>
      <c r="U535" s="24">
        <f>IF(Raw_Data!S526="",$C$8,VALUE(Raw_Data!S526))</f>
        <v>808</v>
      </c>
      <c r="V535" s="23" t="str">
        <f>IF(Raw_Data!S526="","Missing-Imputed","Original")</f>
        <v>Original</v>
      </c>
      <c r="W535" s="24">
        <f>Raw_Data!T526</f>
        <v>83</v>
      </c>
      <c r="X535" s="23" t="str">
        <f>IF(ISNUMBER(SEARCH("Y",UPPER(TRIM(Raw_Data!U526)))),"Yes","No")</f>
        <v>No</v>
      </c>
      <c r="Y535" s="23" t="str">
        <f>IF(ISNUMBER(SEARCH("Y",UPPER(TRIM(Raw_Data!V526)))),"Yes","No")</f>
        <v>No</v>
      </c>
      <c r="Z535" s="24">
        <f>Raw_Data!W526</f>
        <v>5</v>
      </c>
      <c r="AA535" s="24">
        <f>Raw_Data!X526</f>
        <v>6.6</v>
      </c>
      <c r="AB535" s="23" t="str">
        <f>IF(COUNTIFS(Raw_Data!$A$2:$A$616,Raw_Data!A526)&gt;1,"Duplicate","Unique")</f>
        <v>Unique</v>
      </c>
      <c r="AC535" s="23" t="str">
        <f t="shared" si="26"/>
        <v>Clean</v>
      </c>
    </row>
    <row r="536" spans="1:29" ht="15" customHeight="1">
      <c r="A536" s="25" t="str">
        <f>Raw_Data!A527</f>
        <v>BYJ1526</v>
      </c>
      <c r="B536" s="25" t="str">
        <f>Raw_Data!B527</f>
        <v>Samuel Jhaveri</v>
      </c>
      <c r="C536" s="26">
        <f>IF(OR(Raw_Data!C527="",Raw_Data!C527&lt;$C$5,Raw_Data!C527&gt;$C$6),$C$4,Raw_Data!C527)</f>
        <v>24</v>
      </c>
      <c r="D536" s="25" t="str">
        <f>IF(Raw_Data!C527="","Missing-Imputed",IF(OR(Raw_Data!C527&lt;$C$5,Raw_Data!C527&gt;$C$6),"Outlier-Imputed","Original"))</f>
        <v>Missing-Imputed</v>
      </c>
      <c r="E536" s="25" t="str">
        <f>IF(OR(UPPER(TRIM(Raw_Data!D527))="M",UPPER(TRIM(Raw_Data!D527))="MALE"),"Male","Female")</f>
        <v>Male</v>
      </c>
      <c r="F536" s="25" t="str">
        <f>PROPER(TRIM(Raw_Data!E527))</f>
        <v>Jehanabad</v>
      </c>
      <c r="G536" s="25" t="str">
        <f>PROPER(TRIM(Raw_Data!F527))</f>
        <v>Tamil Nadu</v>
      </c>
      <c r="H536" s="25" t="str">
        <f>PROPER(TRIM(Raw_Data!G527))</f>
        <v>Mathematics</v>
      </c>
      <c r="I536" s="25" t="str">
        <f>PROPER(TRIM(Raw_Data!H527))</f>
        <v>Pune East</v>
      </c>
      <c r="J536" s="26">
        <f>IF(LEN(TRIM(Raw_Data!I527))=4,VALUE(TRIM(Raw_Data!I527)),IF(ISNUMBER(IFERROR(VALUE(MID(TRIM(Raw_Data!I527),1,4)),"NA")),VALUE(MID(TRIM(Raw_Data!I527),1,4)),VALUE(RIGHT(TRIM(Raw_Data!I527),4))))</f>
        <v>2022</v>
      </c>
      <c r="K536" s="25" t="str">
        <f>PROPER(TRIM(Raw_Data!J527))</f>
        <v>Government Employee</v>
      </c>
      <c r="L536" s="25" t="str">
        <f t="shared" si="24"/>
        <v>20+</v>
      </c>
      <c r="M536" s="25" t="str">
        <f t="shared" si="25"/>
        <v>Adult Learners</v>
      </c>
      <c r="N536" s="25" t="str">
        <f>IF(ISNUMBER(SEARCH("NON",UPPER(Raw_Data!M527))),"Non-Premium Learner","Premium Learner")</f>
        <v>Non-Premium Learner</v>
      </c>
      <c r="O536" s="25" t="str">
        <f>PROPER(TRIM(Raw_Data!N527))</f>
        <v>Both App &amp; Web</v>
      </c>
      <c r="P536" s="26">
        <f>IF(Raw_Data!O527="",$C$7,Raw_Data!O527)</f>
        <v>59707.21</v>
      </c>
      <c r="Q536" s="25" t="str">
        <f>IF(Raw_Data!O527="","Missing-Imputed","Original")</f>
        <v>Original</v>
      </c>
      <c r="R536" s="26">
        <f>Raw_Data!P527</f>
        <v>57.7</v>
      </c>
      <c r="S536" s="26">
        <f>Raw_Data!Q527</f>
        <v>15833.23</v>
      </c>
      <c r="T536" s="25" t="str">
        <f>IF(Raw_Data!R527="","Unknown",IF(ISNUMBER(SEARCH("ACT",UPPER(Raw_Data!R527))),"Active",IF(ISNUMBER(SEARCH("CLOS",UPPER(Raw_Data!R527))),"Closed","None")))</f>
        <v>Closed</v>
      </c>
      <c r="U536" s="26">
        <f>IF(Raw_Data!S527="",$C$8,VALUE(Raw_Data!S527))</f>
        <v>422</v>
      </c>
      <c r="V536" s="25" t="str">
        <f>IF(Raw_Data!S527="","Missing-Imputed","Original")</f>
        <v>Original</v>
      </c>
      <c r="W536" s="26">
        <f>Raw_Data!T527</f>
        <v>106</v>
      </c>
      <c r="X536" s="25" t="str">
        <f>IF(ISNUMBER(SEARCH("Y",UPPER(TRIM(Raw_Data!U527)))),"Yes","No")</f>
        <v>Yes</v>
      </c>
      <c r="Y536" s="25" t="str">
        <f>IF(ISNUMBER(SEARCH("Y",UPPER(TRIM(Raw_Data!V527)))),"Yes","No")</f>
        <v>No</v>
      </c>
      <c r="Z536" s="26">
        <f>Raw_Data!W527</f>
        <v>5</v>
      </c>
      <c r="AA536" s="26">
        <f>Raw_Data!X527</f>
        <v>7.2</v>
      </c>
      <c r="AB536" s="25" t="str">
        <f>IF(COUNTIFS(Raw_Data!$A$2:$A$616,Raw_Data!A527)&gt;1,"Duplicate","Unique")</f>
        <v>Unique</v>
      </c>
      <c r="AC536" s="25" t="str">
        <f t="shared" si="26"/>
        <v>Imputed</v>
      </c>
    </row>
    <row r="537" spans="1:29" ht="15" customHeight="1">
      <c r="A537" s="23" t="str">
        <f>Raw_Data!A528</f>
        <v>BYJ1527</v>
      </c>
      <c r="B537" s="23" t="str">
        <f>Raw_Data!B528</f>
        <v>Avni Yohannan</v>
      </c>
      <c r="C537" s="24">
        <f>IF(OR(Raw_Data!C528="",Raw_Data!C528&lt;$C$5,Raw_Data!C528&gt;$C$6),$C$4,Raw_Data!C528)</f>
        <v>25</v>
      </c>
      <c r="D537" s="23" t="str">
        <f>IF(Raw_Data!C528="","Missing-Imputed",IF(OR(Raw_Data!C528&lt;$C$5,Raw_Data!C528&gt;$C$6),"Outlier-Imputed","Original"))</f>
        <v>Original</v>
      </c>
      <c r="E537" s="23" t="str">
        <f>IF(OR(UPPER(TRIM(Raw_Data!D528))="M",UPPER(TRIM(Raw_Data!D528))="MALE"),"Male","Female")</f>
        <v>Male</v>
      </c>
      <c r="F537" s="23" t="str">
        <f>PROPER(TRIM(Raw_Data!E528))</f>
        <v>North Dumdum</v>
      </c>
      <c r="G537" s="23" t="str">
        <f>PROPER(TRIM(Raw_Data!F528))</f>
        <v>Kerala</v>
      </c>
      <c r="H537" s="23" t="str">
        <f>PROPER(TRIM(Raw_Data!G528))</f>
        <v>Jee Prep</v>
      </c>
      <c r="I537" s="23" t="str">
        <f>PROPER(TRIM(Raw_Data!H528))</f>
        <v>Bengaluru South</v>
      </c>
      <c r="J537" s="24">
        <f>IF(LEN(TRIM(Raw_Data!I528))=4,VALUE(TRIM(Raw_Data!I528)),IF(ISNUMBER(IFERROR(VALUE(MID(TRIM(Raw_Data!I528),1,4)),"NA")),VALUE(MID(TRIM(Raw_Data!I528),1,4)),VALUE(RIGHT(TRIM(Raw_Data!I528),4))))</f>
        <v>2024</v>
      </c>
      <c r="K537" s="23" t="str">
        <f>PROPER(TRIM(Raw_Data!J528))</f>
        <v>Self-Employed</v>
      </c>
      <c r="L537" s="23" t="str">
        <f t="shared" si="24"/>
        <v>20+</v>
      </c>
      <c r="M537" s="23" t="str">
        <f t="shared" si="25"/>
        <v>Adult Learners</v>
      </c>
      <c r="N537" s="23" t="str">
        <f>IF(ISNUMBER(SEARCH("NON",UPPER(Raw_Data!M528))),"Non-Premium Learner","Premium Learner")</f>
        <v>Non-Premium Learner</v>
      </c>
      <c r="O537" s="23" t="str">
        <f>PROPER(TRIM(Raw_Data!N528))</f>
        <v>App Only</v>
      </c>
      <c r="P537" s="24">
        <f>IF(Raw_Data!O528="",$C$7,Raw_Data!O528)</f>
        <v>90050.78</v>
      </c>
      <c r="Q537" s="23" t="str">
        <f>IF(Raw_Data!O528="","Missing-Imputed","Original")</f>
        <v>Original</v>
      </c>
      <c r="R537" s="24">
        <f>Raw_Data!P528</f>
        <v>35.5</v>
      </c>
      <c r="S537" s="24">
        <f>Raw_Data!Q528</f>
        <v>10236.040000000001</v>
      </c>
      <c r="T537" s="23" t="str">
        <f>IF(Raw_Data!R528="","Unknown",IF(ISNUMBER(SEARCH("ACT",UPPER(Raw_Data!R528))),"Active",IF(ISNUMBER(SEARCH("CLOS",UPPER(Raw_Data!R528))),"Closed","None")))</f>
        <v>None</v>
      </c>
      <c r="U537" s="24">
        <f>IF(Raw_Data!S528="",$C$8,VALUE(Raw_Data!S528))</f>
        <v>520</v>
      </c>
      <c r="V537" s="23" t="str">
        <f>IF(Raw_Data!S528="","Missing-Imputed","Original")</f>
        <v>Original</v>
      </c>
      <c r="W537" s="24">
        <f>Raw_Data!T528</f>
        <v>129</v>
      </c>
      <c r="X537" s="23" t="str">
        <f>IF(ISNUMBER(SEARCH("Y",UPPER(TRIM(Raw_Data!U528)))),"Yes","No")</f>
        <v>Yes</v>
      </c>
      <c r="Y537" s="23" t="str">
        <f>IF(ISNUMBER(SEARCH("Y",UPPER(TRIM(Raw_Data!V528)))),"Yes","No")</f>
        <v>Yes</v>
      </c>
      <c r="Z537" s="24">
        <f>Raw_Data!W528</f>
        <v>3</v>
      </c>
      <c r="AA537" s="24">
        <f>Raw_Data!X528</f>
        <v>3.3</v>
      </c>
      <c r="AB537" s="23" t="str">
        <f>IF(COUNTIFS(Raw_Data!$A$2:$A$616,Raw_Data!A528)&gt;1,"Duplicate","Unique")</f>
        <v>Unique</v>
      </c>
      <c r="AC537" s="23" t="str">
        <f t="shared" si="26"/>
        <v>Clean</v>
      </c>
    </row>
    <row r="538" spans="1:29" ht="15" customHeight="1">
      <c r="A538" s="25" t="str">
        <f>Raw_Data!A529</f>
        <v>BYJ1528</v>
      </c>
      <c r="B538" s="25" t="str">
        <f>Raw_Data!B529</f>
        <v>Bimala Loke</v>
      </c>
      <c r="C538" s="26">
        <f>IF(OR(Raw_Data!C529="",Raw_Data!C529&lt;$C$5,Raw_Data!C529&gt;$C$6),$C$4,Raw_Data!C529)</f>
        <v>8</v>
      </c>
      <c r="D538" s="25" t="str">
        <f>IF(Raw_Data!C529="","Missing-Imputed",IF(OR(Raw_Data!C529&lt;$C$5,Raw_Data!C529&gt;$C$6),"Outlier-Imputed","Original"))</f>
        <v>Original</v>
      </c>
      <c r="E538" s="25" t="str">
        <f>IF(OR(UPPER(TRIM(Raw_Data!D529))="M",UPPER(TRIM(Raw_Data!D529))="MALE"),"Male","Female")</f>
        <v>Female</v>
      </c>
      <c r="F538" s="25" t="str">
        <f>PROPER(TRIM(Raw_Data!E529))</f>
        <v>Bhavnagar</v>
      </c>
      <c r="G538" s="25" t="str">
        <f>PROPER(TRIM(Raw_Data!F529))</f>
        <v>West Bengal</v>
      </c>
      <c r="H538" s="25" t="str">
        <f>PROPER(TRIM(Raw_Data!G529))</f>
        <v>Coding</v>
      </c>
      <c r="I538" s="25" t="str">
        <f>PROPER(TRIM(Raw_Data!H529))</f>
        <v>Pune East</v>
      </c>
      <c r="J538" s="26">
        <f>IF(LEN(TRIM(Raw_Data!I529))=4,VALUE(TRIM(Raw_Data!I529)),IF(ISNUMBER(IFERROR(VALUE(MID(TRIM(Raw_Data!I529),1,4)),"NA")),VALUE(MID(TRIM(Raw_Data!I529),1,4)),VALUE(RIGHT(TRIM(Raw_Data!I529),4))))</f>
        <v>2016</v>
      </c>
      <c r="K538" s="25" t="str">
        <f>PROPER(TRIM(Raw_Data!J529))</f>
        <v>Self-Employed</v>
      </c>
      <c r="L538" s="25" t="str">
        <f t="shared" si="24"/>
        <v>Under 10</v>
      </c>
      <c r="M538" s="25" t="str">
        <f t="shared" si="25"/>
        <v>Kids</v>
      </c>
      <c r="N538" s="25" t="str">
        <f>IF(ISNUMBER(SEARCH("NON",UPPER(Raw_Data!M529))),"Non-Premium Learner","Premium Learner")</f>
        <v>Non-Premium Learner</v>
      </c>
      <c r="O538" s="25" t="str">
        <f>PROPER(TRIM(Raw_Data!N529))</f>
        <v>Both App &amp; Web</v>
      </c>
      <c r="P538" s="26">
        <f>IF(Raw_Data!O529="",$C$7,Raw_Data!O529)</f>
        <v>11721.97</v>
      </c>
      <c r="Q538" s="25" t="str">
        <f>IF(Raw_Data!O529="","Missing-Imputed","Original")</f>
        <v>Original</v>
      </c>
      <c r="R538" s="26">
        <f>Raw_Data!P529</f>
        <v>13.7</v>
      </c>
      <c r="S538" s="26">
        <f>Raw_Data!Q529</f>
        <v>7727.19</v>
      </c>
      <c r="T538" s="25" t="str">
        <f>IF(Raw_Data!R529="","Unknown",IF(ISNUMBER(SEARCH("ACT",UPPER(Raw_Data!R529))),"Active",IF(ISNUMBER(SEARCH("CLOS",UPPER(Raw_Data!R529))),"Closed","None")))</f>
        <v>Active</v>
      </c>
      <c r="U538" s="26">
        <f>IF(Raw_Data!S529="",$C$8,VALUE(Raw_Data!S529))</f>
        <v>497</v>
      </c>
      <c r="V538" s="25" t="str">
        <f>IF(Raw_Data!S529="","Missing-Imputed","Original")</f>
        <v>Original</v>
      </c>
      <c r="W538" s="26">
        <f>Raw_Data!T529</f>
        <v>14</v>
      </c>
      <c r="X538" s="25" t="str">
        <f>IF(ISNUMBER(SEARCH("Y",UPPER(TRIM(Raw_Data!U529)))),"Yes","No")</f>
        <v>Yes</v>
      </c>
      <c r="Y538" s="25" t="str">
        <f>IF(ISNUMBER(SEARCH("Y",UPPER(TRIM(Raw_Data!V529)))),"Yes","No")</f>
        <v>No</v>
      </c>
      <c r="Z538" s="26">
        <f>Raw_Data!W529</f>
        <v>5</v>
      </c>
      <c r="AA538" s="26">
        <f>Raw_Data!X529</f>
        <v>1.3</v>
      </c>
      <c r="AB538" s="25" t="str">
        <f>IF(COUNTIFS(Raw_Data!$A$2:$A$616,Raw_Data!A529)&gt;1,"Duplicate","Unique")</f>
        <v>Unique</v>
      </c>
      <c r="AC538" s="25" t="str">
        <f t="shared" si="26"/>
        <v>Clean</v>
      </c>
    </row>
    <row r="539" spans="1:29" ht="15" customHeight="1">
      <c r="A539" s="23" t="str">
        <f>Raw_Data!A530</f>
        <v>BYJ1529</v>
      </c>
      <c r="B539" s="23" t="str">
        <f>Raw_Data!B530</f>
        <v>Daniel Malhotra</v>
      </c>
      <c r="C539" s="24">
        <f>IF(OR(Raw_Data!C530="",Raw_Data!C530&lt;$C$5,Raw_Data!C530&gt;$C$6),$C$4,Raw_Data!C530)</f>
        <v>24</v>
      </c>
      <c r="D539" s="23" t="str">
        <f>IF(Raw_Data!C530="","Missing-Imputed",IF(OR(Raw_Data!C530&lt;$C$5,Raw_Data!C530&gt;$C$6),"Outlier-Imputed","Original"))</f>
        <v>Missing-Imputed</v>
      </c>
      <c r="E539" s="23" t="str">
        <f>IF(OR(UPPER(TRIM(Raw_Data!D530))="M",UPPER(TRIM(Raw_Data!D530))="MALE"),"Male","Female")</f>
        <v>Male</v>
      </c>
      <c r="F539" s="23" t="str">
        <f>PROPER(TRIM(Raw_Data!E530))</f>
        <v>Mira-Bhayandar</v>
      </c>
      <c r="G539" s="23" t="str">
        <f>PROPER(TRIM(Raw_Data!F530))</f>
        <v>Delhi</v>
      </c>
      <c r="H539" s="23" t="str">
        <f>PROPER(TRIM(Raw_Data!G530))</f>
        <v>Mathematics</v>
      </c>
      <c r="I539" s="23" t="str">
        <f>PROPER(TRIM(Raw_Data!H530))</f>
        <v>Mumbai West</v>
      </c>
      <c r="J539" s="24">
        <f>IF(LEN(TRIM(Raw_Data!I530))=4,VALUE(TRIM(Raw_Data!I530)),IF(ISNUMBER(IFERROR(VALUE(MID(TRIM(Raw_Data!I530),1,4)),"NA")),VALUE(MID(TRIM(Raw_Data!I530),1,4)),VALUE(RIGHT(TRIM(Raw_Data!I530),4))))</f>
        <v>2019</v>
      </c>
      <c r="K539" s="23" t="str">
        <f>PROPER(TRIM(Raw_Data!J530))</f>
        <v>Salaried</v>
      </c>
      <c r="L539" s="23" t="str">
        <f t="shared" si="24"/>
        <v>20+</v>
      </c>
      <c r="M539" s="23" t="str">
        <f t="shared" si="25"/>
        <v>Adult Learners</v>
      </c>
      <c r="N539" s="23" t="str">
        <f>IF(ISNUMBER(SEARCH("NON",UPPER(Raw_Data!M530))),"Non-Premium Learner","Premium Learner")</f>
        <v>Non-Premium Learner</v>
      </c>
      <c r="O539" s="23" t="str">
        <f>PROPER(TRIM(Raw_Data!N530))</f>
        <v>App Only</v>
      </c>
      <c r="P539" s="24">
        <f>IF(Raw_Data!O530="",$C$7,Raw_Data!O530)</f>
        <v>68254.87</v>
      </c>
      <c r="Q539" s="23" t="str">
        <f>IF(Raw_Data!O530="","Missing-Imputed","Original")</f>
        <v>Original</v>
      </c>
      <c r="R539" s="24">
        <f>Raw_Data!P530</f>
        <v>52</v>
      </c>
      <c r="S539" s="24">
        <f>Raw_Data!Q530</f>
        <v>29116.21</v>
      </c>
      <c r="T539" s="23" t="str">
        <f>IF(Raw_Data!R530="","Unknown",IF(ISNUMBER(SEARCH("ACT",UPPER(Raw_Data!R530))),"Active",IF(ISNUMBER(SEARCH("CLOS",UPPER(Raw_Data!R530))),"Closed","None")))</f>
        <v>None</v>
      </c>
      <c r="U539" s="24">
        <f>IF(Raw_Data!S530="",$C$8,VALUE(Raw_Data!S530))</f>
        <v>515</v>
      </c>
      <c r="V539" s="23" t="str">
        <f>IF(Raw_Data!S530="","Missing-Imputed","Original")</f>
        <v>Original</v>
      </c>
      <c r="W539" s="24">
        <f>Raw_Data!T530</f>
        <v>67</v>
      </c>
      <c r="X539" s="23" t="str">
        <f>IF(ISNUMBER(SEARCH("Y",UPPER(TRIM(Raw_Data!U530)))),"Yes","No")</f>
        <v>No</v>
      </c>
      <c r="Y539" s="23" t="str">
        <f>IF(ISNUMBER(SEARCH("Y",UPPER(TRIM(Raw_Data!V530)))),"Yes","No")</f>
        <v>Yes</v>
      </c>
      <c r="Z539" s="24">
        <f>Raw_Data!W530</f>
        <v>3</v>
      </c>
      <c r="AA539" s="24">
        <f>Raw_Data!X530</f>
        <v>8.1</v>
      </c>
      <c r="AB539" s="23" t="str">
        <f>IF(COUNTIFS(Raw_Data!$A$2:$A$616,Raw_Data!A530)&gt;1,"Duplicate","Unique")</f>
        <v>Unique</v>
      </c>
      <c r="AC539" s="23" t="str">
        <f t="shared" si="26"/>
        <v>Imputed</v>
      </c>
    </row>
    <row r="540" spans="1:29" ht="15" customHeight="1">
      <c r="A540" s="25" t="str">
        <f>Raw_Data!A531</f>
        <v>BYJ1530</v>
      </c>
      <c r="B540" s="25" t="str">
        <f>Raw_Data!B531</f>
        <v xml:space="preserve">  Madhav Nagy  </v>
      </c>
      <c r="C540" s="26">
        <f>IF(OR(Raw_Data!C531="",Raw_Data!C531&lt;$C$5,Raw_Data!C531&gt;$C$6),$C$4,Raw_Data!C531)</f>
        <v>34</v>
      </c>
      <c r="D540" s="25" t="str">
        <f>IF(Raw_Data!C531="","Missing-Imputed",IF(OR(Raw_Data!C531&lt;$C$5,Raw_Data!C531&gt;$C$6),"Outlier-Imputed","Original"))</f>
        <v>Original</v>
      </c>
      <c r="E540" s="25" t="str">
        <f>IF(OR(UPPER(TRIM(Raw_Data!D531))="M",UPPER(TRIM(Raw_Data!D531))="MALE"),"Male","Female")</f>
        <v>Male</v>
      </c>
      <c r="F540" s="25" t="str">
        <f>PROPER(TRIM(Raw_Data!E531))</f>
        <v>Singrauli</v>
      </c>
      <c r="G540" s="25" t="str">
        <f>PROPER(TRIM(Raw_Data!F531))</f>
        <v>Rajasthan</v>
      </c>
      <c r="H540" s="25" t="str">
        <f>PROPER(TRIM(Raw_Data!G531))</f>
        <v>Science</v>
      </c>
      <c r="I540" s="25" t="str">
        <f>PROPER(TRIM(Raw_Data!H531))</f>
        <v>Kolkata Main</v>
      </c>
      <c r="J540" s="26">
        <f>IF(LEN(TRIM(Raw_Data!I531))=4,VALUE(TRIM(Raw_Data!I531)),IF(ISNUMBER(IFERROR(VALUE(MID(TRIM(Raw_Data!I531),1,4)),"NA")),VALUE(MID(TRIM(Raw_Data!I531),1,4)),VALUE(RIGHT(TRIM(Raw_Data!I531),4))))</f>
        <v>2016</v>
      </c>
      <c r="K540" s="25" t="str">
        <f>PROPER(TRIM(Raw_Data!J531))</f>
        <v>Government Employee</v>
      </c>
      <c r="L540" s="25" t="str">
        <f t="shared" si="24"/>
        <v>20+</v>
      </c>
      <c r="M540" s="25" t="str">
        <f t="shared" si="25"/>
        <v>Adult Learners</v>
      </c>
      <c r="N540" s="25" t="str">
        <f>IF(ISNUMBER(SEARCH("NON",UPPER(Raw_Data!M531))),"Non-Premium Learner","Premium Learner")</f>
        <v>Non-Premium Learner</v>
      </c>
      <c r="O540" s="25" t="str">
        <f>PROPER(TRIM(Raw_Data!N531))</f>
        <v>Both App &amp; Web</v>
      </c>
      <c r="P540" s="26">
        <f>IF(Raw_Data!O531="",$C$7,Raw_Data!O531)</f>
        <v>58731.61</v>
      </c>
      <c r="Q540" s="25" t="str">
        <f>IF(Raw_Data!O531="","Missing-Imputed","Original")</f>
        <v>Original</v>
      </c>
      <c r="R540" s="26">
        <f>Raw_Data!P531</f>
        <v>6.4</v>
      </c>
      <c r="S540" s="26">
        <f>Raw_Data!Q531</f>
        <v>49335.41</v>
      </c>
      <c r="T540" s="25" t="str">
        <f>IF(Raw_Data!R531="","Unknown",IF(ISNUMBER(SEARCH("ACT",UPPER(Raw_Data!R531))),"Active",IF(ISNUMBER(SEARCH("CLOS",UPPER(Raw_Data!R531))),"Closed","None")))</f>
        <v>None</v>
      </c>
      <c r="U540" s="26">
        <f>IF(Raw_Data!S531="",$C$8,VALUE(Raw_Data!S531))</f>
        <v>878</v>
      </c>
      <c r="V540" s="25" t="str">
        <f>IF(Raw_Data!S531="","Missing-Imputed","Original")</f>
        <v>Original</v>
      </c>
      <c r="W540" s="26">
        <f>Raw_Data!T531</f>
        <v>16</v>
      </c>
      <c r="X540" s="25" t="str">
        <f>IF(ISNUMBER(SEARCH("Y",UPPER(TRIM(Raw_Data!U531)))),"Yes","No")</f>
        <v>No</v>
      </c>
      <c r="Y540" s="25" t="str">
        <f>IF(ISNUMBER(SEARCH("Y",UPPER(TRIM(Raw_Data!V531)))),"Yes","No")</f>
        <v>Yes</v>
      </c>
      <c r="Z540" s="26">
        <f>Raw_Data!W531</f>
        <v>4</v>
      </c>
      <c r="AA540" s="26">
        <f>Raw_Data!X531</f>
        <v>8.9</v>
      </c>
      <c r="AB540" s="25" t="str">
        <f>IF(COUNTIFS(Raw_Data!$A$2:$A$616,Raw_Data!A531)&gt;1,"Duplicate","Unique")</f>
        <v>Unique</v>
      </c>
      <c r="AC540" s="25" t="str">
        <f t="shared" si="26"/>
        <v>Clean</v>
      </c>
    </row>
    <row r="541" spans="1:29" ht="15" customHeight="1">
      <c r="A541" s="23" t="str">
        <f>Raw_Data!A532</f>
        <v>BYJ1531</v>
      </c>
      <c r="B541" s="23" t="str">
        <f>Raw_Data!B532</f>
        <v>Lucky Luthra</v>
      </c>
      <c r="C541" s="24">
        <f>IF(OR(Raw_Data!C532="",Raw_Data!C532&lt;$C$5,Raw_Data!C532&gt;$C$6),$C$4,Raw_Data!C532)</f>
        <v>44</v>
      </c>
      <c r="D541" s="23" t="str">
        <f>IF(Raw_Data!C532="","Missing-Imputed",IF(OR(Raw_Data!C532&lt;$C$5,Raw_Data!C532&gt;$C$6),"Outlier-Imputed","Original"))</f>
        <v>Original</v>
      </c>
      <c r="E541" s="23" t="str">
        <f>IF(OR(UPPER(TRIM(Raw_Data!D532))="M",UPPER(TRIM(Raw_Data!D532))="MALE"),"Male","Female")</f>
        <v>Female</v>
      </c>
      <c r="F541" s="23" t="str">
        <f>PROPER(TRIM(Raw_Data!E532))</f>
        <v>Gandhinagar</v>
      </c>
      <c r="G541" s="23" t="str">
        <f>PROPER(TRIM(Raw_Data!F532))</f>
        <v>West Bengal</v>
      </c>
      <c r="H541" s="23" t="str">
        <f>PROPER(TRIM(Raw_Data!G532))</f>
        <v>Jee Prep</v>
      </c>
      <c r="I541" s="23" t="str">
        <f>PROPER(TRIM(Raw_Data!H532))</f>
        <v>Jaipur Center</v>
      </c>
      <c r="J541" s="24">
        <f>IF(LEN(TRIM(Raw_Data!I532))=4,VALUE(TRIM(Raw_Data!I532)),IF(ISNUMBER(IFERROR(VALUE(MID(TRIM(Raw_Data!I532),1,4)),"NA")),VALUE(MID(TRIM(Raw_Data!I532),1,4)),VALUE(RIGHT(TRIM(Raw_Data!I532),4))))</f>
        <v>2025</v>
      </c>
      <c r="K541" s="23" t="str">
        <f>PROPER(TRIM(Raw_Data!J532))</f>
        <v>Salaried</v>
      </c>
      <c r="L541" s="23" t="str">
        <f t="shared" si="24"/>
        <v>20+</v>
      </c>
      <c r="M541" s="23" t="str">
        <f t="shared" si="25"/>
        <v>Adult Learners</v>
      </c>
      <c r="N541" s="23" t="str">
        <f>IF(ISNUMBER(SEARCH("NON",UPPER(Raw_Data!M532))),"Non-Premium Learner","Premium Learner")</f>
        <v>Non-Premium Learner</v>
      </c>
      <c r="O541" s="23" t="str">
        <f>PROPER(TRIM(Raw_Data!N532))</f>
        <v>Both App &amp; Web</v>
      </c>
      <c r="P541" s="24">
        <f>IF(Raw_Data!O532="",$C$7,Raw_Data!O532)</f>
        <v>118611.96</v>
      </c>
      <c r="Q541" s="23" t="str">
        <f>IF(Raw_Data!O532="","Missing-Imputed","Original")</f>
        <v>Original</v>
      </c>
      <c r="R541" s="24">
        <f>Raw_Data!P532</f>
        <v>52.8</v>
      </c>
      <c r="S541" s="24">
        <f>Raw_Data!Q532</f>
        <v>34125.67</v>
      </c>
      <c r="T541" s="23" t="str">
        <f>IF(Raw_Data!R532="","Unknown",IF(ISNUMBER(SEARCH("ACT",UPPER(Raw_Data!R532))),"Active",IF(ISNUMBER(SEARCH("CLOS",UPPER(Raw_Data!R532))),"Closed","None")))</f>
        <v>Active</v>
      </c>
      <c r="U541" s="24">
        <f>IF(Raw_Data!S532="",$C$8,VALUE(Raw_Data!S532))</f>
        <v>878</v>
      </c>
      <c r="V541" s="23" t="str">
        <f>IF(Raw_Data!S532="","Missing-Imputed","Original")</f>
        <v>Original</v>
      </c>
      <c r="W541" s="24">
        <f>Raw_Data!T532</f>
        <v>5</v>
      </c>
      <c r="X541" s="23" t="str">
        <f>IF(ISNUMBER(SEARCH("Y",UPPER(TRIM(Raw_Data!U532)))),"Yes","No")</f>
        <v>No</v>
      </c>
      <c r="Y541" s="23" t="str">
        <f>IF(ISNUMBER(SEARCH("Y",UPPER(TRIM(Raw_Data!V532)))),"Yes","No")</f>
        <v>Yes</v>
      </c>
      <c r="Z541" s="24">
        <f>Raw_Data!W532</f>
        <v>1</v>
      </c>
      <c r="AA541" s="24">
        <f>Raw_Data!X532</f>
        <v>2.1</v>
      </c>
      <c r="AB541" s="23" t="str">
        <f>IF(COUNTIFS(Raw_Data!$A$2:$A$616,Raw_Data!A532)&gt;1,"Duplicate","Unique")</f>
        <v>Unique</v>
      </c>
      <c r="AC541" s="23" t="str">
        <f t="shared" si="26"/>
        <v>Clean</v>
      </c>
    </row>
    <row r="542" spans="1:29" ht="15" customHeight="1">
      <c r="A542" s="25" t="str">
        <f>Raw_Data!A533</f>
        <v>BYJ1532</v>
      </c>
      <c r="B542" s="25" t="str">
        <f>Raw_Data!B533</f>
        <v>Faqid Chander</v>
      </c>
      <c r="C542" s="26">
        <f>IF(OR(Raw_Data!C533="",Raw_Data!C533&lt;$C$5,Raw_Data!C533&gt;$C$6),$C$4,Raw_Data!C533)</f>
        <v>24</v>
      </c>
      <c r="D542" s="25" t="str">
        <f>IF(Raw_Data!C533="","Missing-Imputed",IF(OR(Raw_Data!C533&lt;$C$5,Raw_Data!C533&gt;$C$6),"Outlier-Imputed","Original"))</f>
        <v>Original</v>
      </c>
      <c r="E542" s="25" t="str">
        <f>IF(OR(UPPER(TRIM(Raw_Data!D533))="M",UPPER(TRIM(Raw_Data!D533))="MALE"),"Male","Female")</f>
        <v>Male</v>
      </c>
      <c r="F542" s="25" t="str">
        <f>PROPER(TRIM(Raw_Data!E533))</f>
        <v>Kottayam</v>
      </c>
      <c r="G542" s="25" t="str">
        <f>PROPER(TRIM(Raw_Data!F533))</f>
        <v>Uttar Pradesh</v>
      </c>
      <c r="H542" s="25" t="str">
        <f>PROPER(TRIM(Raw_Data!G533))</f>
        <v>Coding</v>
      </c>
      <c r="I542" s="25" t="str">
        <f>PROPER(TRIM(Raw_Data!H533))</f>
        <v>Kolkata Main</v>
      </c>
      <c r="J542" s="26">
        <f>IF(LEN(TRIM(Raw_Data!I533))=4,VALUE(TRIM(Raw_Data!I533)),IF(ISNUMBER(IFERROR(VALUE(MID(TRIM(Raw_Data!I533),1,4)),"NA")),VALUE(MID(TRIM(Raw_Data!I533),1,4)),VALUE(RIGHT(TRIM(Raw_Data!I533),4))))</f>
        <v>2025</v>
      </c>
      <c r="K542" s="25" t="str">
        <f>PROPER(TRIM(Raw_Data!J533))</f>
        <v>Business</v>
      </c>
      <c r="L542" s="25" t="str">
        <f t="shared" si="24"/>
        <v>20+</v>
      </c>
      <c r="M542" s="25" t="str">
        <f t="shared" si="25"/>
        <v>Adult Learners</v>
      </c>
      <c r="N542" s="25" t="str">
        <f>IF(ISNUMBER(SEARCH("NON",UPPER(Raw_Data!M533))),"Non-Premium Learner","Premium Learner")</f>
        <v>Non-Premium Learner</v>
      </c>
      <c r="O542" s="25" t="str">
        <f>PROPER(TRIM(Raw_Data!N533))</f>
        <v>Web Only</v>
      </c>
      <c r="P542" s="26">
        <f>IF(Raw_Data!O533="",$C$7,Raw_Data!O533)</f>
        <v>145989.67000000001</v>
      </c>
      <c r="Q542" s="25" t="str">
        <f>IF(Raw_Data!O533="","Missing-Imputed","Original")</f>
        <v>Original</v>
      </c>
      <c r="R542" s="26">
        <f>Raw_Data!P533</f>
        <v>38.1</v>
      </c>
      <c r="S542" s="26">
        <f>Raw_Data!Q533</f>
        <v>44956.59</v>
      </c>
      <c r="T542" s="25" t="str">
        <f>IF(Raw_Data!R533="","Unknown",IF(ISNUMBER(SEARCH("ACT",UPPER(Raw_Data!R533))),"Active",IF(ISNUMBER(SEARCH("CLOS",UPPER(Raw_Data!R533))),"Closed","None")))</f>
        <v>Closed</v>
      </c>
      <c r="U542" s="26">
        <f>IF(Raw_Data!S533="",$C$8,VALUE(Raw_Data!S533))</f>
        <v>533</v>
      </c>
      <c r="V542" s="25" t="str">
        <f>IF(Raw_Data!S533="","Missing-Imputed","Original")</f>
        <v>Original</v>
      </c>
      <c r="W542" s="26">
        <f>Raw_Data!T533</f>
        <v>56</v>
      </c>
      <c r="X542" s="25" t="str">
        <f>IF(ISNUMBER(SEARCH("Y",UPPER(TRIM(Raw_Data!U533)))),"Yes","No")</f>
        <v>No</v>
      </c>
      <c r="Y542" s="25" t="str">
        <f>IF(ISNUMBER(SEARCH("Y",UPPER(TRIM(Raw_Data!V533)))),"Yes","No")</f>
        <v>Yes</v>
      </c>
      <c r="Z542" s="26">
        <f>Raw_Data!W533</f>
        <v>5</v>
      </c>
      <c r="AA542" s="26">
        <f>Raw_Data!X533</f>
        <v>6.9</v>
      </c>
      <c r="AB542" s="25" t="str">
        <f>IF(COUNTIFS(Raw_Data!$A$2:$A$616,Raw_Data!A533)&gt;1,"Duplicate","Unique")</f>
        <v>Unique</v>
      </c>
      <c r="AC542" s="25" t="str">
        <f t="shared" si="26"/>
        <v>Clean</v>
      </c>
    </row>
    <row r="543" spans="1:29" ht="15" customHeight="1">
      <c r="A543" s="23" t="str">
        <f>Raw_Data!A534</f>
        <v>BYJ1533</v>
      </c>
      <c r="B543" s="23" t="str">
        <f>Raw_Data!B534</f>
        <v>Jyoti Sha</v>
      </c>
      <c r="C543" s="24">
        <f>IF(OR(Raw_Data!C534="",Raw_Data!C534&lt;$C$5,Raw_Data!C534&gt;$C$6),$C$4,Raw_Data!C534)</f>
        <v>6</v>
      </c>
      <c r="D543" s="23" t="str">
        <f>IF(Raw_Data!C534="","Missing-Imputed",IF(OR(Raw_Data!C534&lt;$C$5,Raw_Data!C534&gt;$C$6),"Outlier-Imputed","Original"))</f>
        <v>Original</v>
      </c>
      <c r="E543" s="23" t="str">
        <f>IF(OR(UPPER(TRIM(Raw_Data!D534))="M",UPPER(TRIM(Raw_Data!D534))="MALE"),"Male","Female")</f>
        <v>Female</v>
      </c>
      <c r="F543" s="23" t="str">
        <f>PROPER(TRIM(Raw_Data!E534))</f>
        <v>Khammam</v>
      </c>
      <c r="G543" s="23" t="str">
        <f>PROPER(TRIM(Raw_Data!F534))</f>
        <v>Karnataka</v>
      </c>
      <c r="H543" s="23" t="str">
        <f>PROPER(TRIM(Raw_Data!G534))</f>
        <v>Science</v>
      </c>
      <c r="I543" s="23" t="str">
        <f>PROPER(TRIM(Raw_Data!H534))</f>
        <v>Lucknow Hub</v>
      </c>
      <c r="J543" s="24">
        <f>IF(LEN(TRIM(Raw_Data!I534))=4,VALUE(TRIM(Raw_Data!I534)),IF(ISNUMBER(IFERROR(VALUE(MID(TRIM(Raw_Data!I534),1,4)),"NA")),VALUE(MID(TRIM(Raw_Data!I534),1,4)),VALUE(RIGHT(TRIM(Raw_Data!I534),4))))</f>
        <v>2025</v>
      </c>
      <c r="K543" s="23" t="str">
        <f>PROPER(TRIM(Raw_Data!J534))</f>
        <v>Government Employee</v>
      </c>
      <c r="L543" s="23" t="str">
        <f t="shared" si="24"/>
        <v>Under 10</v>
      </c>
      <c r="M543" s="23" t="str">
        <f t="shared" si="25"/>
        <v>Kids</v>
      </c>
      <c r="N543" s="23" t="str">
        <f>IF(ISNUMBER(SEARCH("NON",UPPER(Raw_Data!M534))),"Non-Premium Learner","Premium Learner")</f>
        <v>Non-Premium Learner</v>
      </c>
      <c r="O543" s="23" t="str">
        <f>PROPER(TRIM(Raw_Data!N534))</f>
        <v>Web Only</v>
      </c>
      <c r="P543" s="24">
        <f>IF(Raw_Data!O534="",$C$7,Raw_Data!O534)</f>
        <v>90624.26</v>
      </c>
      <c r="Q543" s="23" t="str">
        <f>IF(Raw_Data!O534="","Missing-Imputed","Original")</f>
        <v>Original</v>
      </c>
      <c r="R543" s="24">
        <f>Raw_Data!P534</f>
        <v>55.7</v>
      </c>
      <c r="S543" s="24">
        <f>Raw_Data!Q534</f>
        <v>26048.73</v>
      </c>
      <c r="T543" s="23" t="str">
        <f>IF(Raw_Data!R534="","Unknown",IF(ISNUMBER(SEARCH("ACT",UPPER(Raw_Data!R534))),"Active",IF(ISNUMBER(SEARCH("CLOS",UPPER(Raw_Data!R534))),"Closed","None")))</f>
        <v>Closed</v>
      </c>
      <c r="U543" s="24">
        <f>IF(Raw_Data!S534="",$C$8,VALUE(Raw_Data!S534))</f>
        <v>863</v>
      </c>
      <c r="V543" s="23" t="str">
        <f>IF(Raw_Data!S534="","Missing-Imputed","Original")</f>
        <v>Original</v>
      </c>
      <c r="W543" s="24">
        <f>Raw_Data!T534</f>
        <v>96</v>
      </c>
      <c r="X543" s="23" t="str">
        <f>IF(ISNUMBER(SEARCH("Y",UPPER(TRIM(Raw_Data!U534)))),"Yes","No")</f>
        <v>No</v>
      </c>
      <c r="Y543" s="23" t="str">
        <f>IF(ISNUMBER(SEARCH("Y",UPPER(TRIM(Raw_Data!V534)))),"Yes","No")</f>
        <v>Yes</v>
      </c>
      <c r="Z543" s="24">
        <f>Raw_Data!W534</f>
        <v>1</v>
      </c>
      <c r="AA543" s="24">
        <f>Raw_Data!X534</f>
        <v>5.3</v>
      </c>
      <c r="AB543" s="23" t="str">
        <f>IF(COUNTIFS(Raw_Data!$A$2:$A$616,Raw_Data!A534)&gt;1,"Duplicate","Unique")</f>
        <v>Unique</v>
      </c>
      <c r="AC543" s="23" t="str">
        <f t="shared" si="26"/>
        <v>Clean</v>
      </c>
    </row>
    <row r="544" spans="1:29" ht="15" customHeight="1">
      <c r="A544" s="25" t="str">
        <f>Raw_Data!A535</f>
        <v>BYJ1534</v>
      </c>
      <c r="B544" s="25" t="str">
        <f>Raw_Data!B535</f>
        <v>Girik Shanker</v>
      </c>
      <c r="C544" s="26">
        <f>IF(OR(Raw_Data!C535="",Raw_Data!C535&lt;$C$5,Raw_Data!C535&gt;$C$6),$C$4,Raw_Data!C535)</f>
        <v>15</v>
      </c>
      <c r="D544" s="25" t="str">
        <f>IF(Raw_Data!C535="","Missing-Imputed",IF(OR(Raw_Data!C535&lt;$C$5,Raw_Data!C535&gt;$C$6),"Outlier-Imputed","Original"))</f>
        <v>Original</v>
      </c>
      <c r="E544" s="25" t="str">
        <f>IF(OR(UPPER(TRIM(Raw_Data!D535))="M",UPPER(TRIM(Raw_Data!D535))="MALE"),"Male","Female")</f>
        <v>Male</v>
      </c>
      <c r="F544" s="25" t="str">
        <f>PROPER(TRIM(Raw_Data!E535))</f>
        <v>Rajkot</v>
      </c>
      <c r="G544" s="25" t="str">
        <f>PROPER(TRIM(Raw_Data!F535))</f>
        <v>Gujarat</v>
      </c>
      <c r="H544" s="25" t="str">
        <f>PROPER(TRIM(Raw_Data!G535))</f>
        <v>Mathematics</v>
      </c>
      <c r="I544" s="25" t="str">
        <f>PROPER(TRIM(Raw_Data!H535))</f>
        <v>Hyderabad Hub</v>
      </c>
      <c r="J544" s="26">
        <f>IF(LEN(TRIM(Raw_Data!I535))=4,VALUE(TRIM(Raw_Data!I535)),IF(ISNUMBER(IFERROR(VALUE(MID(TRIM(Raw_Data!I535),1,4)),"NA")),VALUE(MID(TRIM(Raw_Data!I535),1,4)),VALUE(RIGHT(TRIM(Raw_Data!I535),4))))</f>
        <v>2019</v>
      </c>
      <c r="K544" s="25" t="str">
        <f>PROPER(TRIM(Raw_Data!J535))</f>
        <v>Business</v>
      </c>
      <c r="L544" s="25" t="str">
        <f t="shared" si="24"/>
        <v>14-16</v>
      </c>
      <c r="M544" s="25" t="str">
        <f t="shared" si="25"/>
        <v>Teens</v>
      </c>
      <c r="N544" s="25" t="str">
        <f>IF(ISNUMBER(SEARCH("NON",UPPER(Raw_Data!M535))),"Non-Premium Learner","Premium Learner")</f>
        <v>Non-Premium Learner</v>
      </c>
      <c r="O544" s="25" t="str">
        <f>PROPER(TRIM(Raw_Data!N535))</f>
        <v>Both App &amp; Web</v>
      </c>
      <c r="P544" s="26">
        <f>IF(Raw_Data!O535="",$C$7,Raw_Data!O535)</f>
        <v>44425.71</v>
      </c>
      <c r="Q544" s="25" t="str">
        <f>IF(Raw_Data!O535="","Missing-Imputed","Original")</f>
        <v>Original</v>
      </c>
      <c r="R544" s="26">
        <f>Raw_Data!P535</f>
        <v>69.099999999999994</v>
      </c>
      <c r="S544" s="26">
        <f>Raw_Data!Q535</f>
        <v>49951.8</v>
      </c>
      <c r="T544" s="25" t="str">
        <f>IF(Raw_Data!R535="","Unknown",IF(ISNUMBER(SEARCH("ACT",UPPER(Raw_Data!R535))),"Active",IF(ISNUMBER(SEARCH("CLOS",UPPER(Raw_Data!R535))),"Closed","None")))</f>
        <v>Active</v>
      </c>
      <c r="U544" s="26" t="e">
        <f>IF(Raw_Data!S535="",$C$8,VALUE(Raw_Data!S535))</f>
        <v>#VALUE!</v>
      </c>
      <c r="V544" s="25" t="str">
        <f>IF(Raw_Data!S535="","Missing-Imputed","Original")</f>
        <v>Original</v>
      </c>
      <c r="W544" s="26">
        <f>Raw_Data!T535</f>
        <v>170</v>
      </c>
      <c r="X544" s="25" t="str">
        <f>IF(ISNUMBER(SEARCH("Y",UPPER(TRIM(Raw_Data!U535)))),"Yes","No")</f>
        <v>No</v>
      </c>
      <c r="Y544" s="25" t="str">
        <f>IF(ISNUMBER(SEARCH("Y",UPPER(TRIM(Raw_Data!V535)))),"Yes","No")</f>
        <v>No</v>
      </c>
      <c r="Z544" s="26">
        <f>Raw_Data!W535</f>
        <v>1</v>
      </c>
      <c r="AA544" s="26">
        <f>Raw_Data!X535</f>
        <v>1.5</v>
      </c>
      <c r="AB544" s="25" t="str">
        <f>IF(COUNTIFS(Raw_Data!$A$2:$A$616,Raw_Data!A535)&gt;1,"Duplicate","Unique")</f>
        <v>Unique</v>
      </c>
      <c r="AC544" s="25" t="str">
        <f t="shared" si="26"/>
        <v>Clean</v>
      </c>
    </row>
    <row r="545" spans="1:29" ht="15" customHeight="1">
      <c r="A545" s="23" t="str">
        <f>Raw_Data!A536</f>
        <v>BYJ1535</v>
      </c>
      <c r="B545" s="23" t="str">
        <f>Raw_Data!B536</f>
        <v>Tejas Sanghvi</v>
      </c>
      <c r="C545" s="24">
        <f>IF(OR(Raw_Data!C536="",Raw_Data!C536&lt;$C$5,Raw_Data!C536&gt;$C$6),$C$4,Raw_Data!C536)</f>
        <v>18</v>
      </c>
      <c r="D545" s="23" t="str">
        <f>IF(Raw_Data!C536="","Missing-Imputed",IF(OR(Raw_Data!C536&lt;$C$5,Raw_Data!C536&gt;$C$6),"Outlier-Imputed","Original"))</f>
        <v>Original</v>
      </c>
      <c r="E545" s="23" t="str">
        <f>IF(OR(UPPER(TRIM(Raw_Data!D536))="M",UPPER(TRIM(Raw_Data!D536))="MALE"),"Male","Female")</f>
        <v>Male</v>
      </c>
      <c r="F545" s="23" t="str">
        <f>PROPER(TRIM(Raw_Data!E536))</f>
        <v>Shimla</v>
      </c>
      <c r="G545" s="23" t="str">
        <f>PROPER(TRIM(Raw_Data!F536))</f>
        <v>Kerala</v>
      </c>
      <c r="H545" s="23" t="str">
        <f>PROPER(TRIM(Raw_Data!G536))</f>
        <v>Neet Prep</v>
      </c>
      <c r="I545" s="23" t="str">
        <f>PROPER(TRIM(Raw_Data!H536))</f>
        <v>Chennai Central</v>
      </c>
      <c r="J545" s="24">
        <f>IF(LEN(TRIM(Raw_Data!I536))=4,VALUE(TRIM(Raw_Data!I536)),IF(ISNUMBER(IFERROR(VALUE(MID(TRIM(Raw_Data!I536),1,4)),"NA")),VALUE(MID(TRIM(Raw_Data!I536),1,4)),VALUE(RIGHT(TRIM(Raw_Data!I536),4))))</f>
        <v>2016</v>
      </c>
      <c r="K545" s="23" t="str">
        <f>PROPER(TRIM(Raw_Data!J536))</f>
        <v>Government Employee</v>
      </c>
      <c r="L545" s="23" t="str">
        <f t="shared" si="24"/>
        <v>17-19</v>
      </c>
      <c r="M545" s="23" t="str">
        <f t="shared" si="25"/>
        <v>Teens</v>
      </c>
      <c r="N545" s="23" t="str">
        <f>IF(ISNUMBER(SEARCH("NON",UPPER(Raw_Data!M536))),"Non-Premium Learner","Premium Learner")</f>
        <v>Non-Premium Learner</v>
      </c>
      <c r="O545" s="23" t="str">
        <f>PROPER(TRIM(Raw_Data!N536))</f>
        <v>Both App &amp; Web</v>
      </c>
      <c r="P545" s="24">
        <f>IF(Raw_Data!O536="",$C$7,Raw_Data!O536)</f>
        <v>92947.38</v>
      </c>
      <c r="Q545" s="23" t="str">
        <f>IF(Raw_Data!O536="","Missing-Imputed","Original")</f>
        <v>Original</v>
      </c>
      <c r="R545" s="24">
        <f>Raw_Data!P536</f>
        <v>29.1</v>
      </c>
      <c r="S545" s="24">
        <f>Raw_Data!Q536</f>
        <v>27188.21</v>
      </c>
      <c r="T545" s="23" t="str">
        <f>IF(Raw_Data!R536="","Unknown",IF(ISNUMBER(SEARCH("ACT",UPPER(Raw_Data!R536))),"Active",IF(ISNUMBER(SEARCH("CLOS",UPPER(Raw_Data!R536))),"Closed","None")))</f>
        <v>Active</v>
      </c>
      <c r="U545" s="24">
        <f>IF(Raw_Data!S536="",$C$8,VALUE(Raw_Data!S536))</f>
        <v>896</v>
      </c>
      <c r="V545" s="23" t="str">
        <f>IF(Raw_Data!S536="","Missing-Imputed","Original")</f>
        <v>Original</v>
      </c>
      <c r="W545" s="24">
        <f>Raw_Data!T536</f>
        <v>164</v>
      </c>
      <c r="X545" s="23" t="str">
        <f>IF(ISNUMBER(SEARCH("Y",UPPER(TRIM(Raw_Data!U536)))),"Yes","No")</f>
        <v>No</v>
      </c>
      <c r="Y545" s="23" t="str">
        <f>IF(ISNUMBER(SEARCH("Y",UPPER(TRIM(Raw_Data!V536)))),"Yes","No")</f>
        <v>Yes</v>
      </c>
      <c r="Z545" s="24">
        <f>Raw_Data!W536</f>
        <v>2</v>
      </c>
      <c r="AA545" s="24">
        <f>Raw_Data!X536</f>
        <v>5.9</v>
      </c>
      <c r="AB545" s="23" t="str">
        <f>IF(COUNTIFS(Raw_Data!$A$2:$A$616,Raw_Data!A536)&gt;1,"Duplicate","Unique")</f>
        <v>Unique</v>
      </c>
      <c r="AC545" s="23" t="str">
        <f t="shared" si="26"/>
        <v>Clean</v>
      </c>
    </row>
    <row r="546" spans="1:29" ht="15" customHeight="1">
      <c r="A546" s="25" t="str">
        <f>Raw_Data!A537</f>
        <v>BYJ1536</v>
      </c>
      <c r="B546" s="25" t="str">
        <f>Raw_Data!B537</f>
        <v>Ekantika Mander</v>
      </c>
      <c r="C546" s="26">
        <f>IF(OR(Raw_Data!C537="",Raw_Data!C537&lt;$C$5,Raw_Data!C537&gt;$C$6),$C$4,Raw_Data!C537)</f>
        <v>34</v>
      </c>
      <c r="D546" s="25" t="str">
        <f>IF(Raw_Data!C537="","Missing-Imputed",IF(OR(Raw_Data!C537&lt;$C$5,Raw_Data!C537&gt;$C$6),"Outlier-Imputed","Original"))</f>
        <v>Original</v>
      </c>
      <c r="E546" s="25" t="str">
        <f>IF(OR(UPPER(TRIM(Raw_Data!D537))="M",UPPER(TRIM(Raw_Data!D537))="MALE"),"Male","Female")</f>
        <v>Female</v>
      </c>
      <c r="F546" s="25" t="str">
        <f>PROPER(TRIM(Raw_Data!E537))</f>
        <v>Motihari</v>
      </c>
      <c r="G546" s="25" t="str">
        <f>PROPER(TRIM(Raw_Data!F537))</f>
        <v>Maharashtra</v>
      </c>
      <c r="H546" s="25" t="str">
        <f>PROPER(TRIM(Raw_Data!G537))</f>
        <v>Coding</v>
      </c>
      <c r="I546" s="25" t="str">
        <f>PROPER(TRIM(Raw_Data!H537))</f>
        <v>Ahmedabad Center</v>
      </c>
      <c r="J546" s="26">
        <f>IF(LEN(TRIM(Raw_Data!I537))=4,VALUE(TRIM(Raw_Data!I537)),IF(ISNUMBER(IFERROR(VALUE(MID(TRIM(Raw_Data!I537),1,4)),"NA")),VALUE(MID(TRIM(Raw_Data!I537),1,4)),VALUE(RIGHT(TRIM(Raw_Data!I537),4))))</f>
        <v>2018</v>
      </c>
      <c r="K546" s="25" t="str">
        <f>PROPER(TRIM(Raw_Data!J537))</f>
        <v>Retired</v>
      </c>
      <c r="L546" s="25" t="str">
        <f t="shared" si="24"/>
        <v>20+</v>
      </c>
      <c r="M546" s="25" t="str">
        <f t="shared" si="25"/>
        <v>Adult Learners</v>
      </c>
      <c r="N546" s="25" t="str">
        <f>IF(ISNUMBER(SEARCH("NON",UPPER(Raw_Data!M537))),"Non-Premium Learner","Premium Learner")</f>
        <v>Premium Learner</v>
      </c>
      <c r="O546" s="25" t="str">
        <f>PROPER(TRIM(Raw_Data!N537))</f>
        <v>App Only</v>
      </c>
      <c r="P546" s="26">
        <f>IF(Raw_Data!O537="",$C$7,Raw_Data!O537)</f>
        <v>85542.35</v>
      </c>
      <c r="Q546" s="25" t="str">
        <f>IF(Raw_Data!O537="","Missing-Imputed","Original")</f>
        <v>Original</v>
      </c>
      <c r="R546" s="26">
        <f>Raw_Data!P537</f>
        <v>70.400000000000006</v>
      </c>
      <c r="S546" s="26">
        <f>Raw_Data!Q537</f>
        <v>43499.29</v>
      </c>
      <c r="T546" s="25" t="str">
        <f>IF(Raw_Data!R537="","Unknown",IF(ISNUMBER(SEARCH("ACT",UPPER(Raw_Data!R537))),"Active",IF(ISNUMBER(SEARCH("CLOS",UPPER(Raw_Data!R537))),"Closed","None")))</f>
        <v>Closed</v>
      </c>
      <c r="U546" s="26">
        <f>IF(Raw_Data!S537="",$C$8,VALUE(Raw_Data!S537))</f>
        <v>348</v>
      </c>
      <c r="V546" s="25" t="str">
        <f>IF(Raw_Data!S537="","Missing-Imputed","Original")</f>
        <v>Original</v>
      </c>
      <c r="W546" s="26">
        <f>Raw_Data!T537</f>
        <v>144</v>
      </c>
      <c r="X546" s="25" t="str">
        <f>IF(ISNUMBER(SEARCH("Y",UPPER(TRIM(Raw_Data!U537)))),"Yes","No")</f>
        <v>Yes</v>
      </c>
      <c r="Y546" s="25" t="str">
        <f>IF(ISNUMBER(SEARCH("Y",UPPER(TRIM(Raw_Data!V537)))),"Yes","No")</f>
        <v>Yes</v>
      </c>
      <c r="Z546" s="26">
        <f>Raw_Data!W537</f>
        <v>5</v>
      </c>
      <c r="AA546" s="26">
        <f>Raw_Data!X537</f>
        <v>6.2</v>
      </c>
      <c r="AB546" s="25" t="str">
        <f>IF(COUNTIFS(Raw_Data!$A$2:$A$616,Raw_Data!A537)&gt;1,"Duplicate","Unique")</f>
        <v>Unique</v>
      </c>
      <c r="AC546" s="25" t="str">
        <f t="shared" si="26"/>
        <v>Clean</v>
      </c>
    </row>
    <row r="547" spans="1:29" ht="15" customHeight="1">
      <c r="A547" s="23" t="str">
        <f>Raw_Data!A538</f>
        <v>BYJ1537</v>
      </c>
      <c r="B547" s="23" t="str">
        <f>Raw_Data!B538</f>
        <v>Vedhika Oza</v>
      </c>
      <c r="C547" s="24">
        <f>IF(OR(Raw_Data!C538="",Raw_Data!C538&lt;$C$5,Raw_Data!C538&gt;$C$6),$C$4,Raw_Data!C538)</f>
        <v>18</v>
      </c>
      <c r="D547" s="23" t="str">
        <f>IF(Raw_Data!C538="","Missing-Imputed",IF(OR(Raw_Data!C538&lt;$C$5,Raw_Data!C538&gt;$C$6),"Outlier-Imputed","Original"))</f>
        <v>Original</v>
      </c>
      <c r="E547" s="23" t="str">
        <f>IF(OR(UPPER(TRIM(Raw_Data!D538))="M",UPPER(TRIM(Raw_Data!D538))="MALE"),"Male","Female")</f>
        <v>Male</v>
      </c>
      <c r="F547" s="23" t="str">
        <f>PROPER(TRIM(Raw_Data!E538))</f>
        <v>Ranchi</v>
      </c>
      <c r="G547" s="23" t="str">
        <f>PROPER(TRIM(Raw_Data!F538))</f>
        <v>Maharashtra</v>
      </c>
      <c r="H547" s="23" t="str">
        <f>PROPER(TRIM(Raw_Data!G538))</f>
        <v>Neet Prep</v>
      </c>
      <c r="I547" s="23" t="str">
        <f>PROPER(TRIM(Raw_Data!H538))</f>
        <v>Pune East</v>
      </c>
      <c r="J547" s="24">
        <f>IF(LEN(TRIM(Raw_Data!I538))=4,VALUE(TRIM(Raw_Data!I538)),IF(ISNUMBER(IFERROR(VALUE(MID(TRIM(Raw_Data!I538),1,4)),"NA")),VALUE(MID(TRIM(Raw_Data!I538),1,4)),VALUE(RIGHT(TRIM(Raw_Data!I538),4))))</f>
        <v>2018</v>
      </c>
      <c r="K547" s="23" t="str">
        <f>PROPER(TRIM(Raw_Data!J538))</f>
        <v>Salaried</v>
      </c>
      <c r="L547" s="23" t="str">
        <f t="shared" si="24"/>
        <v>17-19</v>
      </c>
      <c r="M547" s="23" t="str">
        <f t="shared" si="25"/>
        <v>Teens</v>
      </c>
      <c r="N547" s="23" t="str">
        <f>IF(ISNUMBER(SEARCH("NON",UPPER(Raw_Data!M538))),"Non-Premium Learner","Premium Learner")</f>
        <v>Non-Premium Learner</v>
      </c>
      <c r="O547" s="23" t="str">
        <f>PROPER(TRIM(Raw_Data!N538))</f>
        <v>Web Only</v>
      </c>
      <c r="P547" s="24">
        <f>IF(Raw_Data!O538="",$C$7,Raw_Data!O538)</f>
        <v>6543</v>
      </c>
      <c r="Q547" s="23" t="str">
        <f>IF(Raw_Data!O538="","Missing-Imputed","Original")</f>
        <v>Original</v>
      </c>
      <c r="R547" s="24">
        <f>Raw_Data!P538</f>
        <v>72.400000000000006</v>
      </c>
      <c r="S547" s="24">
        <f>Raw_Data!Q538</f>
        <v>9856.3700000000008</v>
      </c>
      <c r="T547" s="23" t="str">
        <f>IF(Raw_Data!R538="","Unknown",IF(ISNUMBER(SEARCH("ACT",UPPER(Raw_Data!R538))),"Active",IF(ISNUMBER(SEARCH("CLOS",UPPER(Raw_Data!R538))),"Closed","None")))</f>
        <v>Active</v>
      </c>
      <c r="U547" s="24" t="e">
        <f>IF(Raw_Data!S538="",$C$8,VALUE(Raw_Data!S538))</f>
        <v>#VALUE!</v>
      </c>
      <c r="V547" s="23" t="str">
        <f>IF(Raw_Data!S538="","Missing-Imputed","Original")</f>
        <v>Original</v>
      </c>
      <c r="W547" s="24">
        <f>Raw_Data!T538</f>
        <v>28</v>
      </c>
      <c r="X547" s="23" t="str">
        <f>IF(ISNUMBER(SEARCH("Y",UPPER(TRIM(Raw_Data!U538)))),"Yes","No")</f>
        <v>Yes</v>
      </c>
      <c r="Y547" s="23" t="str">
        <f>IF(ISNUMBER(SEARCH("Y",UPPER(TRIM(Raw_Data!V538)))),"Yes","No")</f>
        <v>Yes</v>
      </c>
      <c r="Z547" s="24">
        <f>Raw_Data!W538</f>
        <v>2</v>
      </c>
      <c r="AA547" s="24">
        <f>Raw_Data!X538</f>
        <v>4.5</v>
      </c>
      <c r="AB547" s="23" t="str">
        <f>IF(COUNTIFS(Raw_Data!$A$2:$A$616,Raw_Data!A538)&gt;1,"Duplicate","Unique")</f>
        <v>Unique</v>
      </c>
      <c r="AC547" s="23" t="str">
        <f t="shared" si="26"/>
        <v>Clean</v>
      </c>
    </row>
    <row r="548" spans="1:29" ht="15" customHeight="1">
      <c r="A548" s="25" t="str">
        <f>Raw_Data!A539</f>
        <v>BYJ1538</v>
      </c>
      <c r="B548" s="25" t="str">
        <f>Raw_Data!B539</f>
        <v>Tripti Babu</v>
      </c>
      <c r="C548" s="26">
        <f>IF(OR(Raw_Data!C539="",Raw_Data!C539&lt;$C$5,Raw_Data!C539&gt;$C$6),$C$4,Raw_Data!C539)</f>
        <v>30</v>
      </c>
      <c r="D548" s="25" t="str">
        <f>IF(Raw_Data!C539="","Missing-Imputed",IF(OR(Raw_Data!C539&lt;$C$5,Raw_Data!C539&gt;$C$6),"Outlier-Imputed","Original"))</f>
        <v>Original</v>
      </c>
      <c r="E548" s="25" t="str">
        <f>IF(OR(UPPER(TRIM(Raw_Data!D539))="M",UPPER(TRIM(Raw_Data!D539))="MALE"),"Male","Female")</f>
        <v>Male</v>
      </c>
      <c r="F548" s="25" t="str">
        <f>PROPER(TRIM(Raw_Data!E539))</f>
        <v>Sangli-Miraj &amp; Kupwad</v>
      </c>
      <c r="G548" s="25" t="str">
        <f>PROPER(TRIM(Raw_Data!F539))</f>
        <v>Karnataka</v>
      </c>
      <c r="H548" s="25" t="str">
        <f>PROPER(TRIM(Raw_Data!G539))</f>
        <v>Jee Prep</v>
      </c>
      <c r="I548" s="25" t="str">
        <f>PROPER(TRIM(Raw_Data!H539))</f>
        <v>Hyderabad Hub</v>
      </c>
      <c r="J548" s="26">
        <f>IF(LEN(TRIM(Raw_Data!I539))=4,VALUE(TRIM(Raw_Data!I539)),IF(ISNUMBER(IFERROR(VALUE(MID(TRIM(Raw_Data!I539),1,4)),"NA")),VALUE(MID(TRIM(Raw_Data!I539),1,4)),VALUE(RIGHT(TRIM(Raw_Data!I539),4))))</f>
        <v>2020</v>
      </c>
      <c r="K548" s="25" t="str">
        <f>PROPER(TRIM(Raw_Data!J539))</f>
        <v>Government Employee</v>
      </c>
      <c r="L548" s="25" t="str">
        <f t="shared" si="24"/>
        <v>20+</v>
      </c>
      <c r="M548" s="25" t="str">
        <f t="shared" si="25"/>
        <v>Adult Learners</v>
      </c>
      <c r="N548" s="25" t="str">
        <f>IF(ISNUMBER(SEARCH("NON",UPPER(Raw_Data!M539))),"Non-Premium Learner","Premium Learner")</f>
        <v>Non-Premium Learner</v>
      </c>
      <c r="O548" s="25" t="str">
        <f>PROPER(TRIM(Raw_Data!N539))</f>
        <v>Web Only</v>
      </c>
      <c r="P548" s="26">
        <f>IF(Raw_Data!O539="",$C$7,Raw_Data!O539)</f>
        <v>47632.39</v>
      </c>
      <c r="Q548" s="25" t="str">
        <f>IF(Raw_Data!O539="","Missing-Imputed","Original")</f>
        <v>Original</v>
      </c>
      <c r="R548" s="26">
        <f>Raw_Data!P539</f>
        <v>66.3</v>
      </c>
      <c r="S548" s="26">
        <f>Raw_Data!Q539</f>
        <v>25869.58</v>
      </c>
      <c r="T548" s="25" t="str">
        <f>IF(Raw_Data!R539="","Unknown",IF(ISNUMBER(SEARCH("ACT",UPPER(Raw_Data!R539))),"Active",IF(ISNUMBER(SEARCH("CLOS",UPPER(Raw_Data!R539))),"Closed","None")))</f>
        <v>Closed</v>
      </c>
      <c r="U548" s="26">
        <f>IF(Raw_Data!S539="",$C$8,VALUE(Raw_Data!S539))</f>
        <v>542</v>
      </c>
      <c r="V548" s="25" t="str">
        <f>IF(Raw_Data!S539="","Missing-Imputed","Original")</f>
        <v>Original</v>
      </c>
      <c r="W548" s="26">
        <f>Raw_Data!T539</f>
        <v>174</v>
      </c>
      <c r="X548" s="25" t="str">
        <f>IF(ISNUMBER(SEARCH("Y",UPPER(TRIM(Raw_Data!U539)))),"Yes","No")</f>
        <v>No</v>
      </c>
      <c r="Y548" s="25" t="str">
        <f>IF(ISNUMBER(SEARCH("Y",UPPER(TRIM(Raw_Data!V539)))),"Yes","No")</f>
        <v>No</v>
      </c>
      <c r="Z548" s="26">
        <f>Raw_Data!W539</f>
        <v>5</v>
      </c>
      <c r="AA548" s="26">
        <f>Raw_Data!X539</f>
        <v>1.4</v>
      </c>
      <c r="AB548" s="25" t="str">
        <f>IF(COUNTIFS(Raw_Data!$A$2:$A$616,Raw_Data!A539)&gt;1,"Duplicate","Unique")</f>
        <v>Unique</v>
      </c>
      <c r="AC548" s="25" t="str">
        <f t="shared" si="26"/>
        <v>Clean</v>
      </c>
    </row>
    <row r="549" spans="1:29" ht="15" customHeight="1">
      <c r="A549" s="23" t="str">
        <f>Raw_Data!A540</f>
        <v>BYJ1539</v>
      </c>
      <c r="B549" s="23" t="str">
        <f>Raw_Data!B540</f>
        <v>Tanmayi Acharya</v>
      </c>
      <c r="C549" s="24">
        <f>IF(OR(Raw_Data!C540="",Raw_Data!C540&lt;$C$5,Raw_Data!C540&gt;$C$6),$C$4,Raw_Data!C540)</f>
        <v>37</v>
      </c>
      <c r="D549" s="23" t="str">
        <f>IF(Raw_Data!C540="","Missing-Imputed",IF(OR(Raw_Data!C540&lt;$C$5,Raw_Data!C540&gt;$C$6),"Outlier-Imputed","Original"))</f>
        <v>Original</v>
      </c>
      <c r="E549" s="23" t="str">
        <f>IF(OR(UPPER(TRIM(Raw_Data!D540))="M",UPPER(TRIM(Raw_Data!D540))="MALE"),"Male","Female")</f>
        <v>Male</v>
      </c>
      <c r="F549" s="23" t="str">
        <f>PROPER(TRIM(Raw_Data!E540))</f>
        <v>Panihati</v>
      </c>
      <c r="G549" s="23" t="str">
        <f>PROPER(TRIM(Raw_Data!F540))</f>
        <v>Maharashtra</v>
      </c>
      <c r="H549" s="23" t="str">
        <f>PROPER(TRIM(Raw_Data!G540))</f>
        <v>Mathematics</v>
      </c>
      <c r="I549" s="23" t="str">
        <f>PROPER(TRIM(Raw_Data!H540))</f>
        <v>Ahmedabad Center</v>
      </c>
      <c r="J549" s="24">
        <f>IF(LEN(TRIM(Raw_Data!I540))=4,VALUE(TRIM(Raw_Data!I540)),IF(ISNUMBER(IFERROR(VALUE(MID(TRIM(Raw_Data!I540),1,4)),"NA")),VALUE(MID(TRIM(Raw_Data!I540),1,4)),VALUE(RIGHT(TRIM(Raw_Data!I540),4))))</f>
        <v>2025</v>
      </c>
      <c r="K549" s="23" t="str">
        <f>PROPER(TRIM(Raw_Data!J540))</f>
        <v>Salaried</v>
      </c>
      <c r="L549" s="23" t="str">
        <f t="shared" si="24"/>
        <v>20+</v>
      </c>
      <c r="M549" s="23" t="str">
        <f t="shared" si="25"/>
        <v>Adult Learners</v>
      </c>
      <c r="N549" s="23" t="str">
        <f>IF(ISNUMBER(SEARCH("NON",UPPER(Raw_Data!M540))),"Non-Premium Learner","Premium Learner")</f>
        <v>Non-Premium Learner</v>
      </c>
      <c r="O549" s="23" t="str">
        <f>PROPER(TRIM(Raw_Data!N540))</f>
        <v>Web Only</v>
      </c>
      <c r="P549" s="24">
        <f>IF(Raw_Data!O540="",$C$7,Raw_Data!O540)</f>
        <v>29884.85</v>
      </c>
      <c r="Q549" s="23" t="str">
        <f>IF(Raw_Data!O540="","Missing-Imputed","Original")</f>
        <v>Original</v>
      </c>
      <c r="R549" s="24">
        <f>Raw_Data!P540</f>
        <v>60.1</v>
      </c>
      <c r="S549" s="24">
        <f>Raw_Data!Q540</f>
        <v>29478.35</v>
      </c>
      <c r="T549" s="23" t="str">
        <f>IF(Raw_Data!R540="","Unknown",IF(ISNUMBER(SEARCH("ACT",UPPER(Raw_Data!R540))),"Active",IF(ISNUMBER(SEARCH("CLOS",UPPER(Raw_Data!R540))),"Closed","None")))</f>
        <v>Unknown</v>
      </c>
      <c r="U549" s="24">
        <f>IF(Raw_Data!S540="",$C$8,VALUE(Raw_Data!S540))</f>
        <v>748</v>
      </c>
      <c r="V549" s="23" t="str">
        <f>IF(Raw_Data!S540="","Missing-Imputed","Original")</f>
        <v>Original</v>
      </c>
      <c r="W549" s="24">
        <f>Raw_Data!T540</f>
        <v>109</v>
      </c>
      <c r="X549" s="23" t="str">
        <f>IF(ISNUMBER(SEARCH("Y",UPPER(TRIM(Raw_Data!U540)))),"Yes","No")</f>
        <v>Yes</v>
      </c>
      <c r="Y549" s="23" t="str">
        <f>IF(ISNUMBER(SEARCH("Y",UPPER(TRIM(Raw_Data!V540)))),"Yes","No")</f>
        <v>Yes</v>
      </c>
      <c r="Z549" s="24">
        <f>Raw_Data!W540</f>
        <v>5</v>
      </c>
      <c r="AA549" s="24">
        <f>Raw_Data!X540</f>
        <v>6.3</v>
      </c>
      <c r="AB549" s="23" t="str">
        <f>IF(COUNTIFS(Raw_Data!$A$2:$A$616,Raw_Data!A540)&gt;1,"Duplicate","Unique")</f>
        <v>Unique</v>
      </c>
      <c r="AC549" s="23" t="str">
        <f t="shared" si="26"/>
        <v>Clean</v>
      </c>
    </row>
    <row r="550" spans="1:29" ht="15" customHeight="1">
      <c r="A550" s="25" t="str">
        <f>Raw_Data!A541</f>
        <v>BYJ1540</v>
      </c>
      <c r="B550" s="25" t="str">
        <f>Raw_Data!B541</f>
        <v>Chasmum Dutt</v>
      </c>
      <c r="C550" s="26">
        <f>IF(OR(Raw_Data!C541="",Raw_Data!C541&lt;$C$5,Raw_Data!C541&gt;$C$6),$C$4,Raw_Data!C541)</f>
        <v>24</v>
      </c>
      <c r="D550" s="25" t="str">
        <f>IF(Raw_Data!C541="","Missing-Imputed",IF(OR(Raw_Data!C541&lt;$C$5,Raw_Data!C541&gt;$C$6),"Outlier-Imputed","Original"))</f>
        <v>Missing-Imputed</v>
      </c>
      <c r="E550" s="25" t="str">
        <f>IF(OR(UPPER(TRIM(Raw_Data!D541))="M",UPPER(TRIM(Raw_Data!D541))="MALE"),"Male","Female")</f>
        <v>Male</v>
      </c>
      <c r="F550" s="25" t="str">
        <f>PROPER(TRIM(Raw_Data!E541))</f>
        <v>Tiruchirappalli</v>
      </c>
      <c r="G550" s="25" t="str">
        <f>PROPER(TRIM(Raw_Data!F541))</f>
        <v>Tamil Nadu</v>
      </c>
      <c r="H550" s="25" t="str">
        <f>PROPER(TRIM(Raw_Data!G541))</f>
        <v>Spoken English</v>
      </c>
      <c r="I550" s="25" t="str">
        <f>PROPER(TRIM(Raw_Data!H541))</f>
        <v>Lucknow Hub</v>
      </c>
      <c r="J550" s="26">
        <f>IF(LEN(TRIM(Raw_Data!I541))=4,VALUE(TRIM(Raw_Data!I541)),IF(ISNUMBER(IFERROR(VALUE(MID(TRIM(Raw_Data!I541),1,4)),"NA")),VALUE(MID(TRIM(Raw_Data!I541),1,4)),VALUE(RIGHT(TRIM(Raw_Data!I541),4))))</f>
        <v>2024</v>
      </c>
      <c r="K550" s="25" t="str">
        <f>PROPER(TRIM(Raw_Data!J541))</f>
        <v>Self-Employed</v>
      </c>
      <c r="L550" s="25" t="str">
        <f t="shared" si="24"/>
        <v>20+</v>
      </c>
      <c r="M550" s="25" t="str">
        <f t="shared" si="25"/>
        <v>Adult Learners</v>
      </c>
      <c r="N550" s="25" t="str">
        <f>IF(ISNUMBER(SEARCH("NON",UPPER(Raw_Data!M541))),"Non-Premium Learner","Premium Learner")</f>
        <v>Non-Premium Learner</v>
      </c>
      <c r="O550" s="25" t="str">
        <f>PROPER(TRIM(Raw_Data!N541))</f>
        <v>Web Only</v>
      </c>
      <c r="P550" s="26">
        <f>IF(Raw_Data!O541="",$C$7,Raw_Data!O541)</f>
        <v>74356.58</v>
      </c>
      <c r="Q550" s="25" t="str">
        <f>IF(Raw_Data!O541="","Missing-Imputed","Original")</f>
        <v>Original</v>
      </c>
      <c r="R550" s="26">
        <f>Raw_Data!P541</f>
        <v>69.599999999999994</v>
      </c>
      <c r="S550" s="26">
        <f>Raw_Data!Q541</f>
        <v>29787.86</v>
      </c>
      <c r="T550" s="25" t="str">
        <f>IF(Raw_Data!R541="","Unknown",IF(ISNUMBER(SEARCH("ACT",UPPER(Raw_Data!R541))),"Active",IF(ISNUMBER(SEARCH("CLOS",UPPER(Raw_Data!R541))),"Closed","None")))</f>
        <v>Closed</v>
      </c>
      <c r="U550" s="26">
        <f>IF(Raw_Data!S541="",$C$8,VALUE(Raw_Data!S541))</f>
        <v>450</v>
      </c>
      <c r="V550" s="25" t="str">
        <f>IF(Raw_Data!S541="","Missing-Imputed","Original")</f>
        <v>Original</v>
      </c>
      <c r="W550" s="26">
        <f>Raw_Data!T541</f>
        <v>3</v>
      </c>
      <c r="X550" s="25" t="str">
        <f>IF(ISNUMBER(SEARCH("Y",UPPER(TRIM(Raw_Data!U541)))),"Yes","No")</f>
        <v>No</v>
      </c>
      <c r="Y550" s="25" t="str">
        <f>IF(ISNUMBER(SEARCH("Y",UPPER(TRIM(Raw_Data!V541)))),"Yes","No")</f>
        <v>No</v>
      </c>
      <c r="Z550" s="26">
        <f>Raw_Data!W541</f>
        <v>1</v>
      </c>
      <c r="AA550" s="26">
        <f>Raw_Data!X541</f>
        <v>6.1</v>
      </c>
      <c r="AB550" s="25" t="str">
        <f>IF(COUNTIFS(Raw_Data!$A$2:$A$616,Raw_Data!A541)&gt;1,"Duplicate","Unique")</f>
        <v>Unique</v>
      </c>
      <c r="AC550" s="25" t="str">
        <f t="shared" si="26"/>
        <v>Imputed</v>
      </c>
    </row>
    <row r="551" spans="1:29" ht="15" customHeight="1">
      <c r="A551" s="23" t="str">
        <f>Raw_Data!A542</f>
        <v>BYJ1541</v>
      </c>
      <c r="B551" s="23" t="str">
        <f>Raw_Data!B542</f>
        <v>Zashil Butala</v>
      </c>
      <c r="C551" s="24">
        <f>IF(OR(Raw_Data!C542="",Raw_Data!C542&lt;$C$5,Raw_Data!C542&gt;$C$6),$C$4,Raw_Data!C542)</f>
        <v>28</v>
      </c>
      <c r="D551" s="23" t="str">
        <f>IF(Raw_Data!C542="","Missing-Imputed",IF(OR(Raw_Data!C542&lt;$C$5,Raw_Data!C542&gt;$C$6),"Outlier-Imputed","Original"))</f>
        <v>Original</v>
      </c>
      <c r="E551" s="23" t="str">
        <f>IF(OR(UPPER(TRIM(Raw_Data!D542))="M",UPPER(TRIM(Raw_Data!D542))="MALE"),"Male","Female")</f>
        <v>Female</v>
      </c>
      <c r="F551" s="23" t="str">
        <f>PROPER(TRIM(Raw_Data!E542))</f>
        <v>Dehradun</v>
      </c>
      <c r="G551" s="23" t="str">
        <f>PROPER(TRIM(Raw_Data!F542))</f>
        <v>West Bengal</v>
      </c>
      <c r="H551" s="23" t="str">
        <f>PROPER(TRIM(Raw_Data!G542))</f>
        <v>Neet Prep</v>
      </c>
      <c r="I551" s="23" t="str">
        <f>PROPER(TRIM(Raw_Data!H542))</f>
        <v>Chennai Central</v>
      </c>
      <c r="J551" s="24">
        <f>IF(LEN(TRIM(Raw_Data!I542))=4,VALUE(TRIM(Raw_Data!I542)),IF(ISNUMBER(IFERROR(VALUE(MID(TRIM(Raw_Data!I542),1,4)),"NA")),VALUE(MID(TRIM(Raw_Data!I542),1,4)),VALUE(RIGHT(TRIM(Raw_Data!I542),4))))</f>
        <v>2021</v>
      </c>
      <c r="K551" s="23" t="str">
        <f>PROPER(TRIM(Raw_Data!J542))</f>
        <v>Retired</v>
      </c>
      <c r="L551" s="23" t="str">
        <f t="shared" si="24"/>
        <v>20+</v>
      </c>
      <c r="M551" s="23" t="str">
        <f t="shared" si="25"/>
        <v>Adult Learners</v>
      </c>
      <c r="N551" s="23" t="str">
        <f>IF(ISNUMBER(SEARCH("NON",UPPER(Raw_Data!M542))),"Non-Premium Learner","Premium Learner")</f>
        <v>Premium Learner</v>
      </c>
      <c r="O551" s="23" t="str">
        <f>PROPER(TRIM(Raw_Data!N542))</f>
        <v>Both App &amp; Web</v>
      </c>
      <c r="P551" s="24">
        <f>IF(Raw_Data!O542="",$C$7,Raw_Data!O542)</f>
        <v>15565.02</v>
      </c>
      <c r="Q551" s="23" t="str">
        <f>IF(Raw_Data!O542="","Missing-Imputed","Original")</f>
        <v>Original</v>
      </c>
      <c r="R551" s="24">
        <f>Raw_Data!P542</f>
        <v>75.3</v>
      </c>
      <c r="S551" s="24">
        <f>Raw_Data!Q542</f>
        <v>4365.2</v>
      </c>
      <c r="T551" s="23" t="str">
        <f>IF(Raw_Data!R542="","Unknown",IF(ISNUMBER(SEARCH("ACT",UPPER(Raw_Data!R542))),"Active",IF(ISNUMBER(SEARCH("CLOS",UPPER(Raw_Data!R542))),"Closed","None")))</f>
        <v>None</v>
      </c>
      <c r="U551" s="24">
        <f>IF(Raw_Data!S542="",$C$8,VALUE(Raw_Data!S542))</f>
        <v>635</v>
      </c>
      <c r="V551" s="23" t="str">
        <f>IF(Raw_Data!S542="","Missing-Imputed","Original")</f>
        <v>Original</v>
      </c>
      <c r="W551" s="24">
        <f>Raw_Data!T542</f>
        <v>116</v>
      </c>
      <c r="X551" s="23" t="str">
        <f>IF(ISNUMBER(SEARCH("Y",UPPER(TRIM(Raw_Data!U542)))),"Yes","No")</f>
        <v>Yes</v>
      </c>
      <c r="Y551" s="23" t="str">
        <f>IF(ISNUMBER(SEARCH("Y",UPPER(TRIM(Raw_Data!V542)))),"Yes","No")</f>
        <v>Yes</v>
      </c>
      <c r="Z551" s="24">
        <f>Raw_Data!W542</f>
        <v>5</v>
      </c>
      <c r="AA551" s="24">
        <f>Raw_Data!X542</f>
        <v>5.7</v>
      </c>
      <c r="AB551" s="23" t="str">
        <f>IF(COUNTIFS(Raw_Data!$A$2:$A$616,Raw_Data!A542)&gt;1,"Duplicate","Unique")</f>
        <v>Unique</v>
      </c>
      <c r="AC551" s="23" t="str">
        <f t="shared" si="26"/>
        <v>Clean</v>
      </c>
    </row>
    <row r="552" spans="1:29" ht="15" customHeight="1">
      <c r="A552" s="25" t="str">
        <f>Raw_Data!A543</f>
        <v>BYJ1542</v>
      </c>
      <c r="B552" s="25" t="str">
        <f>Raw_Data!B543</f>
        <v>Meghana Mody</v>
      </c>
      <c r="C552" s="26">
        <f>IF(OR(Raw_Data!C543="",Raw_Data!C543&lt;$C$5,Raw_Data!C543&gt;$C$6),$C$4,Raw_Data!C543)</f>
        <v>7</v>
      </c>
      <c r="D552" s="25" t="str">
        <f>IF(Raw_Data!C543="","Missing-Imputed",IF(OR(Raw_Data!C543&lt;$C$5,Raw_Data!C543&gt;$C$6),"Outlier-Imputed","Original"))</f>
        <v>Original</v>
      </c>
      <c r="E552" s="25" t="str">
        <f>IF(OR(UPPER(TRIM(Raw_Data!D543))="M",UPPER(TRIM(Raw_Data!D543))="MALE"),"Male","Female")</f>
        <v>Male</v>
      </c>
      <c r="F552" s="25" t="str">
        <f>PROPER(TRIM(Raw_Data!E543))</f>
        <v>Haldia</v>
      </c>
      <c r="G552" s="25" t="str">
        <f>PROPER(TRIM(Raw_Data!F543))</f>
        <v>Tamil Nadu</v>
      </c>
      <c r="H552" s="25" t="str">
        <f>PROPER(TRIM(Raw_Data!G543))</f>
        <v>Neet Prep</v>
      </c>
      <c r="I552" s="25" t="str">
        <f>PROPER(TRIM(Raw_Data!H543))</f>
        <v>Chennai Central</v>
      </c>
      <c r="J552" s="26">
        <f>IF(LEN(TRIM(Raw_Data!I543))=4,VALUE(TRIM(Raw_Data!I543)),IF(ISNUMBER(IFERROR(VALUE(MID(TRIM(Raw_Data!I543),1,4)),"NA")),VALUE(MID(TRIM(Raw_Data!I543),1,4)),VALUE(RIGHT(TRIM(Raw_Data!I543),4))))</f>
        <v>2025</v>
      </c>
      <c r="K552" s="25" t="str">
        <f>PROPER(TRIM(Raw_Data!J543))</f>
        <v>Retired</v>
      </c>
      <c r="L552" s="25" t="str">
        <f t="shared" si="24"/>
        <v>Under 10</v>
      </c>
      <c r="M552" s="25" t="str">
        <f t="shared" si="25"/>
        <v>Kids</v>
      </c>
      <c r="N552" s="25" t="str">
        <f>IF(ISNUMBER(SEARCH("NON",UPPER(Raw_Data!M543))),"Non-Premium Learner","Premium Learner")</f>
        <v>Non-Premium Learner</v>
      </c>
      <c r="O552" s="25" t="str">
        <f>PROPER(TRIM(Raw_Data!N543))</f>
        <v>Both App &amp; Web</v>
      </c>
      <c r="P552" s="26">
        <f>IF(Raw_Data!O543="",$C$7,Raw_Data!O543)</f>
        <v>91742.32</v>
      </c>
      <c r="Q552" s="25" t="str">
        <f>IF(Raw_Data!O543="","Missing-Imputed","Original")</f>
        <v>Original</v>
      </c>
      <c r="R552" s="26">
        <f>Raw_Data!P543</f>
        <v>43.1</v>
      </c>
      <c r="S552" s="26">
        <f>Raw_Data!Q543</f>
        <v>17512.060000000001</v>
      </c>
      <c r="T552" s="25" t="str">
        <f>IF(Raw_Data!R543="","Unknown",IF(ISNUMBER(SEARCH("ACT",UPPER(Raw_Data!R543))),"Active",IF(ISNUMBER(SEARCH("CLOS",UPPER(Raw_Data!R543))),"Closed","None")))</f>
        <v>Active</v>
      </c>
      <c r="U552" s="26">
        <f>IF(Raw_Data!S543="",$C$8,VALUE(Raw_Data!S543))</f>
        <v>645</v>
      </c>
      <c r="V552" s="25" t="str">
        <f>IF(Raw_Data!S543="","Missing-Imputed","Original")</f>
        <v>Original</v>
      </c>
      <c r="W552" s="26">
        <f>Raw_Data!T543</f>
        <v>156</v>
      </c>
      <c r="X552" s="25" t="str">
        <f>IF(ISNUMBER(SEARCH("Y",UPPER(TRIM(Raw_Data!U543)))),"Yes","No")</f>
        <v>Yes</v>
      </c>
      <c r="Y552" s="25" t="str">
        <f>IF(ISNUMBER(SEARCH("Y",UPPER(TRIM(Raw_Data!V543)))),"Yes","No")</f>
        <v>No</v>
      </c>
      <c r="Z552" s="26">
        <f>Raw_Data!W543</f>
        <v>4</v>
      </c>
      <c r="AA552" s="26">
        <f>Raw_Data!X543</f>
        <v>5.8</v>
      </c>
      <c r="AB552" s="25" t="str">
        <f>IF(COUNTIFS(Raw_Data!$A$2:$A$616,Raw_Data!A543)&gt;1,"Duplicate","Unique")</f>
        <v>Unique</v>
      </c>
      <c r="AC552" s="25" t="str">
        <f t="shared" si="26"/>
        <v>Clean</v>
      </c>
    </row>
    <row r="553" spans="1:29" ht="15" customHeight="1">
      <c r="A553" s="23" t="str">
        <f>Raw_Data!A544</f>
        <v>BYJ1543</v>
      </c>
      <c r="B553" s="23" t="str">
        <f>Raw_Data!B544</f>
        <v>Girish Agarwal</v>
      </c>
      <c r="C553" s="24">
        <f>IF(OR(Raw_Data!C544="",Raw_Data!C544&lt;$C$5,Raw_Data!C544&gt;$C$6),$C$4,Raw_Data!C544)</f>
        <v>8</v>
      </c>
      <c r="D553" s="23" t="str">
        <f>IF(Raw_Data!C544="","Missing-Imputed",IF(OR(Raw_Data!C544&lt;$C$5,Raw_Data!C544&gt;$C$6),"Outlier-Imputed","Original"))</f>
        <v>Original</v>
      </c>
      <c r="E553" s="23" t="str">
        <f>IF(OR(UPPER(TRIM(Raw_Data!D544))="M",UPPER(TRIM(Raw_Data!D544))="MALE"),"Male","Female")</f>
        <v>Female</v>
      </c>
      <c r="F553" s="23" t="str">
        <f>PROPER(TRIM(Raw_Data!E544))</f>
        <v>Morena</v>
      </c>
      <c r="G553" s="23" t="str">
        <f>PROPER(TRIM(Raw_Data!F544))</f>
        <v>Maharashtra</v>
      </c>
      <c r="H553" s="23" t="str">
        <f>PROPER(TRIM(Raw_Data!G544))</f>
        <v>English</v>
      </c>
      <c r="I553" s="23" t="str">
        <f>PROPER(TRIM(Raw_Data!H544))</f>
        <v>Jaipur Center</v>
      </c>
      <c r="J553" s="24">
        <f>IF(LEN(TRIM(Raw_Data!I544))=4,VALUE(TRIM(Raw_Data!I544)),IF(ISNUMBER(IFERROR(VALUE(MID(TRIM(Raw_Data!I544),1,4)),"NA")),VALUE(MID(TRIM(Raw_Data!I544),1,4)),VALUE(RIGHT(TRIM(Raw_Data!I544),4))))</f>
        <v>2022</v>
      </c>
      <c r="K553" s="23" t="str">
        <f>PROPER(TRIM(Raw_Data!J544))</f>
        <v>Business</v>
      </c>
      <c r="L553" s="23" t="str">
        <f t="shared" si="24"/>
        <v>Under 10</v>
      </c>
      <c r="M553" s="23" t="str">
        <f t="shared" si="25"/>
        <v>Kids</v>
      </c>
      <c r="N553" s="23" t="str">
        <f>IF(ISNUMBER(SEARCH("NON",UPPER(Raw_Data!M544))),"Non-Premium Learner","Premium Learner")</f>
        <v>Non-Premium Learner</v>
      </c>
      <c r="O553" s="23" t="str">
        <f>PROPER(TRIM(Raw_Data!N544))</f>
        <v>App Only</v>
      </c>
      <c r="P553" s="24">
        <f>IF(Raw_Data!O544="",$C$7,Raw_Data!O544)</f>
        <v>8801.59</v>
      </c>
      <c r="Q553" s="23" t="str">
        <f>IF(Raw_Data!O544="","Missing-Imputed","Original")</f>
        <v>Original</v>
      </c>
      <c r="R553" s="24">
        <f>Raw_Data!P544</f>
        <v>25.6</v>
      </c>
      <c r="S553" s="24">
        <f>Raw_Data!Q544</f>
        <v>46814.879999999997</v>
      </c>
      <c r="T553" s="23" t="str">
        <f>IF(Raw_Data!R544="","Unknown",IF(ISNUMBER(SEARCH("ACT",UPPER(Raw_Data!R544))),"Active",IF(ISNUMBER(SEARCH("CLOS",UPPER(Raw_Data!R544))),"Closed","None")))</f>
        <v>None</v>
      </c>
      <c r="U553" s="24">
        <f>IF(Raw_Data!S544="",$C$8,VALUE(Raw_Data!S544))</f>
        <v>772</v>
      </c>
      <c r="V553" s="23" t="str">
        <f>IF(Raw_Data!S544="","Missing-Imputed","Original")</f>
        <v>Original</v>
      </c>
      <c r="W553" s="24">
        <f>Raw_Data!T544</f>
        <v>136</v>
      </c>
      <c r="X553" s="23" t="str">
        <f>IF(ISNUMBER(SEARCH("Y",UPPER(TRIM(Raw_Data!U544)))),"Yes","No")</f>
        <v>No</v>
      </c>
      <c r="Y553" s="23" t="str">
        <f>IF(ISNUMBER(SEARCH("Y",UPPER(TRIM(Raw_Data!V544)))),"Yes","No")</f>
        <v>Yes</v>
      </c>
      <c r="Z553" s="24">
        <f>Raw_Data!W544</f>
        <v>5</v>
      </c>
      <c r="AA553" s="24">
        <f>Raw_Data!X544</f>
        <v>4.7</v>
      </c>
      <c r="AB553" s="23" t="str">
        <f>IF(COUNTIFS(Raw_Data!$A$2:$A$616,Raw_Data!A544)&gt;1,"Duplicate","Unique")</f>
        <v>Unique</v>
      </c>
      <c r="AC553" s="23" t="str">
        <f t="shared" si="26"/>
        <v>Clean</v>
      </c>
    </row>
    <row r="554" spans="1:29" ht="15" customHeight="1">
      <c r="A554" s="25" t="str">
        <f>Raw_Data!A545</f>
        <v>BYJ1544</v>
      </c>
      <c r="B554" s="25" t="str">
        <f>Raw_Data!B545</f>
        <v>Kevin Kara</v>
      </c>
      <c r="C554" s="26">
        <f>IF(OR(Raw_Data!C545="",Raw_Data!C545&lt;$C$5,Raw_Data!C545&gt;$C$6),$C$4,Raw_Data!C545)</f>
        <v>14</v>
      </c>
      <c r="D554" s="25" t="str">
        <f>IF(Raw_Data!C545="","Missing-Imputed",IF(OR(Raw_Data!C545&lt;$C$5,Raw_Data!C545&gt;$C$6),"Outlier-Imputed","Original"))</f>
        <v>Original</v>
      </c>
      <c r="E554" s="25" t="str">
        <f>IF(OR(UPPER(TRIM(Raw_Data!D545))="M",UPPER(TRIM(Raw_Data!D545))="MALE"),"Male","Female")</f>
        <v>Female</v>
      </c>
      <c r="F554" s="25" t="str">
        <f>PROPER(TRIM(Raw_Data!E545))</f>
        <v>Bangalore</v>
      </c>
      <c r="G554" s="25" t="str">
        <f>PROPER(TRIM(Raw_Data!F545))</f>
        <v>Rajasthan</v>
      </c>
      <c r="H554" s="25" t="str">
        <f>PROPER(TRIM(Raw_Data!G545))</f>
        <v>Coding</v>
      </c>
      <c r="I554" s="25" t="str">
        <f>PROPER(TRIM(Raw_Data!H545))</f>
        <v>Jaipur Center</v>
      </c>
      <c r="J554" s="26">
        <f>IF(LEN(TRIM(Raw_Data!I545))=4,VALUE(TRIM(Raw_Data!I545)),IF(ISNUMBER(IFERROR(VALUE(MID(TRIM(Raw_Data!I545),1,4)),"NA")),VALUE(MID(TRIM(Raw_Data!I545),1,4)),VALUE(RIGHT(TRIM(Raw_Data!I545),4))))</f>
        <v>2021</v>
      </c>
      <c r="K554" s="25" t="str">
        <f>PROPER(TRIM(Raw_Data!J545))</f>
        <v>Self-Employed</v>
      </c>
      <c r="L554" s="25" t="str">
        <f t="shared" si="24"/>
        <v>14-16</v>
      </c>
      <c r="M554" s="25" t="str">
        <f t="shared" si="25"/>
        <v>Teens</v>
      </c>
      <c r="N554" s="25" t="str">
        <f>IF(ISNUMBER(SEARCH("NON",UPPER(Raw_Data!M545))),"Non-Premium Learner","Premium Learner")</f>
        <v>Non-Premium Learner</v>
      </c>
      <c r="O554" s="25" t="str">
        <f>PROPER(TRIM(Raw_Data!N545))</f>
        <v>App Only</v>
      </c>
      <c r="P554" s="26">
        <f>IF(Raw_Data!O545="",$C$7,Raw_Data!O545)</f>
        <v>58458.73</v>
      </c>
      <c r="Q554" s="25" t="str">
        <f>IF(Raw_Data!O545="","Missing-Imputed","Original")</f>
        <v>Original</v>
      </c>
      <c r="R554" s="26">
        <f>Raw_Data!P545</f>
        <v>71.2</v>
      </c>
      <c r="S554" s="26">
        <f>Raw_Data!Q545</f>
        <v>39814.21</v>
      </c>
      <c r="T554" s="25" t="str">
        <f>IF(Raw_Data!R545="","Unknown",IF(ISNUMBER(SEARCH("ACT",UPPER(Raw_Data!R545))),"Active",IF(ISNUMBER(SEARCH("CLOS",UPPER(Raw_Data!R545))),"Closed","None")))</f>
        <v>Closed</v>
      </c>
      <c r="U554" s="26">
        <f>IF(Raw_Data!S545="",$C$8,VALUE(Raw_Data!S545))</f>
        <v>690</v>
      </c>
      <c r="V554" s="25" t="str">
        <f>IF(Raw_Data!S545="","Missing-Imputed","Original")</f>
        <v>Original</v>
      </c>
      <c r="W554" s="26">
        <f>Raw_Data!T545</f>
        <v>84</v>
      </c>
      <c r="X554" s="25" t="str">
        <f>IF(ISNUMBER(SEARCH("Y",UPPER(TRIM(Raw_Data!U545)))),"Yes","No")</f>
        <v>No</v>
      </c>
      <c r="Y554" s="25" t="str">
        <f>IF(ISNUMBER(SEARCH("Y",UPPER(TRIM(Raw_Data!V545)))),"Yes","No")</f>
        <v>Yes</v>
      </c>
      <c r="Z554" s="26">
        <f>Raw_Data!W545</f>
        <v>2</v>
      </c>
      <c r="AA554" s="26">
        <f>Raw_Data!X545</f>
        <v>2.9</v>
      </c>
      <c r="AB554" s="25" t="str">
        <f>IF(COUNTIFS(Raw_Data!$A$2:$A$616,Raw_Data!A545)&gt;1,"Duplicate","Unique")</f>
        <v>Unique</v>
      </c>
      <c r="AC554" s="25" t="str">
        <f t="shared" si="26"/>
        <v>Clean</v>
      </c>
    </row>
    <row r="555" spans="1:29" ht="15" customHeight="1">
      <c r="A555" s="23" t="str">
        <f>Raw_Data!A546</f>
        <v>BYJ1545</v>
      </c>
      <c r="B555" s="23" t="str">
        <f>Raw_Data!B546</f>
        <v>Hemal Dara</v>
      </c>
      <c r="C555" s="24">
        <f>IF(OR(Raw_Data!C546="",Raw_Data!C546&lt;$C$5,Raw_Data!C546&gt;$C$6),$C$4,Raw_Data!C546)</f>
        <v>27</v>
      </c>
      <c r="D555" s="23" t="str">
        <f>IF(Raw_Data!C546="","Missing-Imputed",IF(OR(Raw_Data!C546&lt;$C$5,Raw_Data!C546&gt;$C$6),"Outlier-Imputed","Original"))</f>
        <v>Original</v>
      </c>
      <c r="E555" s="23" t="str">
        <f>IF(OR(UPPER(TRIM(Raw_Data!D546))="M",UPPER(TRIM(Raw_Data!D546))="MALE"),"Male","Female")</f>
        <v>Female</v>
      </c>
      <c r="F555" s="23" t="str">
        <f>PROPER(TRIM(Raw_Data!E546))</f>
        <v>Mira-Bhayandar</v>
      </c>
      <c r="G555" s="23" t="str">
        <f>PROPER(TRIM(Raw_Data!F546))</f>
        <v>Uttar Pradesh</v>
      </c>
      <c r="H555" s="23" t="str">
        <f>PROPER(TRIM(Raw_Data!G546))</f>
        <v>Robotics</v>
      </c>
      <c r="I555" s="23" t="str">
        <f>PROPER(TRIM(Raw_Data!H546))</f>
        <v>Ahmedabad Center</v>
      </c>
      <c r="J555" s="24">
        <f>IF(LEN(TRIM(Raw_Data!I546))=4,VALUE(TRIM(Raw_Data!I546)),IF(ISNUMBER(IFERROR(VALUE(MID(TRIM(Raw_Data!I546),1,4)),"NA")),VALUE(MID(TRIM(Raw_Data!I546),1,4)),VALUE(RIGHT(TRIM(Raw_Data!I546),4))))</f>
        <v>2025</v>
      </c>
      <c r="K555" s="23" t="str">
        <f>PROPER(TRIM(Raw_Data!J546))</f>
        <v>Homemaker</v>
      </c>
      <c r="L555" s="23" t="str">
        <f t="shared" si="24"/>
        <v>20+</v>
      </c>
      <c r="M555" s="23" t="str">
        <f t="shared" si="25"/>
        <v>Adult Learners</v>
      </c>
      <c r="N555" s="23" t="str">
        <f>IF(ISNUMBER(SEARCH("NON",UPPER(Raw_Data!M546))),"Non-Premium Learner","Premium Learner")</f>
        <v>Non-Premium Learner</v>
      </c>
      <c r="O555" s="23" t="str">
        <f>PROPER(TRIM(Raw_Data!N546))</f>
        <v>App Only</v>
      </c>
      <c r="P555" s="24">
        <f>IF(Raw_Data!O546="",$C$7,Raw_Data!O546)</f>
        <v>97553.68</v>
      </c>
      <c r="Q555" s="23" t="str">
        <f>IF(Raw_Data!O546="","Missing-Imputed","Original")</f>
        <v>Original</v>
      </c>
      <c r="R555" s="24">
        <f>Raw_Data!P546</f>
        <v>15</v>
      </c>
      <c r="S555" s="24">
        <f>Raw_Data!Q546</f>
        <v>31962.19</v>
      </c>
      <c r="T555" s="23" t="str">
        <f>IF(Raw_Data!R546="","Unknown",IF(ISNUMBER(SEARCH("ACT",UPPER(Raw_Data!R546))),"Active",IF(ISNUMBER(SEARCH("CLOS",UPPER(Raw_Data!R546))),"Closed","None")))</f>
        <v>None</v>
      </c>
      <c r="U555" s="24">
        <f>IF(Raw_Data!S546="",$C$8,VALUE(Raw_Data!S546))</f>
        <v>700</v>
      </c>
      <c r="V555" s="23" t="str">
        <f>IF(Raw_Data!S546="","Missing-Imputed","Original")</f>
        <v>Original</v>
      </c>
      <c r="W555" s="24">
        <f>Raw_Data!T546</f>
        <v>56</v>
      </c>
      <c r="X555" s="23" t="str">
        <f>IF(ISNUMBER(SEARCH("Y",UPPER(TRIM(Raw_Data!U546)))),"Yes","No")</f>
        <v>Yes</v>
      </c>
      <c r="Y555" s="23" t="str">
        <f>IF(ISNUMBER(SEARCH("Y",UPPER(TRIM(Raw_Data!V546)))),"Yes","No")</f>
        <v>No</v>
      </c>
      <c r="Z555" s="24">
        <f>Raw_Data!W546</f>
        <v>2</v>
      </c>
      <c r="AA555" s="24">
        <f>Raw_Data!X546</f>
        <v>2.7</v>
      </c>
      <c r="AB555" s="23" t="str">
        <f>IF(COUNTIFS(Raw_Data!$A$2:$A$616,Raw_Data!A546)&gt;1,"Duplicate","Unique")</f>
        <v>Unique</v>
      </c>
      <c r="AC555" s="23" t="str">
        <f t="shared" si="26"/>
        <v>Clean</v>
      </c>
    </row>
    <row r="556" spans="1:29" ht="15" customHeight="1">
      <c r="A556" s="25" t="str">
        <f>Raw_Data!A547</f>
        <v>BYJ1546</v>
      </c>
      <c r="B556" s="25" t="str">
        <f>Raw_Data!B547</f>
        <v>Ekavir Karnik</v>
      </c>
      <c r="C556" s="26">
        <f>IF(OR(Raw_Data!C547="",Raw_Data!C547&lt;$C$5,Raw_Data!C547&gt;$C$6),$C$4,Raw_Data!C547)</f>
        <v>17</v>
      </c>
      <c r="D556" s="25" t="str">
        <f>IF(Raw_Data!C547="","Missing-Imputed",IF(OR(Raw_Data!C547&lt;$C$5,Raw_Data!C547&gt;$C$6),"Outlier-Imputed","Original"))</f>
        <v>Original</v>
      </c>
      <c r="E556" s="25" t="str">
        <f>IF(OR(UPPER(TRIM(Raw_Data!D547))="M",UPPER(TRIM(Raw_Data!D547))="MALE"),"Male","Female")</f>
        <v>Female</v>
      </c>
      <c r="F556" s="25" t="str">
        <f>PROPER(TRIM(Raw_Data!E547))</f>
        <v>Hubli–Dharwad</v>
      </c>
      <c r="G556" s="25" t="str">
        <f>PROPER(TRIM(Raw_Data!F547))</f>
        <v>Gujarat</v>
      </c>
      <c r="H556" s="25" t="str">
        <f>PROPER(TRIM(Raw_Data!G547))</f>
        <v>Robotics</v>
      </c>
      <c r="I556" s="25" t="str">
        <f>PROPER(TRIM(Raw_Data!H547))</f>
        <v>Mumbai West</v>
      </c>
      <c r="J556" s="26">
        <f>IF(LEN(TRIM(Raw_Data!I547))=4,VALUE(TRIM(Raw_Data!I547)),IF(ISNUMBER(IFERROR(VALUE(MID(TRIM(Raw_Data!I547),1,4)),"NA")),VALUE(MID(TRIM(Raw_Data!I547),1,4)),VALUE(RIGHT(TRIM(Raw_Data!I547),4))))</f>
        <v>2025</v>
      </c>
      <c r="K556" s="25" t="str">
        <f>PROPER(TRIM(Raw_Data!J547))</f>
        <v>Retired</v>
      </c>
      <c r="L556" s="25" t="str">
        <f t="shared" si="24"/>
        <v>17-19</v>
      </c>
      <c r="M556" s="25" t="str">
        <f t="shared" si="25"/>
        <v>Teens</v>
      </c>
      <c r="N556" s="25" t="str">
        <f>IF(ISNUMBER(SEARCH("NON",UPPER(Raw_Data!M547))),"Non-Premium Learner","Premium Learner")</f>
        <v>Premium Learner</v>
      </c>
      <c r="O556" s="25" t="str">
        <f>PROPER(TRIM(Raw_Data!N547))</f>
        <v>Both App &amp; Web</v>
      </c>
      <c r="P556" s="26">
        <f>IF(Raw_Data!O547="",$C$7,Raw_Data!O547)</f>
        <v>58657.52</v>
      </c>
      <c r="Q556" s="25" t="str">
        <f>IF(Raw_Data!O547="","Missing-Imputed","Original")</f>
        <v>Original</v>
      </c>
      <c r="R556" s="26">
        <f>Raw_Data!P547</f>
        <v>79.400000000000006</v>
      </c>
      <c r="S556" s="26">
        <f>Raw_Data!Q547</f>
        <v>30268.87</v>
      </c>
      <c r="T556" s="25" t="str">
        <f>IF(Raw_Data!R547="","Unknown",IF(ISNUMBER(SEARCH("ACT",UPPER(Raw_Data!R547))),"Active",IF(ISNUMBER(SEARCH("CLOS",UPPER(Raw_Data!R547))),"Closed","None")))</f>
        <v>None</v>
      </c>
      <c r="U556" s="26">
        <f>IF(Raw_Data!S547="",$C$8,VALUE(Raw_Data!S547))</f>
        <v>678</v>
      </c>
      <c r="V556" s="25" t="str">
        <f>IF(Raw_Data!S547="","Missing-Imputed","Original")</f>
        <v>Original</v>
      </c>
      <c r="W556" s="26">
        <f>Raw_Data!T547</f>
        <v>165</v>
      </c>
      <c r="X556" s="25" t="str">
        <f>IF(ISNUMBER(SEARCH("Y",UPPER(TRIM(Raw_Data!U547)))),"Yes","No")</f>
        <v>No</v>
      </c>
      <c r="Y556" s="25" t="str">
        <f>IF(ISNUMBER(SEARCH("Y",UPPER(TRIM(Raw_Data!V547)))),"Yes","No")</f>
        <v>No</v>
      </c>
      <c r="Z556" s="26">
        <f>Raw_Data!W547</f>
        <v>1</v>
      </c>
      <c r="AA556" s="26">
        <f>Raw_Data!X547</f>
        <v>5.7</v>
      </c>
      <c r="AB556" s="25" t="str">
        <f>IF(COUNTIFS(Raw_Data!$A$2:$A$616,Raw_Data!A547)&gt;1,"Duplicate","Unique")</f>
        <v>Unique</v>
      </c>
      <c r="AC556" s="25" t="str">
        <f t="shared" si="26"/>
        <v>Clean</v>
      </c>
    </row>
    <row r="557" spans="1:29" ht="15" customHeight="1">
      <c r="A557" s="23" t="str">
        <f>Raw_Data!A548</f>
        <v>BYJ1547</v>
      </c>
      <c r="B557" s="23" t="str">
        <f>Raw_Data!B548</f>
        <v>Harshil Munshi</v>
      </c>
      <c r="C557" s="24">
        <f>IF(OR(Raw_Data!C548="",Raw_Data!C548&lt;$C$5,Raw_Data!C548&gt;$C$6),$C$4,Raw_Data!C548)</f>
        <v>24</v>
      </c>
      <c r="D557" s="23" t="str">
        <f>IF(Raw_Data!C548="","Missing-Imputed",IF(OR(Raw_Data!C548&lt;$C$5,Raw_Data!C548&gt;$C$6),"Outlier-Imputed","Original"))</f>
        <v>Original</v>
      </c>
      <c r="E557" s="23" t="str">
        <f>IF(OR(UPPER(TRIM(Raw_Data!D548))="M",UPPER(TRIM(Raw_Data!D548))="MALE"),"Male","Female")</f>
        <v>Female</v>
      </c>
      <c r="F557" s="23" t="str">
        <f>PROPER(TRIM(Raw_Data!E548))</f>
        <v>Dewas</v>
      </c>
      <c r="G557" s="23" t="str">
        <f>PROPER(TRIM(Raw_Data!F548))</f>
        <v>Telangana</v>
      </c>
      <c r="H557" s="23" t="str">
        <f>PROPER(TRIM(Raw_Data!G548))</f>
        <v>Mathematics</v>
      </c>
      <c r="I557" s="23" t="str">
        <f>PROPER(TRIM(Raw_Data!H548))</f>
        <v>Jaipur Center</v>
      </c>
      <c r="J557" s="24">
        <f>IF(LEN(TRIM(Raw_Data!I548))=4,VALUE(TRIM(Raw_Data!I548)),IF(ISNUMBER(IFERROR(VALUE(MID(TRIM(Raw_Data!I548),1,4)),"NA")),VALUE(MID(TRIM(Raw_Data!I548),1,4)),VALUE(RIGHT(TRIM(Raw_Data!I548),4))))</f>
        <v>2025</v>
      </c>
      <c r="K557" s="23" t="str">
        <f>PROPER(TRIM(Raw_Data!J548))</f>
        <v>Self-Employed</v>
      </c>
      <c r="L557" s="23" t="str">
        <f t="shared" si="24"/>
        <v>20+</v>
      </c>
      <c r="M557" s="23" t="str">
        <f t="shared" si="25"/>
        <v>Adult Learners</v>
      </c>
      <c r="N557" s="23" t="str">
        <f>IF(ISNUMBER(SEARCH("NON",UPPER(Raw_Data!M548))),"Non-Premium Learner","Premium Learner")</f>
        <v>Non-Premium Learner</v>
      </c>
      <c r="O557" s="23" t="str">
        <f>PROPER(TRIM(Raw_Data!N548))</f>
        <v>App Only</v>
      </c>
      <c r="P557" s="24">
        <f>IF(Raw_Data!O548="",$C$7,Raw_Data!O548)</f>
        <v>80623.679999999993</v>
      </c>
      <c r="Q557" s="23" t="str">
        <f>IF(Raw_Data!O548="","Missing-Imputed","Original")</f>
        <v>Original</v>
      </c>
      <c r="R557" s="24">
        <f>Raw_Data!P548</f>
        <v>48.6</v>
      </c>
      <c r="S557" s="24">
        <f>Raw_Data!Q548</f>
        <v>16148.03</v>
      </c>
      <c r="T557" s="23" t="str">
        <f>IF(Raw_Data!R548="","Unknown",IF(ISNUMBER(SEARCH("ACT",UPPER(Raw_Data!R548))),"Active",IF(ISNUMBER(SEARCH("CLOS",UPPER(Raw_Data!R548))),"Closed","None")))</f>
        <v>Active</v>
      </c>
      <c r="U557" s="24">
        <f>IF(Raw_Data!S548="",$C$8,VALUE(Raw_Data!S548))</f>
        <v>672</v>
      </c>
      <c r="V557" s="23" t="str">
        <f>IF(Raw_Data!S548="","Missing-Imputed","Original")</f>
        <v>Original</v>
      </c>
      <c r="W557" s="24">
        <f>Raw_Data!T548</f>
        <v>78</v>
      </c>
      <c r="X557" s="23" t="str">
        <f>IF(ISNUMBER(SEARCH("Y",UPPER(TRIM(Raw_Data!U548)))),"Yes","No")</f>
        <v>Yes</v>
      </c>
      <c r="Y557" s="23" t="str">
        <f>IF(ISNUMBER(SEARCH("Y",UPPER(TRIM(Raw_Data!V548)))),"Yes","No")</f>
        <v>No</v>
      </c>
      <c r="Z557" s="24">
        <f>Raw_Data!W548</f>
        <v>1</v>
      </c>
      <c r="AA557" s="24">
        <f>Raw_Data!X548</f>
        <v>3.3</v>
      </c>
      <c r="AB557" s="23" t="str">
        <f>IF(COUNTIFS(Raw_Data!$A$2:$A$616,Raw_Data!A548)&gt;1,"Duplicate","Unique")</f>
        <v>Unique</v>
      </c>
      <c r="AC557" s="23" t="str">
        <f t="shared" si="26"/>
        <v>Clean</v>
      </c>
    </row>
    <row r="558" spans="1:29" ht="15" customHeight="1">
      <c r="A558" s="25" t="str">
        <f>Raw_Data!A549</f>
        <v>BYJ1548</v>
      </c>
      <c r="B558" s="25" t="str">
        <f>Raw_Data!B549</f>
        <v>Lavanya Deol</v>
      </c>
      <c r="C558" s="26">
        <f>IF(OR(Raw_Data!C549="",Raw_Data!C549&lt;$C$5,Raw_Data!C549&gt;$C$6),$C$4,Raw_Data!C549)</f>
        <v>17</v>
      </c>
      <c r="D558" s="25" t="str">
        <f>IF(Raw_Data!C549="","Missing-Imputed",IF(OR(Raw_Data!C549&lt;$C$5,Raw_Data!C549&gt;$C$6),"Outlier-Imputed","Original"))</f>
        <v>Original</v>
      </c>
      <c r="E558" s="25" t="str">
        <f>IF(OR(UPPER(TRIM(Raw_Data!D549))="M",UPPER(TRIM(Raw_Data!D549))="MALE"),"Male","Female")</f>
        <v>Female</v>
      </c>
      <c r="F558" s="25" t="str">
        <f>PROPER(TRIM(Raw_Data!E549))</f>
        <v>Coimbatore</v>
      </c>
      <c r="G558" s="25" t="str">
        <f>PROPER(TRIM(Raw_Data!F549))</f>
        <v>West Bengal</v>
      </c>
      <c r="H558" s="25" t="str">
        <f>PROPER(TRIM(Raw_Data!G549))</f>
        <v>Spoken English</v>
      </c>
      <c r="I558" s="25" t="str">
        <f>PROPER(TRIM(Raw_Data!H549))</f>
        <v>Jaipur Center</v>
      </c>
      <c r="J558" s="26">
        <f>IF(LEN(TRIM(Raw_Data!I549))=4,VALUE(TRIM(Raw_Data!I549)),IF(ISNUMBER(IFERROR(VALUE(MID(TRIM(Raw_Data!I549),1,4)),"NA")),VALUE(MID(TRIM(Raw_Data!I549),1,4)),VALUE(RIGHT(TRIM(Raw_Data!I549),4))))</f>
        <v>2017</v>
      </c>
      <c r="K558" s="25" t="str">
        <f>PROPER(TRIM(Raw_Data!J549))</f>
        <v>Self-Employed</v>
      </c>
      <c r="L558" s="25" t="str">
        <f t="shared" si="24"/>
        <v>17-19</v>
      </c>
      <c r="M558" s="25" t="str">
        <f t="shared" si="25"/>
        <v>Teens</v>
      </c>
      <c r="N558" s="25" t="str">
        <f>IF(ISNUMBER(SEARCH("NON",UPPER(Raw_Data!M549))),"Non-Premium Learner","Premium Learner")</f>
        <v>Non-Premium Learner</v>
      </c>
      <c r="O558" s="25" t="str">
        <f>PROPER(TRIM(Raw_Data!N549))</f>
        <v>Both App &amp; Web</v>
      </c>
      <c r="P558" s="26">
        <f>IF(Raw_Data!O549="",$C$7,Raw_Data!O549)</f>
        <v>43534.39</v>
      </c>
      <c r="Q558" s="25" t="str">
        <f>IF(Raw_Data!O549="","Missing-Imputed","Original")</f>
        <v>Original</v>
      </c>
      <c r="R558" s="26">
        <f>Raw_Data!P549</f>
        <v>57.3</v>
      </c>
      <c r="S558" s="26">
        <f>Raw_Data!Q549</f>
        <v>38598.720000000001</v>
      </c>
      <c r="T558" s="25" t="str">
        <f>IF(Raw_Data!R549="","Unknown",IF(ISNUMBER(SEARCH("ACT",UPPER(Raw_Data!R549))),"Active",IF(ISNUMBER(SEARCH("CLOS",UPPER(Raw_Data!R549))),"Closed","None")))</f>
        <v>Active</v>
      </c>
      <c r="U558" s="26">
        <f>IF(Raw_Data!S549="",$C$8,VALUE(Raw_Data!S549))</f>
        <v>389</v>
      </c>
      <c r="V558" s="25" t="str">
        <f>IF(Raw_Data!S549="","Missing-Imputed","Original")</f>
        <v>Original</v>
      </c>
      <c r="W558" s="26">
        <f>Raw_Data!T549</f>
        <v>90</v>
      </c>
      <c r="X558" s="25" t="str">
        <f>IF(ISNUMBER(SEARCH("Y",UPPER(TRIM(Raw_Data!U549)))),"Yes","No")</f>
        <v>Yes</v>
      </c>
      <c r="Y558" s="25" t="str">
        <f>IF(ISNUMBER(SEARCH("Y",UPPER(TRIM(Raw_Data!V549)))),"Yes","No")</f>
        <v>No</v>
      </c>
      <c r="Z558" s="26">
        <f>Raw_Data!W549</f>
        <v>5</v>
      </c>
      <c r="AA558" s="26">
        <f>Raw_Data!X549</f>
        <v>5</v>
      </c>
      <c r="AB558" s="25" t="str">
        <f>IF(COUNTIFS(Raw_Data!$A$2:$A$616,Raw_Data!A549)&gt;1,"Duplicate","Unique")</f>
        <v>Unique</v>
      </c>
      <c r="AC558" s="25" t="str">
        <f t="shared" si="26"/>
        <v>Clean</v>
      </c>
    </row>
    <row r="559" spans="1:29" ht="15" customHeight="1">
      <c r="A559" s="23" t="str">
        <f>Raw_Data!A550</f>
        <v>BYJ1549</v>
      </c>
      <c r="B559" s="23" t="str">
        <f>Raw_Data!B550</f>
        <v>Nitesh Sarraf</v>
      </c>
      <c r="C559" s="24">
        <f>IF(OR(Raw_Data!C550="",Raw_Data!C550&lt;$C$5,Raw_Data!C550&gt;$C$6),$C$4,Raw_Data!C550)</f>
        <v>14</v>
      </c>
      <c r="D559" s="23" t="str">
        <f>IF(Raw_Data!C550="","Missing-Imputed",IF(OR(Raw_Data!C550&lt;$C$5,Raw_Data!C550&gt;$C$6),"Outlier-Imputed","Original"))</f>
        <v>Original</v>
      </c>
      <c r="E559" s="23" t="str">
        <f>IF(OR(UPPER(TRIM(Raw_Data!D550))="M",UPPER(TRIM(Raw_Data!D550))="MALE"),"Male","Female")</f>
        <v>Female</v>
      </c>
      <c r="F559" s="23" t="str">
        <f>PROPER(TRIM(Raw_Data!E550))</f>
        <v>Kakinada</v>
      </c>
      <c r="G559" s="23" t="str">
        <f>PROPER(TRIM(Raw_Data!F550))</f>
        <v>Maharashtra</v>
      </c>
      <c r="H559" s="23" t="str">
        <f>PROPER(TRIM(Raw_Data!G550))</f>
        <v>English</v>
      </c>
      <c r="I559" s="23" t="str">
        <f>PROPER(TRIM(Raw_Data!H550))</f>
        <v>Jaipur Center</v>
      </c>
      <c r="J559" s="24">
        <f>IF(LEN(TRIM(Raw_Data!I550))=4,VALUE(TRIM(Raw_Data!I550)),IF(ISNUMBER(IFERROR(VALUE(MID(TRIM(Raw_Data!I550),1,4)),"NA")),VALUE(MID(TRIM(Raw_Data!I550),1,4)),VALUE(RIGHT(TRIM(Raw_Data!I550),4))))</f>
        <v>2024</v>
      </c>
      <c r="K559" s="23" t="str">
        <f>PROPER(TRIM(Raw_Data!J550))</f>
        <v>Self-Employed</v>
      </c>
      <c r="L559" s="23" t="str">
        <f t="shared" si="24"/>
        <v>14-16</v>
      </c>
      <c r="M559" s="23" t="str">
        <f t="shared" si="25"/>
        <v>Teens</v>
      </c>
      <c r="N559" s="23" t="str">
        <f>IF(ISNUMBER(SEARCH("NON",UPPER(Raw_Data!M550))),"Non-Premium Learner","Premium Learner")</f>
        <v>Premium Learner</v>
      </c>
      <c r="O559" s="23" t="str">
        <f>PROPER(TRIM(Raw_Data!N550))</f>
        <v>Web Only</v>
      </c>
      <c r="P559" s="24">
        <f>IF(Raw_Data!O550="",$C$7,Raw_Data!O550)</f>
        <v>85823.96</v>
      </c>
      <c r="Q559" s="23" t="str">
        <f>IF(Raw_Data!O550="","Missing-Imputed","Original")</f>
        <v>Original</v>
      </c>
      <c r="R559" s="24">
        <f>Raw_Data!P550</f>
        <v>63.2</v>
      </c>
      <c r="S559" s="24">
        <f>Raw_Data!Q550</f>
        <v>24964.99</v>
      </c>
      <c r="T559" s="23" t="str">
        <f>IF(Raw_Data!R550="","Unknown",IF(ISNUMBER(SEARCH("ACT",UPPER(Raw_Data!R550))),"Active",IF(ISNUMBER(SEARCH("CLOS",UPPER(Raw_Data!R550))),"Closed","None")))</f>
        <v>Closed</v>
      </c>
      <c r="U559" s="24">
        <f>IF(Raw_Data!S550="",$C$8,VALUE(Raw_Data!S550))</f>
        <v>818</v>
      </c>
      <c r="V559" s="23" t="str">
        <f>IF(Raw_Data!S550="","Missing-Imputed","Original")</f>
        <v>Original</v>
      </c>
      <c r="W559" s="24">
        <f>Raw_Data!T550</f>
        <v>193</v>
      </c>
      <c r="X559" s="23" t="str">
        <f>IF(ISNUMBER(SEARCH("Y",UPPER(TRIM(Raw_Data!U550)))),"Yes","No")</f>
        <v>No</v>
      </c>
      <c r="Y559" s="23" t="str">
        <f>IF(ISNUMBER(SEARCH("Y",UPPER(TRIM(Raw_Data!V550)))),"Yes","No")</f>
        <v>No</v>
      </c>
      <c r="Z559" s="24">
        <f>Raw_Data!W550</f>
        <v>2</v>
      </c>
      <c r="AA559" s="24">
        <f>Raw_Data!X550</f>
        <v>1.7</v>
      </c>
      <c r="AB559" s="23" t="str">
        <f>IF(COUNTIFS(Raw_Data!$A$2:$A$616,Raw_Data!A550)&gt;1,"Duplicate","Unique")</f>
        <v>Unique</v>
      </c>
      <c r="AC559" s="23" t="str">
        <f t="shared" si="26"/>
        <v>Clean</v>
      </c>
    </row>
    <row r="560" spans="1:29" ht="15" customHeight="1">
      <c r="A560" s="25" t="str">
        <f>Raw_Data!A551</f>
        <v>BYJ1550</v>
      </c>
      <c r="B560" s="25" t="str">
        <f>Raw_Data!B551</f>
        <v>Nisha Savant</v>
      </c>
      <c r="C560" s="26">
        <f>IF(OR(Raw_Data!C551="",Raw_Data!C551&lt;$C$5,Raw_Data!C551&gt;$C$6),$C$4,Raw_Data!C551)</f>
        <v>23</v>
      </c>
      <c r="D560" s="25" t="str">
        <f>IF(Raw_Data!C551="","Missing-Imputed",IF(OR(Raw_Data!C551&lt;$C$5,Raw_Data!C551&gt;$C$6),"Outlier-Imputed","Original"))</f>
        <v>Original</v>
      </c>
      <c r="E560" s="25" t="str">
        <f>IF(OR(UPPER(TRIM(Raw_Data!D551))="M",UPPER(TRIM(Raw_Data!D551))="MALE"),"Male","Female")</f>
        <v>Female</v>
      </c>
      <c r="F560" s="25" t="str">
        <f>PROPER(TRIM(Raw_Data!E551))</f>
        <v>Chandigarh</v>
      </c>
      <c r="G560" s="25" t="str">
        <f>PROPER(TRIM(Raw_Data!F551))</f>
        <v>Gujarat</v>
      </c>
      <c r="H560" s="25" t="str">
        <f>PROPER(TRIM(Raw_Data!G551))</f>
        <v>Neet Prep</v>
      </c>
      <c r="I560" s="25" t="str">
        <f>PROPER(TRIM(Raw_Data!H551))</f>
        <v>Lucknow Hub</v>
      </c>
      <c r="J560" s="26">
        <f>IF(LEN(TRIM(Raw_Data!I551))=4,VALUE(TRIM(Raw_Data!I551)),IF(ISNUMBER(IFERROR(VALUE(MID(TRIM(Raw_Data!I551),1,4)),"NA")),VALUE(MID(TRIM(Raw_Data!I551),1,4)),VALUE(RIGHT(TRIM(Raw_Data!I551),4))))</f>
        <v>2020</v>
      </c>
      <c r="K560" s="25" t="str">
        <f>PROPER(TRIM(Raw_Data!J551))</f>
        <v>Homemaker</v>
      </c>
      <c r="L560" s="25" t="str">
        <f t="shared" si="24"/>
        <v>20+</v>
      </c>
      <c r="M560" s="25" t="str">
        <f t="shared" si="25"/>
        <v>Adult Learners</v>
      </c>
      <c r="N560" s="25" t="str">
        <f>IF(ISNUMBER(SEARCH("NON",UPPER(Raw_Data!M551))),"Non-Premium Learner","Premium Learner")</f>
        <v>Non-Premium Learner</v>
      </c>
      <c r="O560" s="25" t="str">
        <f>PROPER(TRIM(Raw_Data!N551))</f>
        <v>App Only</v>
      </c>
      <c r="P560" s="26">
        <f>IF(Raw_Data!O551="",$C$7,Raw_Data!O551)</f>
        <v>122800.59</v>
      </c>
      <c r="Q560" s="25" t="str">
        <f>IF(Raw_Data!O551="","Missing-Imputed","Original")</f>
        <v>Original</v>
      </c>
      <c r="R560" s="26">
        <f>Raw_Data!P551</f>
        <v>29.9</v>
      </c>
      <c r="S560" s="26">
        <f>Raw_Data!Q551</f>
        <v>8167.52</v>
      </c>
      <c r="T560" s="25" t="str">
        <f>IF(Raw_Data!R551="","Unknown",IF(ISNUMBER(SEARCH("ACT",UPPER(Raw_Data!R551))),"Active",IF(ISNUMBER(SEARCH("CLOS",UPPER(Raw_Data!R551))),"Closed","None")))</f>
        <v>Active</v>
      </c>
      <c r="U560" s="26">
        <f>IF(Raw_Data!S551="",$C$8,VALUE(Raw_Data!S551))</f>
        <v>343</v>
      </c>
      <c r="V560" s="25" t="str">
        <f>IF(Raw_Data!S551="","Missing-Imputed","Original")</f>
        <v>Original</v>
      </c>
      <c r="W560" s="26">
        <f>Raw_Data!T551</f>
        <v>78</v>
      </c>
      <c r="X560" s="25" t="str">
        <f>IF(ISNUMBER(SEARCH("Y",UPPER(TRIM(Raw_Data!U551)))),"Yes","No")</f>
        <v>No</v>
      </c>
      <c r="Y560" s="25" t="str">
        <f>IF(ISNUMBER(SEARCH("Y",UPPER(TRIM(Raw_Data!V551)))),"Yes","No")</f>
        <v>Yes</v>
      </c>
      <c r="Z560" s="26">
        <f>Raw_Data!W551</f>
        <v>2</v>
      </c>
      <c r="AA560" s="26">
        <f>Raw_Data!X551</f>
        <v>1.6</v>
      </c>
      <c r="AB560" s="25" t="str">
        <f>IF(COUNTIFS(Raw_Data!$A$2:$A$616,Raw_Data!A551)&gt;1,"Duplicate","Unique")</f>
        <v>Unique</v>
      </c>
      <c r="AC560" s="25" t="str">
        <f t="shared" si="26"/>
        <v>Clean</v>
      </c>
    </row>
    <row r="561" spans="1:29" ht="15" customHeight="1">
      <c r="A561" s="23" t="str">
        <f>Raw_Data!A552</f>
        <v>BYJ1551</v>
      </c>
      <c r="B561" s="23" t="str">
        <f>Raw_Data!B552</f>
        <v>Logan Dasgupta</v>
      </c>
      <c r="C561" s="24">
        <f>IF(OR(Raw_Data!C552="",Raw_Data!C552&lt;$C$5,Raw_Data!C552&gt;$C$6),$C$4,Raw_Data!C552)</f>
        <v>13</v>
      </c>
      <c r="D561" s="23" t="str">
        <f>IF(Raw_Data!C552="","Missing-Imputed",IF(OR(Raw_Data!C552&lt;$C$5,Raw_Data!C552&gt;$C$6),"Outlier-Imputed","Original"))</f>
        <v>Original</v>
      </c>
      <c r="E561" s="23" t="str">
        <f>IF(OR(UPPER(TRIM(Raw_Data!D552))="M",UPPER(TRIM(Raw_Data!D552))="MALE"),"Male","Female")</f>
        <v>Female</v>
      </c>
      <c r="F561" s="23" t="str">
        <f>PROPER(TRIM(Raw_Data!E552))</f>
        <v>Etawah</v>
      </c>
      <c r="G561" s="23" t="str">
        <f>PROPER(TRIM(Raw_Data!F552))</f>
        <v>Tamil Nadu</v>
      </c>
      <c r="H561" s="23" t="str">
        <f>PROPER(TRIM(Raw_Data!G552))</f>
        <v>Neet Prep</v>
      </c>
      <c r="I561" s="23" t="str">
        <f>PROPER(TRIM(Raw_Data!H552))</f>
        <v>Pune East</v>
      </c>
      <c r="J561" s="24">
        <f>IF(LEN(TRIM(Raw_Data!I552))=4,VALUE(TRIM(Raw_Data!I552)),IF(ISNUMBER(IFERROR(VALUE(MID(TRIM(Raw_Data!I552),1,4)),"NA")),VALUE(MID(TRIM(Raw_Data!I552),1,4)),VALUE(RIGHT(TRIM(Raw_Data!I552),4))))</f>
        <v>2023</v>
      </c>
      <c r="K561" s="23" t="str">
        <f>PROPER(TRIM(Raw_Data!J552))</f>
        <v>Retired</v>
      </c>
      <c r="L561" s="23" t="str">
        <f t="shared" si="24"/>
        <v>10-13</v>
      </c>
      <c r="M561" s="23" t="str">
        <f t="shared" si="25"/>
        <v>Kids</v>
      </c>
      <c r="N561" s="23" t="str">
        <f>IF(ISNUMBER(SEARCH("NON",UPPER(Raw_Data!M552))),"Non-Premium Learner","Premium Learner")</f>
        <v>Non-Premium Learner</v>
      </c>
      <c r="O561" s="23" t="str">
        <f>PROPER(TRIM(Raw_Data!N552))</f>
        <v>App Only</v>
      </c>
      <c r="P561" s="24">
        <f>IF(Raw_Data!O552="",$C$7,Raw_Data!O552)</f>
        <v>103889.27</v>
      </c>
      <c r="Q561" s="23" t="str">
        <f>IF(Raw_Data!O552="","Missing-Imputed","Original")</f>
        <v>Original</v>
      </c>
      <c r="R561" s="24">
        <f>Raw_Data!P552</f>
        <v>26.3</v>
      </c>
      <c r="S561" s="24">
        <f>Raw_Data!Q552</f>
        <v>31188.54</v>
      </c>
      <c r="T561" s="23" t="str">
        <f>IF(Raw_Data!R552="","Unknown",IF(ISNUMBER(SEARCH("ACT",UPPER(Raw_Data!R552))),"Active",IF(ISNUMBER(SEARCH("CLOS",UPPER(Raw_Data!R552))),"Closed","None")))</f>
        <v>None</v>
      </c>
      <c r="U561" s="24">
        <f>IF(Raw_Data!S552="",$C$8,VALUE(Raw_Data!S552))</f>
        <v>695</v>
      </c>
      <c r="V561" s="23" t="str">
        <f>IF(Raw_Data!S552="","Missing-Imputed","Original")</f>
        <v>Original</v>
      </c>
      <c r="W561" s="24">
        <f>Raw_Data!T552</f>
        <v>183</v>
      </c>
      <c r="X561" s="23" t="str">
        <f>IF(ISNUMBER(SEARCH("Y",UPPER(TRIM(Raw_Data!U552)))),"Yes","No")</f>
        <v>No</v>
      </c>
      <c r="Y561" s="23" t="str">
        <f>IF(ISNUMBER(SEARCH("Y",UPPER(TRIM(Raw_Data!V552)))),"Yes","No")</f>
        <v>No</v>
      </c>
      <c r="Z561" s="24">
        <f>Raw_Data!W552</f>
        <v>4</v>
      </c>
      <c r="AA561" s="24">
        <f>Raw_Data!X552</f>
        <v>4.3</v>
      </c>
      <c r="AB561" s="23" t="str">
        <f>IF(COUNTIFS(Raw_Data!$A$2:$A$616,Raw_Data!A552)&gt;1,"Duplicate","Unique")</f>
        <v>Unique</v>
      </c>
      <c r="AC561" s="23" t="str">
        <f t="shared" si="26"/>
        <v>Clean</v>
      </c>
    </row>
    <row r="562" spans="1:29" ht="15" customHeight="1">
      <c r="A562" s="25" t="str">
        <f>Raw_Data!A553</f>
        <v>BYJ1552</v>
      </c>
      <c r="B562" s="25" t="str">
        <f>Raw_Data!B553</f>
        <v>Divya Dey</v>
      </c>
      <c r="C562" s="26">
        <f>IF(OR(Raw_Data!C553="",Raw_Data!C553&lt;$C$5,Raw_Data!C553&gt;$C$6),$C$4,Raw_Data!C553)</f>
        <v>24</v>
      </c>
      <c r="D562" s="25" t="str">
        <f>IF(Raw_Data!C553="","Missing-Imputed",IF(OR(Raw_Data!C553&lt;$C$5,Raw_Data!C553&gt;$C$6),"Outlier-Imputed","Original"))</f>
        <v>Original</v>
      </c>
      <c r="E562" s="25" t="str">
        <f>IF(OR(UPPER(TRIM(Raw_Data!D553))="M",UPPER(TRIM(Raw_Data!D553))="MALE"),"Male","Female")</f>
        <v>Female</v>
      </c>
      <c r="F562" s="25" t="str">
        <f>PROPER(TRIM(Raw_Data!E553))</f>
        <v>Bally</v>
      </c>
      <c r="G562" s="25" t="str">
        <f>PROPER(TRIM(Raw_Data!F553))</f>
        <v>Maharashtra</v>
      </c>
      <c r="H562" s="25" t="str">
        <f>PROPER(TRIM(Raw_Data!G553))</f>
        <v>Neet Prep</v>
      </c>
      <c r="I562" s="25" t="str">
        <f>PROPER(TRIM(Raw_Data!H553))</f>
        <v>Jaipur Center</v>
      </c>
      <c r="J562" s="26">
        <f>IF(LEN(TRIM(Raw_Data!I553))=4,VALUE(TRIM(Raw_Data!I553)),IF(ISNUMBER(IFERROR(VALUE(MID(TRIM(Raw_Data!I553),1,4)),"NA")),VALUE(MID(TRIM(Raw_Data!I553),1,4)),VALUE(RIGHT(TRIM(Raw_Data!I553),4))))</f>
        <v>2018</v>
      </c>
      <c r="K562" s="25" t="str">
        <f>PROPER(TRIM(Raw_Data!J553))</f>
        <v>Salaried</v>
      </c>
      <c r="L562" s="25" t="str">
        <f t="shared" si="24"/>
        <v>20+</v>
      </c>
      <c r="M562" s="25" t="str">
        <f t="shared" si="25"/>
        <v>Adult Learners</v>
      </c>
      <c r="N562" s="25" t="str">
        <f>IF(ISNUMBER(SEARCH("NON",UPPER(Raw_Data!M553))),"Non-Premium Learner","Premium Learner")</f>
        <v>Non-Premium Learner</v>
      </c>
      <c r="O562" s="25" t="str">
        <f>PROPER(TRIM(Raw_Data!N553))</f>
        <v>App Only</v>
      </c>
      <c r="P562" s="26">
        <f>IF(Raw_Data!O553="",$C$7,Raw_Data!O553)</f>
        <v>107597.04</v>
      </c>
      <c r="Q562" s="25" t="str">
        <f>IF(Raw_Data!O553="","Missing-Imputed","Original")</f>
        <v>Original</v>
      </c>
      <c r="R562" s="26">
        <f>Raw_Data!P553</f>
        <v>12.9</v>
      </c>
      <c r="S562" s="26">
        <f>Raw_Data!Q553</f>
        <v>8023.55</v>
      </c>
      <c r="T562" s="25" t="str">
        <f>IF(Raw_Data!R553="","Unknown",IF(ISNUMBER(SEARCH("ACT",UPPER(Raw_Data!R553))),"Active",IF(ISNUMBER(SEARCH("CLOS",UPPER(Raw_Data!R553))),"Closed","None")))</f>
        <v>Active</v>
      </c>
      <c r="U562" s="26">
        <f>IF(Raw_Data!S553="",$C$8,VALUE(Raw_Data!S553))</f>
        <v>504</v>
      </c>
      <c r="V562" s="25" t="str">
        <f>IF(Raw_Data!S553="","Missing-Imputed","Original")</f>
        <v>Original</v>
      </c>
      <c r="W562" s="26">
        <f>Raw_Data!T553</f>
        <v>165</v>
      </c>
      <c r="X562" s="25" t="str">
        <f>IF(ISNUMBER(SEARCH("Y",UPPER(TRIM(Raw_Data!U553)))),"Yes","No")</f>
        <v>Yes</v>
      </c>
      <c r="Y562" s="25" t="str">
        <f>IF(ISNUMBER(SEARCH("Y",UPPER(TRIM(Raw_Data!V553)))),"Yes","No")</f>
        <v>Yes</v>
      </c>
      <c r="Z562" s="26">
        <f>Raw_Data!W553</f>
        <v>4</v>
      </c>
      <c r="AA562" s="26">
        <f>Raw_Data!X553</f>
        <v>6.8</v>
      </c>
      <c r="AB562" s="25" t="str">
        <f>IF(COUNTIFS(Raw_Data!$A$2:$A$616,Raw_Data!A553)&gt;1,"Duplicate","Unique")</f>
        <v>Unique</v>
      </c>
      <c r="AC562" s="25" t="str">
        <f t="shared" si="26"/>
        <v>Clean</v>
      </c>
    </row>
    <row r="563" spans="1:29" ht="15" customHeight="1">
      <c r="A563" s="23" t="str">
        <f>Raw_Data!A554</f>
        <v>BYJ1553</v>
      </c>
      <c r="B563" s="23" t="str">
        <f>Raw_Data!B554</f>
        <v>Yuvraj Mane</v>
      </c>
      <c r="C563" s="24">
        <f>IF(OR(Raw_Data!C554="",Raw_Data!C554&lt;$C$5,Raw_Data!C554&gt;$C$6),$C$4,Raw_Data!C554)</f>
        <v>32</v>
      </c>
      <c r="D563" s="23" t="str">
        <f>IF(Raw_Data!C554="","Missing-Imputed",IF(OR(Raw_Data!C554&lt;$C$5,Raw_Data!C554&gt;$C$6),"Outlier-Imputed","Original"))</f>
        <v>Original</v>
      </c>
      <c r="E563" s="23" t="str">
        <f>IF(OR(UPPER(TRIM(Raw_Data!D554))="M",UPPER(TRIM(Raw_Data!D554))="MALE"),"Male","Female")</f>
        <v>Female</v>
      </c>
      <c r="F563" s="23" t="str">
        <f>PROPER(TRIM(Raw_Data!E554))</f>
        <v>Barasat</v>
      </c>
      <c r="G563" s="23" t="str">
        <f>PROPER(TRIM(Raw_Data!F554))</f>
        <v>Uttar Pradesh</v>
      </c>
      <c r="H563" s="23" t="str">
        <f>PROPER(TRIM(Raw_Data!G554))</f>
        <v>Spoken English</v>
      </c>
      <c r="I563" s="23" t="str">
        <f>PROPER(TRIM(Raw_Data!H554))</f>
        <v>Pune East</v>
      </c>
      <c r="J563" s="24">
        <f>IF(LEN(TRIM(Raw_Data!I554))=4,VALUE(TRIM(Raw_Data!I554)),IF(ISNUMBER(IFERROR(VALUE(MID(TRIM(Raw_Data!I554),1,4)),"NA")),VALUE(MID(TRIM(Raw_Data!I554),1,4)),VALUE(RIGHT(TRIM(Raw_Data!I554),4))))</f>
        <v>2016</v>
      </c>
      <c r="K563" s="23" t="str">
        <f>PROPER(TRIM(Raw_Data!J554))</f>
        <v>Self-Employed</v>
      </c>
      <c r="L563" s="23" t="str">
        <f t="shared" si="24"/>
        <v>20+</v>
      </c>
      <c r="M563" s="23" t="str">
        <f t="shared" si="25"/>
        <v>Adult Learners</v>
      </c>
      <c r="N563" s="23" t="str">
        <f>IF(ISNUMBER(SEARCH("NON",UPPER(Raw_Data!M554))),"Non-Premium Learner","Premium Learner")</f>
        <v>Non-Premium Learner</v>
      </c>
      <c r="O563" s="23" t="str">
        <f>PROPER(TRIM(Raw_Data!N554))</f>
        <v>Web Only</v>
      </c>
      <c r="P563" s="24">
        <f>IF(Raw_Data!O554="",$C$7,Raw_Data!O554)</f>
        <v>30656.47</v>
      </c>
      <c r="Q563" s="23" t="str">
        <f>IF(Raw_Data!O554="","Missing-Imputed","Original")</f>
        <v>Original</v>
      </c>
      <c r="R563" s="24">
        <f>Raw_Data!P554</f>
        <v>31.3</v>
      </c>
      <c r="S563" s="24">
        <f>Raw_Data!Q554</f>
        <v>27855.69</v>
      </c>
      <c r="T563" s="23" t="str">
        <f>IF(Raw_Data!R554="","Unknown",IF(ISNUMBER(SEARCH("ACT",UPPER(Raw_Data!R554))),"Active",IF(ISNUMBER(SEARCH("CLOS",UPPER(Raw_Data!R554))),"Closed","None")))</f>
        <v>Closed</v>
      </c>
      <c r="U563" s="24">
        <f>IF(Raw_Data!S554="",$C$8,VALUE(Raw_Data!S554))</f>
        <v>671</v>
      </c>
      <c r="V563" s="23" t="str">
        <f>IF(Raw_Data!S554="","Missing-Imputed","Original")</f>
        <v>Original</v>
      </c>
      <c r="W563" s="24">
        <f>Raw_Data!T554</f>
        <v>68</v>
      </c>
      <c r="X563" s="23" t="str">
        <f>IF(ISNUMBER(SEARCH("Y",UPPER(TRIM(Raw_Data!U554)))),"Yes","No")</f>
        <v>No</v>
      </c>
      <c r="Y563" s="23" t="str">
        <f>IF(ISNUMBER(SEARCH("Y",UPPER(TRIM(Raw_Data!V554)))),"Yes","No")</f>
        <v>No</v>
      </c>
      <c r="Z563" s="24">
        <f>Raw_Data!W554</f>
        <v>5</v>
      </c>
      <c r="AA563" s="24">
        <f>Raw_Data!X554</f>
        <v>8.5</v>
      </c>
      <c r="AB563" s="23" t="str">
        <f>IF(COUNTIFS(Raw_Data!$A$2:$A$616,Raw_Data!A554)&gt;1,"Duplicate","Unique")</f>
        <v>Unique</v>
      </c>
      <c r="AC563" s="23" t="str">
        <f t="shared" si="26"/>
        <v>Clean</v>
      </c>
    </row>
    <row r="564" spans="1:29" ht="15" customHeight="1">
      <c r="A564" s="25" t="str">
        <f>Raw_Data!A555</f>
        <v>BYJ1554</v>
      </c>
      <c r="B564" s="25" t="str">
        <f>Raw_Data!B555</f>
        <v>Zarna Upadhyay</v>
      </c>
      <c r="C564" s="26">
        <f>IF(OR(Raw_Data!C555="",Raw_Data!C555&lt;$C$5,Raw_Data!C555&gt;$C$6),$C$4,Raw_Data!C555)</f>
        <v>38</v>
      </c>
      <c r="D564" s="25" t="str">
        <f>IF(Raw_Data!C555="","Missing-Imputed",IF(OR(Raw_Data!C555&lt;$C$5,Raw_Data!C555&gt;$C$6),"Outlier-Imputed","Original"))</f>
        <v>Original</v>
      </c>
      <c r="E564" s="25" t="str">
        <f>IF(OR(UPPER(TRIM(Raw_Data!D555))="M",UPPER(TRIM(Raw_Data!D555))="MALE"),"Male","Female")</f>
        <v>Female</v>
      </c>
      <c r="F564" s="25" t="str">
        <f>PROPER(TRIM(Raw_Data!E555))</f>
        <v>Katni</v>
      </c>
      <c r="G564" s="25" t="str">
        <f>PROPER(TRIM(Raw_Data!F555))</f>
        <v>Uttar Pradesh</v>
      </c>
      <c r="H564" s="25" t="str">
        <f>PROPER(TRIM(Raw_Data!G555))</f>
        <v>English</v>
      </c>
      <c r="I564" s="25" t="str">
        <f>PROPER(TRIM(Raw_Data!H555))</f>
        <v>Bengaluru South</v>
      </c>
      <c r="J564" s="26">
        <f>IF(LEN(TRIM(Raw_Data!I555))=4,VALUE(TRIM(Raw_Data!I555)),IF(ISNUMBER(IFERROR(VALUE(MID(TRIM(Raw_Data!I555),1,4)),"NA")),VALUE(MID(TRIM(Raw_Data!I555),1,4)),VALUE(RIGHT(TRIM(Raw_Data!I555),4))))</f>
        <v>2022</v>
      </c>
      <c r="K564" s="25" t="str">
        <f>PROPER(TRIM(Raw_Data!J555))</f>
        <v>Retired</v>
      </c>
      <c r="L564" s="25" t="str">
        <f t="shared" si="24"/>
        <v>20+</v>
      </c>
      <c r="M564" s="25" t="str">
        <f t="shared" si="25"/>
        <v>Adult Learners</v>
      </c>
      <c r="N564" s="25" t="str">
        <f>IF(ISNUMBER(SEARCH("NON",UPPER(Raw_Data!M555))),"Non-Premium Learner","Premium Learner")</f>
        <v>Non-Premium Learner</v>
      </c>
      <c r="O564" s="25" t="str">
        <f>PROPER(TRIM(Raw_Data!N555))</f>
        <v>Web Only</v>
      </c>
      <c r="P564" s="26">
        <f>IF(Raw_Data!O555="",$C$7,Raw_Data!O555)</f>
        <v>30454.6</v>
      </c>
      <c r="Q564" s="25" t="str">
        <f>IF(Raw_Data!O555="","Missing-Imputed","Original")</f>
        <v>Original</v>
      </c>
      <c r="R564" s="26">
        <f>Raw_Data!P555</f>
        <v>21.1</v>
      </c>
      <c r="S564" s="26">
        <f>Raw_Data!Q555</f>
        <v>26573.9</v>
      </c>
      <c r="T564" s="25" t="str">
        <f>IF(Raw_Data!R555="","Unknown",IF(ISNUMBER(SEARCH("ACT",UPPER(Raw_Data!R555))),"Active",IF(ISNUMBER(SEARCH("CLOS",UPPER(Raw_Data!R555))),"Closed","None")))</f>
        <v>None</v>
      </c>
      <c r="U564" s="26">
        <f>IF(Raw_Data!S555="",$C$8,VALUE(Raw_Data!S555))</f>
        <v>878</v>
      </c>
      <c r="V564" s="25" t="str">
        <f>IF(Raw_Data!S555="","Missing-Imputed","Original")</f>
        <v>Original</v>
      </c>
      <c r="W564" s="26">
        <f>Raw_Data!T555</f>
        <v>47</v>
      </c>
      <c r="X564" s="25" t="str">
        <f>IF(ISNUMBER(SEARCH("Y",UPPER(TRIM(Raw_Data!U555)))),"Yes","No")</f>
        <v>Yes</v>
      </c>
      <c r="Y564" s="25" t="str">
        <f>IF(ISNUMBER(SEARCH("Y",UPPER(TRIM(Raw_Data!V555)))),"Yes","No")</f>
        <v>Yes</v>
      </c>
      <c r="Z564" s="26">
        <f>Raw_Data!W555</f>
        <v>2</v>
      </c>
      <c r="AA564" s="26">
        <f>Raw_Data!X555</f>
        <v>5.4</v>
      </c>
      <c r="AB564" s="25" t="str">
        <f>IF(COUNTIFS(Raw_Data!$A$2:$A$616,Raw_Data!A555)&gt;1,"Duplicate","Unique")</f>
        <v>Duplicate</v>
      </c>
      <c r="AC564" s="25" t="str">
        <f t="shared" si="26"/>
        <v>Review-Duplicate</v>
      </c>
    </row>
    <row r="565" spans="1:29" ht="15" customHeight="1">
      <c r="A565" s="23" t="str">
        <f>Raw_Data!A556</f>
        <v>BYJ1555</v>
      </c>
      <c r="B565" s="23" t="str">
        <f>Raw_Data!B556</f>
        <v>Chatura Khatri</v>
      </c>
      <c r="C565" s="24">
        <f>IF(OR(Raw_Data!C556="",Raw_Data!C556&lt;$C$5,Raw_Data!C556&gt;$C$6),$C$4,Raw_Data!C556)</f>
        <v>32</v>
      </c>
      <c r="D565" s="23" t="str">
        <f>IF(Raw_Data!C556="","Missing-Imputed",IF(OR(Raw_Data!C556&lt;$C$5,Raw_Data!C556&gt;$C$6),"Outlier-Imputed","Original"))</f>
        <v>Original</v>
      </c>
      <c r="E565" s="23" t="str">
        <f>IF(OR(UPPER(TRIM(Raw_Data!D556))="M",UPPER(TRIM(Raw_Data!D556))="MALE"),"Male","Female")</f>
        <v>Male</v>
      </c>
      <c r="F565" s="23" t="str">
        <f>PROPER(TRIM(Raw_Data!E556))</f>
        <v>Kharagpur</v>
      </c>
      <c r="G565" s="23" t="str">
        <f>PROPER(TRIM(Raw_Data!F556))</f>
        <v>Gujarat</v>
      </c>
      <c r="H565" s="23" t="str">
        <f>PROPER(TRIM(Raw_Data!G556))</f>
        <v>Mathematics</v>
      </c>
      <c r="I565" s="23" t="str">
        <f>PROPER(TRIM(Raw_Data!H556))</f>
        <v>Hyderabad Hub</v>
      </c>
      <c r="J565" s="24">
        <f>IF(LEN(TRIM(Raw_Data!I556))=4,VALUE(TRIM(Raw_Data!I556)),IF(ISNUMBER(IFERROR(VALUE(MID(TRIM(Raw_Data!I556),1,4)),"NA")),VALUE(MID(TRIM(Raw_Data!I556),1,4)),VALUE(RIGHT(TRIM(Raw_Data!I556),4))))</f>
        <v>2019</v>
      </c>
      <c r="K565" s="23" t="str">
        <f>PROPER(TRIM(Raw_Data!J556))</f>
        <v>Business</v>
      </c>
      <c r="L565" s="23" t="str">
        <f t="shared" si="24"/>
        <v>20+</v>
      </c>
      <c r="M565" s="23" t="str">
        <f t="shared" si="25"/>
        <v>Adult Learners</v>
      </c>
      <c r="N565" s="23" t="str">
        <f>IF(ISNUMBER(SEARCH("NON",UPPER(Raw_Data!M556))),"Non-Premium Learner","Premium Learner")</f>
        <v>Non-Premium Learner</v>
      </c>
      <c r="O565" s="23" t="str">
        <f>PROPER(TRIM(Raw_Data!N556))</f>
        <v>Web Only</v>
      </c>
      <c r="P565" s="24">
        <f>IF(Raw_Data!O556="",$C$7,Raw_Data!O556)</f>
        <v>106858.19</v>
      </c>
      <c r="Q565" s="23" t="str">
        <f>IF(Raw_Data!O556="","Missing-Imputed","Original")</f>
        <v>Original</v>
      </c>
      <c r="R565" s="24">
        <f>Raw_Data!P556</f>
        <v>48.3</v>
      </c>
      <c r="S565" s="24">
        <f>Raw_Data!Q556</f>
        <v>53671.3</v>
      </c>
      <c r="T565" s="23" t="str">
        <f>IF(Raw_Data!R556="","Unknown",IF(ISNUMBER(SEARCH("ACT",UPPER(Raw_Data!R556))),"Active",IF(ISNUMBER(SEARCH("CLOS",UPPER(Raw_Data!R556))),"Closed","None")))</f>
        <v>Active</v>
      </c>
      <c r="U565" s="24">
        <f>IF(Raw_Data!S556="",$C$8,VALUE(Raw_Data!S556))</f>
        <v>869</v>
      </c>
      <c r="V565" s="23" t="str">
        <f>IF(Raw_Data!S556="","Missing-Imputed","Original")</f>
        <v>Original</v>
      </c>
      <c r="W565" s="24">
        <f>Raw_Data!T556</f>
        <v>68</v>
      </c>
      <c r="X565" s="23" t="str">
        <f>IF(ISNUMBER(SEARCH("Y",UPPER(TRIM(Raw_Data!U556)))),"Yes","No")</f>
        <v>No</v>
      </c>
      <c r="Y565" s="23" t="str">
        <f>IF(ISNUMBER(SEARCH("Y",UPPER(TRIM(Raw_Data!V556)))),"Yes","No")</f>
        <v>No</v>
      </c>
      <c r="Z565" s="24">
        <f>Raw_Data!W556</f>
        <v>4</v>
      </c>
      <c r="AA565" s="24">
        <f>Raw_Data!X556</f>
        <v>2.4</v>
      </c>
      <c r="AB565" s="23" t="str">
        <f>IF(COUNTIFS(Raw_Data!$A$2:$A$616,Raw_Data!A556)&gt;1,"Duplicate","Unique")</f>
        <v>Unique</v>
      </c>
      <c r="AC565" s="23" t="str">
        <f t="shared" si="26"/>
        <v>Clean</v>
      </c>
    </row>
    <row r="566" spans="1:29" ht="15" customHeight="1">
      <c r="A566" s="25" t="str">
        <f>Raw_Data!A557</f>
        <v>BYJ1556</v>
      </c>
      <c r="B566" s="25" t="str">
        <f>Raw_Data!B557</f>
        <v>Wridesh Tata</v>
      </c>
      <c r="C566" s="26">
        <f>IF(OR(Raw_Data!C557="",Raw_Data!C557&lt;$C$5,Raw_Data!C557&gt;$C$6),$C$4,Raw_Data!C557)</f>
        <v>7</v>
      </c>
      <c r="D566" s="25" t="str">
        <f>IF(Raw_Data!C557="","Missing-Imputed",IF(OR(Raw_Data!C557&lt;$C$5,Raw_Data!C557&gt;$C$6),"Outlier-Imputed","Original"))</f>
        <v>Original</v>
      </c>
      <c r="E566" s="25" t="str">
        <f>IF(OR(UPPER(TRIM(Raw_Data!D557))="M",UPPER(TRIM(Raw_Data!D557))="MALE"),"Male","Female")</f>
        <v>Female</v>
      </c>
      <c r="F566" s="25" t="str">
        <f>PROPER(TRIM(Raw_Data!E557))</f>
        <v>Dehri</v>
      </c>
      <c r="G566" s="25" t="str">
        <f>PROPER(TRIM(Raw_Data!F557))</f>
        <v>Kerala</v>
      </c>
      <c r="H566" s="25" t="str">
        <f>PROPER(TRIM(Raw_Data!G557))</f>
        <v>Spoken English</v>
      </c>
      <c r="I566" s="25" t="str">
        <f>PROPER(TRIM(Raw_Data!H557))</f>
        <v>Lucknow Hub</v>
      </c>
      <c r="J566" s="26">
        <f>IF(LEN(TRIM(Raw_Data!I557))=4,VALUE(TRIM(Raw_Data!I557)),IF(ISNUMBER(IFERROR(VALUE(MID(TRIM(Raw_Data!I557),1,4)),"NA")),VALUE(MID(TRIM(Raw_Data!I557),1,4)),VALUE(RIGHT(TRIM(Raw_Data!I557),4))))</f>
        <v>2017</v>
      </c>
      <c r="K566" s="25" t="str">
        <f>PROPER(TRIM(Raw_Data!J557))</f>
        <v>Salaried</v>
      </c>
      <c r="L566" s="25" t="str">
        <f t="shared" si="24"/>
        <v>Under 10</v>
      </c>
      <c r="M566" s="25" t="str">
        <f t="shared" si="25"/>
        <v>Kids</v>
      </c>
      <c r="N566" s="25" t="str">
        <f>IF(ISNUMBER(SEARCH("NON",UPPER(Raw_Data!M557))),"Non-Premium Learner","Premium Learner")</f>
        <v>Premium Learner</v>
      </c>
      <c r="O566" s="25" t="str">
        <f>PROPER(TRIM(Raw_Data!N557))</f>
        <v>App Only</v>
      </c>
      <c r="P566" s="26">
        <f>IF(Raw_Data!O557="",$C$7,Raw_Data!O557)</f>
        <v>28502.99</v>
      </c>
      <c r="Q566" s="25" t="str">
        <f>IF(Raw_Data!O557="","Missing-Imputed","Original")</f>
        <v>Original</v>
      </c>
      <c r="R566" s="26">
        <f>Raw_Data!P557</f>
        <v>55</v>
      </c>
      <c r="S566" s="26">
        <f>Raw_Data!Q557</f>
        <v>35753.75</v>
      </c>
      <c r="T566" s="25" t="str">
        <f>IF(Raw_Data!R557="","Unknown",IF(ISNUMBER(SEARCH("ACT",UPPER(Raw_Data!R557))),"Active",IF(ISNUMBER(SEARCH("CLOS",UPPER(Raw_Data!R557))),"Closed","None")))</f>
        <v>None</v>
      </c>
      <c r="U566" s="26">
        <f>IF(Raw_Data!S557="",$C$8,VALUE(Raw_Data!S557))</f>
        <v>415</v>
      </c>
      <c r="V566" s="25" t="str">
        <f>IF(Raw_Data!S557="","Missing-Imputed","Original")</f>
        <v>Original</v>
      </c>
      <c r="W566" s="26">
        <f>Raw_Data!T557</f>
        <v>181</v>
      </c>
      <c r="X566" s="25" t="str">
        <f>IF(ISNUMBER(SEARCH("Y",UPPER(TRIM(Raw_Data!U557)))),"Yes","No")</f>
        <v>No</v>
      </c>
      <c r="Y566" s="25" t="str">
        <f>IF(ISNUMBER(SEARCH("Y",UPPER(TRIM(Raw_Data!V557)))),"Yes","No")</f>
        <v>Yes</v>
      </c>
      <c r="Z566" s="26">
        <f>Raw_Data!W557</f>
        <v>2</v>
      </c>
      <c r="AA566" s="26">
        <f>Raw_Data!X557</f>
        <v>0.7</v>
      </c>
      <c r="AB566" s="25" t="str">
        <f>IF(COUNTIFS(Raw_Data!$A$2:$A$616,Raw_Data!A557)&gt;1,"Duplicate","Unique")</f>
        <v>Unique</v>
      </c>
      <c r="AC566" s="25" t="str">
        <f t="shared" si="26"/>
        <v>Clean</v>
      </c>
    </row>
    <row r="567" spans="1:29" ht="15" customHeight="1">
      <c r="A567" s="23" t="str">
        <f>Raw_Data!A558</f>
        <v>BYJ1557</v>
      </c>
      <c r="B567" s="23" t="str">
        <f>Raw_Data!B558</f>
        <v>Jalsa Nadig</v>
      </c>
      <c r="C567" s="24">
        <f>IF(OR(Raw_Data!C558="",Raw_Data!C558&lt;$C$5,Raw_Data!C558&gt;$C$6),$C$4,Raw_Data!C558)</f>
        <v>14</v>
      </c>
      <c r="D567" s="23" t="str">
        <f>IF(Raw_Data!C558="","Missing-Imputed",IF(OR(Raw_Data!C558&lt;$C$5,Raw_Data!C558&gt;$C$6),"Outlier-Imputed","Original"))</f>
        <v>Original</v>
      </c>
      <c r="E567" s="23" t="str">
        <f>IF(OR(UPPER(TRIM(Raw_Data!D558))="M",UPPER(TRIM(Raw_Data!D558))="MALE"),"Male","Female")</f>
        <v>Female</v>
      </c>
      <c r="F567" s="23" t="str">
        <f>PROPER(TRIM(Raw_Data!E558))</f>
        <v>Munger</v>
      </c>
      <c r="G567" s="23" t="str">
        <f>PROPER(TRIM(Raw_Data!F558))</f>
        <v>Tamil Nadu</v>
      </c>
      <c r="H567" s="23" t="str">
        <f>PROPER(TRIM(Raw_Data!G558))</f>
        <v>English</v>
      </c>
      <c r="I567" s="23" t="str">
        <f>PROPER(TRIM(Raw_Data!H558))</f>
        <v>Mumbai West</v>
      </c>
      <c r="J567" s="24">
        <f>IF(LEN(TRIM(Raw_Data!I558))=4,VALUE(TRIM(Raw_Data!I558)),IF(ISNUMBER(IFERROR(VALUE(MID(TRIM(Raw_Data!I558),1,4)),"NA")),VALUE(MID(TRIM(Raw_Data!I558),1,4)),VALUE(RIGHT(TRIM(Raw_Data!I558),4))))</f>
        <v>2016</v>
      </c>
      <c r="K567" s="23" t="str">
        <f>PROPER(TRIM(Raw_Data!J558))</f>
        <v>Government Employee</v>
      </c>
      <c r="L567" s="23" t="str">
        <f t="shared" si="24"/>
        <v>14-16</v>
      </c>
      <c r="M567" s="23" t="str">
        <f t="shared" si="25"/>
        <v>Teens</v>
      </c>
      <c r="N567" s="23" t="str">
        <f>IF(ISNUMBER(SEARCH("NON",UPPER(Raw_Data!M558))),"Non-Premium Learner","Premium Learner")</f>
        <v>Non-Premium Learner</v>
      </c>
      <c r="O567" s="23" t="str">
        <f>PROPER(TRIM(Raw_Data!N558))</f>
        <v>Web Only</v>
      </c>
      <c r="P567" s="24">
        <f>IF(Raw_Data!O558="",$C$7,Raw_Data!O558)</f>
        <v>80200.479999999996</v>
      </c>
      <c r="Q567" s="23" t="str">
        <f>IF(Raw_Data!O558="","Missing-Imputed","Original")</f>
        <v>Original</v>
      </c>
      <c r="R567" s="24">
        <f>Raw_Data!P558</f>
        <v>47.7</v>
      </c>
      <c r="S567" s="24">
        <f>Raw_Data!Q558</f>
        <v>20958.78</v>
      </c>
      <c r="T567" s="23" t="str">
        <f>IF(Raw_Data!R558="","Unknown",IF(ISNUMBER(SEARCH("ACT",UPPER(Raw_Data!R558))),"Active",IF(ISNUMBER(SEARCH("CLOS",UPPER(Raw_Data!R558))),"Closed","None")))</f>
        <v>Active</v>
      </c>
      <c r="U567" s="24">
        <f>IF(Raw_Data!S558="",$C$8,VALUE(Raw_Data!S558))</f>
        <v>826</v>
      </c>
      <c r="V567" s="23" t="str">
        <f>IF(Raw_Data!S558="","Missing-Imputed","Original")</f>
        <v>Original</v>
      </c>
      <c r="W567" s="24">
        <f>Raw_Data!T558</f>
        <v>60</v>
      </c>
      <c r="X567" s="23" t="str">
        <f>IF(ISNUMBER(SEARCH("Y",UPPER(TRIM(Raw_Data!U558)))),"Yes","No")</f>
        <v>No</v>
      </c>
      <c r="Y567" s="23" t="str">
        <f>IF(ISNUMBER(SEARCH("Y",UPPER(TRIM(Raw_Data!V558)))),"Yes","No")</f>
        <v>Yes</v>
      </c>
      <c r="Z567" s="24">
        <f>Raw_Data!W558</f>
        <v>1</v>
      </c>
      <c r="AA567" s="24">
        <f>Raw_Data!X558</f>
        <v>2.9</v>
      </c>
      <c r="AB567" s="23" t="str">
        <f>IF(COUNTIFS(Raw_Data!$A$2:$A$616,Raw_Data!A558)&gt;1,"Duplicate","Unique")</f>
        <v>Unique</v>
      </c>
      <c r="AC567" s="23" t="str">
        <f t="shared" si="26"/>
        <v>Clean</v>
      </c>
    </row>
    <row r="568" spans="1:29" ht="15" customHeight="1">
      <c r="A568" s="25" t="str">
        <f>Raw_Data!A559</f>
        <v>BYJ1558</v>
      </c>
      <c r="B568" s="25" t="str">
        <f>Raw_Data!B559</f>
        <v>Jasmit Gera</v>
      </c>
      <c r="C568" s="26">
        <f>IF(OR(Raw_Data!C559="",Raw_Data!C559&lt;$C$5,Raw_Data!C559&gt;$C$6),$C$4,Raw_Data!C559)</f>
        <v>11</v>
      </c>
      <c r="D568" s="25" t="str">
        <f>IF(Raw_Data!C559="","Missing-Imputed",IF(OR(Raw_Data!C559&lt;$C$5,Raw_Data!C559&gt;$C$6),"Outlier-Imputed","Original"))</f>
        <v>Original</v>
      </c>
      <c r="E568" s="25" t="str">
        <f>IF(OR(UPPER(TRIM(Raw_Data!D559))="M",UPPER(TRIM(Raw_Data!D559))="MALE"),"Male","Female")</f>
        <v>Female</v>
      </c>
      <c r="F568" s="25" t="str">
        <f>PROPER(TRIM(Raw_Data!E559))</f>
        <v>Srinagar</v>
      </c>
      <c r="G568" s="25" t="str">
        <f>PROPER(TRIM(Raw_Data!F559))</f>
        <v>Gujarat</v>
      </c>
      <c r="H568" s="25" t="str">
        <f>PROPER(TRIM(Raw_Data!G559))</f>
        <v>Science</v>
      </c>
      <c r="I568" s="25" t="str">
        <f>PROPER(TRIM(Raw_Data!H559))</f>
        <v>Delhi North</v>
      </c>
      <c r="J568" s="26">
        <f>IF(LEN(TRIM(Raw_Data!I559))=4,VALUE(TRIM(Raw_Data!I559)),IF(ISNUMBER(IFERROR(VALUE(MID(TRIM(Raw_Data!I559),1,4)),"NA")),VALUE(MID(TRIM(Raw_Data!I559),1,4)),VALUE(RIGHT(TRIM(Raw_Data!I559),4))))</f>
        <v>2025</v>
      </c>
      <c r="K568" s="25" t="str">
        <f>PROPER(TRIM(Raw_Data!J559))</f>
        <v>Retired</v>
      </c>
      <c r="L568" s="25" t="str">
        <f t="shared" si="24"/>
        <v>10-13</v>
      </c>
      <c r="M568" s="25" t="str">
        <f t="shared" si="25"/>
        <v>Kids</v>
      </c>
      <c r="N568" s="25" t="str">
        <f>IF(ISNUMBER(SEARCH("NON",UPPER(Raw_Data!M559))),"Non-Premium Learner","Premium Learner")</f>
        <v>Non-Premium Learner</v>
      </c>
      <c r="O568" s="25" t="str">
        <f>PROPER(TRIM(Raw_Data!N559))</f>
        <v>Both App &amp; Web</v>
      </c>
      <c r="P568" s="26">
        <f>IF(Raw_Data!O559="",$C$7,Raw_Data!O559)</f>
        <v>141564.99</v>
      </c>
      <c r="Q568" s="25" t="str">
        <f>IF(Raw_Data!O559="","Missing-Imputed","Original")</f>
        <v>Original</v>
      </c>
      <c r="R568" s="26">
        <f>Raw_Data!P559</f>
        <v>54.8</v>
      </c>
      <c r="S568" s="26">
        <f>Raw_Data!Q559</f>
        <v>5548.5</v>
      </c>
      <c r="T568" s="25" t="str">
        <f>IF(Raw_Data!R559="","Unknown",IF(ISNUMBER(SEARCH("ACT",UPPER(Raw_Data!R559))),"Active",IF(ISNUMBER(SEARCH("CLOS",UPPER(Raw_Data!R559))),"Closed","None")))</f>
        <v>Active</v>
      </c>
      <c r="U568" s="26">
        <f>IF(Raw_Data!S559="",$C$8,VALUE(Raw_Data!S559))</f>
        <v>583</v>
      </c>
      <c r="V568" s="25" t="str">
        <f>IF(Raw_Data!S559="","Missing-Imputed","Original")</f>
        <v>Original</v>
      </c>
      <c r="W568" s="26">
        <f>Raw_Data!T559</f>
        <v>188</v>
      </c>
      <c r="X568" s="25" t="str">
        <f>IF(ISNUMBER(SEARCH("Y",UPPER(TRIM(Raw_Data!U559)))),"Yes","No")</f>
        <v>Yes</v>
      </c>
      <c r="Y568" s="25" t="str">
        <f>IF(ISNUMBER(SEARCH("Y",UPPER(TRIM(Raw_Data!V559)))),"Yes","No")</f>
        <v>Yes</v>
      </c>
      <c r="Z568" s="26">
        <f>Raw_Data!W559</f>
        <v>5</v>
      </c>
      <c r="AA568" s="26">
        <f>Raw_Data!X559</f>
        <v>4</v>
      </c>
      <c r="AB568" s="25" t="str">
        <f>IF(COUNTIFS(Raw_Data!$A$2:$A$616,Raw_Data!A559)&gt;1,"Duplicate","Unique")</f>
        <v>Unique</v>
      </c>
      <c r="AC568" s="25" t="str">
        <f t="shared" si="26"/>
        <v>Clean</v>
      </c>
    </row>
    <row r="569" spans="1:29" ht="15" customHeight="1">
      <c r="A569" s="23" t="str">
        <f>Raw_Data!A560</f>
        <v>BYJ1559</v>
      </c>
      <c r="B569" s="23" t="str">
        <f>Raw_Data!B560</f>
        <v>Ekansh Atwal</v>
      </c>
      <c r="C569" s="24">
        <f>IF(OR(Raw_Data!C560="",Raw_Data!C560&lt;$C$5,Raw_Data!C560&gt;$C$6),$C$4,Raw_Data!C560)</f>
        <v>43</v>
      </c>
      <c r="D569" s="23" t="str">
        <f>IF(Raw_Data!C560="","Missing-Imputed",IF(OR(Raw_Data!C560&lt;$C$5,Raw_Data!C560&gt;$C$6),"Outlier-Imputed","Original"))</f>
        <v>Original</v>
      </c>
      <c r="E569" s="23" t="str">
        <f>IF(OR(UPPER(TRIM(Raw_Data!D560))="M",UPPER(TRIM(Raw_Data!D560))="MALE"),"Male","Female")</f>
        <v>Female</v>
      </c>
      <c r="F569" s="23" t="str">
        <f>PROPER(TRIM(Raw_Data!E560))</f>
        <v>Thrissur</v>
      </c>
      <c r="G569" s="23" t="str">
        <f>PROPER(TRIM(Raw_Data!F560))</f>
        <v>Karnataka</v>
      </c>
      <c r="H569" s="23" t="str">
        <f>PROPER(TRIM(Raw_Data!G560))</f>
        <v>Science</v>
      </c>
      <c r="I569" s="23" t="str">
        <f>PROPER(TRIM(Raw_Data!H560))</f>
        <v>Kolkata Main</v>
      </c>
      <c r="J569" s="24">
        <f>IF(LEN(TRIM(Raw_Data!I560))=4,VALUE(TRIM(Raw_Data!I560)),IF(ISNUMBER(IFERROR(VALUE(MID(TRIM(Raw_Data!I560),1,4)),"NA")),VALUE(MID(TRIM(Raw_Data!I560),1,4)),VALUE(RIGHT(TRIM(Raw_Data!I560),4))))</f>
        <v>2016</v>
      </c>
      <c r="K569" s="23" t="str">
        <f>PROPER(TRIM(Raw_Data!J560))</f>
        <v>Salaried</v>
      </c>
      <c r="L569" s="23" t="str">
        <f t="shared" si="24"/>
        <v>20+</v>
      </c>
      <c r="M569" s="23" t="str">
        <f t="shared" si="25"/>
        <v>Adult Learners</v>
      </c>
      <c r="N569" s="23" t="str">
        <f>IF(ISNUMBER(SEARCH("NON",UPPER(Raw_Data!M560))),"Non-Premium Learner","Premium Learner")</f>
        <v>Premium Learner</v>
      </c>
      <c r="O569" s="23" t="str">
        <f>PROPER(TRIM(Raw_Data!N560))</f>
        <v>Both App &amp; Web</v>
      </c>
      <c r="P569" s="24">
        <f>IF(Raw_Data!O560="",$C$7,Raw_Data!O560)</f>
        <v>138978.19</v>
      </c>
      <c r="Q569" s="23" t="str">
        <f>IF(Raw_Data!O560="","Missing-Imputed","Original")</f>
        <v>Original</v>
      </c>
      <c r="R569" s="24">
        <f>Raw_Data!P560</f>
        <v>35.799999999999997</v>
      </c>
      <c r="S569" s="24">
        <f>Raw_Data!Q560</f>
        <v>45159.59</v>
      </c>
      <c r="T569" s="23" t="str">
        <f>IF(Raw_Data!R560="","Unknown",IF(ISNUMBER(SEARCH("ACT",UPPER(Raw_Data!R560))),"Active",IF(ISNUMBER(SEARCH("CLOS",UPPER(Raw_Data!R560))),"Closed","None")))</f>
        <v>Active</v>
      </c>
      <c r="U569" s="24">
        <f>IF(Raw_Data!S560="",$C$8,VALUE(Raw_Data!S560))</f>
        <v>417</v>
      </c>
      <c r="V569" s="23" t="str">
        <f>IF(Raw_Data!S560="","Missing-Imputed","Original")</f>
        <v>Original</v>
      </c>
      <c r="W569" s="24">
        <f>Raw_Data!T560</f>
        <v>190</v>
      </c>
      <c r="X569" s="23" t="str">
        <f>IF(ISNUMBER(SEARCH("Y",UPPER(TRIM(Raw_Data!U560)))),"Yes","No")</f>
        <v>Yes</v>
      </c>
      <c r="Y569" s="23" t="str">
        <f>IF(ISNUMBER(SEARCH("Y",UPPER(TRIM(Raw_Data!V560)))),"Yes","No")</f>
        <v>Yes</v>
      </c>
      <c r="Z569" s="24">
        <f>Raw_Data!W560</f>
        <v>4</v>
      </c>
      <c r="AA569" s="24">
        <f>Raw_Data!X560</f>
        <v>1.4</v>
      </c>
      <c r="AB569" s="23" t="str">
        <f>IF(COUNTIFS(Raw_Data!$A$2:$A$616,Raw_Data!A560)&gt;1,"Duplicate","Unique")</f>
        <v>Unique</v>
      </c>
      <c r="AC569" s="23" t="str">
        <f t="shared" si="26"/>
        <v>Clean</v>
      </c>
    </row>
    <row r="570" spans="1:29" ht="15" customHeight="1">
      <c r="A570" s="25" t="str">
        <f>Raw_Data!A561</f>
        <v>BYJ1560</v>
      </c>
      <c r="B570" s="25" t="str">
        <f>Raw_Data!B561</f>
        <v>Darpan Rao</v>
      </c>
      <c r="C570" s="26">
        <f>IF(OR(Raw_Data!C561="",Raw_Data!C561&lt;$C$5,Raw_Data!C561&gt;$C$6),$C$4,Raw_Data!C561)</f>
        <v>24</v>
      </c>
      <c r="D570" s="25" t="str">
        <f>IF(Raw_Data!C561="","Missing-Imputed",IF(OR(Raw_Data!C561&lt;$C$5,Raw_Data!C561&gt;$C$6),"Outlier-Imputed","Original"))</f>
        <v>Outlier-Imputed</v>
      </c>
      <c r="E570" s="25" t="str">
        <f>IF(OR(UPPER(TRIM(Raw_Data!D561))="M",UPPER(TRIM(Raw_Data!D561))="MALE"),"Male","Female")</f>
        <v>Female</v>
      </c>
      <c r="F570" s="25" t="str">
        <f>PROPER(TRIM(Raw_Data!E561))</f>
        <v>Orai</v>
      </c>
      <c r="G570" s="25" t="str">
        <f>PROPER(TRIM(Raw_Data!F561))</f>
        <v>Uttar Pradesh</v>
      </c>
      <c r="H570" s="25" t="str">
        <f>PROPER(TRIM(Raw_Data!G561))</f>
        <v>Spoken English</v>
      </c>
      <c r="I570" s="25" t="str">
        <f>PROPER(TRIM(Raw_Data!H561))</f>
        <v>Delhi North</v>
      </c>
      <c r="J570" s="26">
        <f>IF(LEN(TRIM(Raw_Data!I561))=4,VALUE(TRIM(Raw_Data!I561)),IF(ISNUMBER(IFERROR(VALUE(MID(TRIM(Raw_Data!I561),1,4)),"NA")),VALUE(MID(TRIM(Raw_Data!I561),1,4)),VALUE(RIGHT(TRIM(Raw_Data!I561),4))))</f>
        <v>2019</v>
      </c>
      <c r="K570" s="25" t="str">
        <f>PROPER(TRIM(Raw_Data!J561))</f>
        <v>Salaried</v>
      </c>
      <c r="L570" s="25" t="str">
        <f t="shared" si="24"/>
        <v>20+</v>
      </c>
      <c r="M570" s="25" t="str">
        <f t="shared" si="25"/>
        <v>Adult Learners</v>
      </c>
      <c r="N570" s="25" t="str">
        <f>IF(ISNUMBER(SEARCH("NON",UPPER(Raw_Data!M561))),"Non-Premium Learner","Premium Learner")</f>
        <v>Premium Learner</v>
      </c>
      <c r="O570" s="25" t="str">
        <f>PROPER(TRIM(Raw_Data!N561))</f>
        <v>Web Only</v>
      </c>
      <c r="P570" s="26">
        <f>IF(Raw_Data!O561="",$C$7,Raw_Data!O561)</f>
        <v>53910.41</v>
      </c>
      <c r="Q570" s="25" t="str">
        <f>IF(Raw_Data!O561="","Missing-Imputed","Original")</f>
        <v>Original</v>
      </c>
      <c r="R570" s="26">
        <f>Raw_Data!P561</f>
        <v>54.5</v>
      </c>
      <c r="S570" s="26">
        <f>Raw_Data!Q561</f>
        <v>27320.6</v>
      </c>
      <c r="T570" s="25" t="str">
        <f>IF(Raw_Data!R561="","Unknown",IF(ISNUMBER(SEARCH("ACT",UPPER(Raw_Data!R561))),"Active",IF(ISNUMBER(SEARCH("CLOS",UPPER(Raw_Data!R561))),"Closed","None")))</f>
        <v>None</v>
      </c>
      <c r="U570" s="26">
        <f>IF(Raw_Data!S561="",$C$8,VALUE(Raw_Data!S561))</f>
        <v>833</v>
      </c>
      <c r="V570" s="25" t="str">
        <f>IF(Raw_Data!S561="","Missing-Imputed","Original")</f>
        <v>Original</v>
      </c>
      <c r="W570" s="26">
        <f>Raw_Data!T561</f>
        <v>195</v>
      </c>
      <c r="X570" s="25" t="str">
        <f>IF(ISNUMBER(SEARCH("Y",UPPER(TRIM(Raw_Data!U561)))),"Yes","No")</f>
        <v>No</v>
      </c>
      <c r="Y570" s="25" t="str">
        <f>IF(ISNUMBER(SEARCH("Y",UPPER(TRIM(Raw_Data!V561)))),"Yes","No")</f>
        <v>Yes</v>
      </c>
      <c r="Z570" s="26">
        <f>Raw_Data!W561</f>
        <v>3</v>
      </c>
      <c r="AA570" s="26">
        <f>Raw_Data!X561</f>
        <v>0.7</v>
      </c>
      <c r="AB570" s="25" t="str">
        <f>IF(COUNTIFS(Raw_Data!$A$2:$A$616,Raw_Data!A561)&gt;1,"Duplicate","Unique")</f>
        <v>Unique</v>
      </c>
      <c r="AC570" s="25" t="str">
        <f t="shared" si="26"/>
        <v>Imputed</v>
      </c>
    </row>
    <row r="571" spans="1:29" ht="15" customHeight="1">
      <c r="A571" s="23" t="str">
        <f>Raw_Data!A562</f>
        <v>BYJ1561</v>
      </c>
      <c r="B571" s="23" t="str">
        <f>Raw_Data!B562</f>
        <v>Pallavi Ratti</v>
      </c>
      <c r="C571" s="24">
        <f>IF(OR(Raw_Data!C562="",Raw_Data!C562&lt;$C$5,Raw_Data!C562&gt;$C$6),$C$4,Raw_Data!C562)</f>
        <v>39</v>
      </c>
      <c r="D571" s="23" t="str">
        <f>IF(Raw_Data!C562="","Missing-Imputed",IF(OR(Raw_Data!C562&lt;$C$5,Raw_Data!C562&gt;$C$6),"Outlier-Imputed","Original"))</f>
        <v>Original</v>
      </c>
      <c r="E571" s="23" t="str">
        <f>IF(OR(UPPER(TRIM(Raw_Data!D562))="M",UPPER(TRIM(Raw_Data!D562))="MALE"),"Male","Female")</f>
        <v>Male</v>
      </c>
      <c r="F571" s="23" t="str">
        <f>PROPER(TRIM(Raw_Data!E562))</f>
        <v>Jorhat</v>
      </c>
      <c r="G571" s="23" t="str">
        <f>PROPER(TRIM(Raw_Data!F562))</f>
        <v>Kerala</v>
      </c>
      <c r="H571" s="23" t="str">
        <f>PROPER(TRIM(Raw_Data!G562))</f>
        <v>Neet Prep</v>
      </c>
      <c r="I571" s="23" t="str">
        <f>PROPER(TRIM(Raw_Data!H562))</f>
        <v>Mumbai West</v>
      </c>
      <c r="J571" s="24">
        <f>IF(LEN(TRIM(Raw_Data!I562))=4,VALUE(TRIM(Raw_Data!I562)),IF(ISNUMBER(IFERROR(VALUE(MID(TRIM(Raw_Data!I562),1,4)),"NA")),VALUE(MID(TRIM(Raw_Data!I562),1,4)),VALUE(RIGHT(TRIM(Raw_Data!I562),4))))</f>
        <v>2018</v>
      </c>
      <c r="K571" s="23" t="str">
        <f>PROPER(TRIM(Raw_Data!J562))</f>
        <v>Business</v>
      </c>
      <c r="L571" s="23" t="str">
        <f t="shared" si="24"/>
        <v>20+</v>
      </c>
      <c r="M571" s="23" t="str">
        <f t="shared" si="25"/>
        <v>Adult Learners</v>
      </c>
      <c r="N571" s="23" t="str">
        <f>IF(ISNUMBER(SEARCH("NON",UPPER(Raw_Data!M562))),"Non-Premium Learner","Premium Learner")</f>
        <v>Premium Learner</v>
      </c>
      <c r="O571" s="23" t="str">
        <f>PROPER(TRIM(Raw_Data!N562))</f>
        <v>App Only</v>
      </c>
      <c r="P571" s="24">
        <f>IF(Raw_Data!O562="",$C$7,Raw_Data!O562)</f>
        <v>106590.73</v>
      </c>
      <c r="Q571" s="23" t="str">
        <f>IF(Raw_Data!O562="","Missing-Imputed","Original")</f>
        <v>Original</v>
      </c>
      <c r="R571" s="24">
        <f>Raw_Data!P562</f>
        <v>77.599999999999994</v>
      </c>
      <c r="S571" s="24">
        <f>Raw_Data!Q562</f>
        <v>43294.45</v>
      </c>
      <c r="T571" s="23" t="str">
        <f>IF(Raw_Data!R562="","Unknown",IF(ISNUMBER(SEARCH("ACT",UPPER(Raw_Data!R562))),"Active",IF(ISNUMBER(SEARCH("CLOS",UPPER(Raw_Data!R562))),"Closed","None")))</f>
        <v>Active</v>
      </c>
      <c r="U571" s="24">
        <f>IF(Raw_Data!S562="",$C$8,VALUE(Raw_Data!S562))</f>
        <v>519</v>
      </c>
      <c r="V571" s="23" t="str">
        <f>IF(Raw_Data!S562="","Missing-Imputed","Original")</f>
        <v>Original</v>
      </c>
      <c r="W571" s="24">
        <f>Raw_Data!T562</f>
        <v>145</v>
      </c>
      <c r="X571" s="23" t="str">
        <f>IF(ISNUMBER(SEARCH("Y",UPPER(TRIM(Raw_Data!U562)))),"Yes","No")</f>
        <v>No</v>
      </c>
      <c r="Y571" s="23" t="str">
        <f>IF(ISNUMBER(SEARCH("Y",UPPER(TRIM(Raw_Data!V562)))),"Yes","No")</f>
        <v>No</v>
      </c>
      <c r="Z571" s="24">
        <f>Raw_Data!W562</f>
        <v>1</v>
      </c>
      <c r="AA571" s="24">
        <f>Raw_Data!X562</f>
        <v>2.4</v>
      </c>
      <c r="AB571" s="23" t="str">
        <f>IF(COUNTIFS(Raw_Data!$A$2:$A$616,Raw_Data!A562)&gt;1,"Duplicate","Unique")</f>
        <v>Unique</v>
      </c>
      <c r="AC571" s="23" t="str">
        <f t="shared" si="26"/>
        <v>Clean</v>
      </c>
    </row>
    <row r="572" spans="1:29" ht="15" customHeight="1">
      <c r="A572" s="25" t="str">
        <f>Raw_Data!A563</f>
        <v>BYJ1562</v>
      </c>
      <c r="B572" s="25" t="str">
        <f>Raw_Data!B563</f>
        <v>Arunima Chacko</v>
      </c>
      <c r="C572" s="26">
        <f>IF(OR(Raw_Data!C563="",Raw_Data!C563&lt;$C$5,Raw_Data!C563&gt;$C$6),$C$4,Raw_Data!C563)</f>
        <v>18</v>
      </c>
      <c r="D572" s="25" t="str">
        <f>IF(Raw_Data!C563="","Missing-Imputed",IF(OR(Raw_Data!C563&lt;$C$5,Raw_Data!C563&gt;$C$6),"Outlier-Imputed","Original"))</f>
        <v>Original</v>
      </c>
      <c r="E572" s="25" t="str">
        <f>IF(OR(UPPER(TRIM(Raw_Data!D563))="M",UPPER(TRIM(Raw_Data!D563))="MALE"),"Male","Female")</f>
        <v>Female</v>
      </c>
      <c r="F572" s="25" t="str">
        <f>PROPER(TRIM(Raw_Data!E563))</f>
        <v>Vijayawada</v>
      </c>
      <c r="G572" s="25" t="str">
        <f>PROPER(TRIM(Raw_Data!F563))</f>
        <v>Uttar Pradesh</v>
      </c>
      <c r="H572" s="25" t="str">
        <f>PROPER(TRIM(Raw_Data!G563))</f>
        <v>Neet Prep</v>
      </c>
      <c r="I572" s="25" t="str">
        <f>PROPER(TRIM(Raw_Data!H563))</f>
        <v>Kolkata Main</v>
      </c>
      <c r="J572" s="26">
        <f>IF(LEN(TRIM(Raw_Data!I563))=4,VALUE(TRIM(Raw_Data!I563)),IF(ISNUMBER(IFERROR(VALUE(MID(TRIM(Raw_Data!I563),1,4)),"NA")),VALUE(MID(TRIM(Raw_Data!I563),1,4)),VALUE(RIGHT(TRIM(Raw_Data!I563),4))))</f>
        <v>2020</v>
      </c>
      <c r="K572" s="25" t="str">
        <f>PROPER(TRIM(Raw_Data!J563))</f>
        <v>Homemaker</v>
      </c>
      <c r="L572" s="25" t="str">
        <f t="shared" si="24"/>
        <v>17-19</v>
      </c>
      <c r="M572" s="25" t="str">
        <f t="shared" si="25"/>
        <v>Teens</v>
      </c>
      <c r="N572" s="25" t="str">
        <f>IF(ISNUMBER(SEARCH("NON",UPPER(Raw_Data!M563))),"Non-Premium Learner","Premium Learner")</f>
        <v>Non-Premium Learner</v>
      </c>
      <c r="O572" s="25" t="str">
        <f>PROPER(TRIM(Raw_Data!N563))</f>
        <v>App Only</v>
      </c>
      <c r="P572" s="26">
        <f>IF(Raw_Data!O563="",$C$7,Raw_Data!O563)</f>
        <v>8718.6</v>
      </c>
      <c r="Q572" s="25" t="str">
        <f>IF(Raw_Data!O563="","Missing-Imputed","Original")</f>
        <v>Original</v>
      </c>
      <c r="R572" s="26">
        <f>Raw_Data!P563</f>
        <v>74.8</v>
      </c>
      <c r="S572" s="26">
        <f>Raw_Data!Q563</f>
        <v>25347.59</v>
      </c>
      <c r="T572" s="25" t="str">
        <f>IF(Raw_Data!R563="","Unknown",IF(ISNUMBER(SEARCH("ACT",UPPER(Raw_Data!R563))),"Active",IF(ISNUMBER(SEARCH("CLOS",UPPER(Raw_Data!R563))),"Closed","None")))</f>
        <v>Closed</v>
      </c>
      <c r="U572" s="26">
        <f>IF(Raw_Data!S563="",$C$8,VALUE(Raw_Data!S563))</f>
        <v>465</v>
      </c>
      <c r="V572" s="25" t="str">
        <f>IF(Raw_Data!S563="","Missing-Imputed","Original")</f>
        <v>Original</v>
      </c>
      <c r="W572" s="26">
        <f>Raw_Data!T563</f>
        <v>142</v>
      </c>
      <c r="X572" s="25" t="str">
        <f>IF(ISNUMBER(SEARCH("Y",UPPER(TRIM(Raw_Data!U563)))),"Yes","No")</f>
        <v>No</v>
      </c>
      <c r="Y572" s="25" t="str">
        <f>IF(ISNUMBER(SEARCH("Y",UPPER(TRIM(Raw_Data!V563)))),"Yes","No")</f>
        <v>Yes</v>
      </c>
      <c r="Z572" s="26">
        <f>Raw_Data!W563</f>
        <v>5</v>
      </c>
      <c r="AA572" s="26">
        <f>Raw_Data!X563</f>
        <v>5.8</v>
      </c>
      <c r="AB572" s="25" t="str">
        <f>IF(COUNTIFS(Raw_Data!$A$2:$A$616,Raw_Data!A563)&gt;1,"Duplicate","Unique")</f>
        <v>Unique</v>
      </c>
      <c r="AC572" s="25" t="str">
        <f t="shared" si="26"/>
        <v>Clean</v>
      </c>
    </row>
    <row r="573" spans="1:29" ht="15" customHeight="1">
      <c r="A573" s="23" t="str">
        <f>Raw_Data!A564</f>
        <v>BYJ1563</v>
      </c>
      <c r="B573" s="23" t="str">
        <f>Raw_Data!B564</f>
        <v>Nachiket Yadav</v>
      </c>
      <c r="C573" s="24">
        <f>IF(OR(Raw_Data!C564="",Raw_Data!C564&lt;$C$5,Raw_Data!C564&gt;$C$6),$C$4,Raw_Data!C564)</f>
        <v>11</v>
      </c>
      <c r="D573" s="23" t="str">
        <f>IF(Raw_Data!C564="","Missing-Imputed",IF(OR(Raw_Data!C564&lt;$C$5,Raw_Data!C564&gt;$C$6),"Outlier-Imputed","Original"))</f>
        <v>Original</v>
      </c>
      <c r="E573" s="23" t="str">
        <f>IF(OR(UPPER(TRIM(Raw_Data!D564))="M",UPPER(TRIM(Raw_Data!D564))="MALE"),"Male","Female")</f>
        <v>Female</v>
      </c>
      <c r="F573" s="23" t="str">
        <f>PROPER(TRIM(Raw_Data!E564))</f>
        <v>Katni</v>
      </c>
      <c r="G573" s="23" t="str">
        <f>PROPER(TRIM(Raw_Data!F564))</f>
        <v>Tamil Nadu</v>
      </c>
      <c r="H573" s="23" t="str">
        <f>PROPER(TRIM(Raw_Data!G564))</f>
        <v>Robotics</v>
      </c>
      <c r="I573" s="23" t="str">
        <f>PROPER(TRIM(Raw_Data!H564))</f>
        <v>Delhi North</v>
      </c>
      <c r="J573" s="24">
        <f>IF(LEN(TRIM(Raw_Data!I564))=4,VALUE(TRIM(Raw_Data!I564)),IF(ISNUMBER(IFERROR(VALUE(MID(TRIM(Raw_Data!I564),1,4)),"NA")),VALUE(MID(TRIM(Raw_Data!I564),1,4)),VALUE(RIGHT(TRIM(Raw_Data!I564),4))))</f>
        <v>2018</v>
      </c>
      <c r="K573" s="23" t="str">
        <f>PROPER(TRIM(Raw_Data!J564))</f>
        <v>Government Employee</v>
      </c>
      <c r="L573" s="23" t="str">
        <f t="shared" si="24"/>
        <v>10-13</v>
      </c>
      <c r="M573" s="23" t="str">
        <f t="shared" si="25"/>
        <v>Kids</v>
      </c>
      <c r="N573" s="23" t="str">
        <f>IF(ISNUMBER(SEARCH("NON",UPPER(Raw_Data!M564))),"Non-Premium Learner","Premium Learner")</f>
        <v>Non-Premium Learner</v>
      </c>
      <c r="O573" s="23" t="str">
        <f>PROPER(TRIM(Raw_Data!N564))</f>
        <v>Web Only</v>
      </c>
      <c r="P573" s="24">
        <f>IF(Raw_Data!O564="",$C$7,Raw_Data!O564)</f>
        <v>51318.1</v>
      </c>
      <c r="Q573" s="23" t="str">
        <f>IF(Raw_Data!O564="","Missing-Imputed","Original")</f>
        <v>Original</v>
      </c>
      <c r="R573" s="24">
        <f>Raw_Data!P564</f>
        <v>16.899999999999999</v>
      </c>
      <c r="S573" s="24">
        <f>Raw_Data!Q564</f>
        <v>52715.23</v>
      </c>
      <c r="T573" s="23" t="str">
        <f>IF(Raw_Data!R564="","Unknown",IF(ISNUMBER(SEARCH("ACT",UPPER(Raw_Data!R564))),"Active",IF(ISNUMBER(SEARCH("CLOS",UPPER(Raw_Data!R564))),"Closed","None")))</f>
        <v>None</v>
      </c>
      <c r="U573" s="24">
        <f>IF(Raw_Data!S564="",$C$8,VALUE(Raw_Data!S564))</f>
        <v>527</v>
      </c>
      <c r="V573" s="23" t="str">
        <f>IF(Raw_Data!S564="","Missing-Imputed","Original")</f>
        <v>Original</v>
      </c>
      <c r="W573" s="24">
        <f>Raw_Data!T564</f>
        <v>73</v>
      </c>
      <c r="X573" s="23" t="str">
        <f>IF(ISNUMBER(SEARCH("Y",UPPER(TRIM(Raw_Data!U564)))),"Yes","No")</f>
        <v>Yes</v>
      </c>
      <c r="Y573" s="23" t="str">
        <f>IF(ISNUMBER(SEARCH("Y",UPPER(TRIM(Raw_Data!V564)))),"Yes","No")</f>
        <v>Yes</v>
      </c>
      <c r="Z573" s="24">
        <f>Raw_Data!W564</f>
        <v>1</v>
      </c>
      <c r="AA573" s="24">
        <f>Raw_Data!X564</f>
        <v>5.7</v>
      </c>
      <c r="AB573" s="23" t="str">
        <f>IF(COUNTIFS(Raw_Data!$A$2:$A$616,Raw_Data!A564)&gt;1,"Duplicate","Unique")</f>
        <v>Unique</v>
      </c>
      <c r="AC573" s="23" t="str">
        <f t="shared" si="26"/>
        <v>Clean</v>
      </c>
    </row>
    <row r="574" spans="1:29" ht="15" customHeight="1">
      <c r="A574" s="25" t="str">
        <f>Raw_Data!A565</f>
        <v>BYJ1564</v>
      </c>
      <c r="B574" s="25" t="str">
        <f>Raw_Data!B565</f>
        <v>Dayita Sarkar</v>
      </c>
      <c r="C574" s="26">
        <f>IF(OR(Raw_Data!C565="",Raw_Data!C565&lt;$C$5,Raw_Data!C565&gt;$C$6),$C$4,Raw_Data!C565)</f>
        <v>37</v>
      </c>
      <c r="D574" s="25" t="str">
        <f>IF(Raw_Data!C565="","Missing-Imputed",IF(OR(Raw_Data!C565&lt;$C$5,Raw_Data!C565&gt;$C$6),"Outlier-Imputed","Original"))</f>
        <v>Original</v>
      </c>
      <c r="E574" s="25" t="str">
        <f>IF(OR(UPPER(TRIM(Raw_Data!D565))="M",UPPER(TRIM(Raw_Data!D565))="MALE"),"Male","Female")</f>
        <v>Female</v>
      </c>
      <c r="F574" s="25" t="str">
        <f>PROPER(TRIM(Raw_Data!E565))</f>
        <v>Howrah</v>
      </c>
      <c r="G574" s="25" t="str">
        <f>PROPER(TRIM(Raw_Data!F565))</f>
        <v>Telangana</v>
      </c>
      <c r="H574" s="25" t="str">
        <f>PROPER(TRIM(Raw_Data!G565))</f>
        <v>Mathematics</v>
      </c>
      <c r="I574" s="25" t="str">
        <f>PROPER(TRIM(Raw_Data!H565))</f>
        <v>Pune East</v>
      </c>
      <c r="J574" s="26">
        <f>IF(LEN(TRIM(Raw_Data!I565))=4,VALUE(TRIM(Raw_Data!I565)),IF(ISNUMBER(IFERROR(VALUE(MID(TRIM(Raw_Data!I565),1,4)),"NA")),VALUE(MID(TRIM(Raw_Data!I565),1,4)),VALUE(RIGHT(TRIM(Raw_Data!I565),4))))</f>
        <v>46044</v>
      </c>
      <c r="K574" s="25" t="str">
        <f>PROPER(TRIM(Raw_Data!J565))</f>
        <v>Homemaker</v>
      </c>
      <c r="L574" s="25" t="str">
        <f t="shared" si="24"/>
        <v>20+</v>
      </c>
      <c r="M574" s="25" t="str">
        <f t="shared" si="25"/>
        <v>Adult Learners</v>
      </c>
      <c r="N574" s="25" t="str">
        <f>IF(ISNUMBER(SEARCH("NON",UPPER(Raw_Data!M565))),"Non-Premium Learner","Premium Learner")</f>
        <v>Premium Learner</v>
      </c>
      <c r="O574" s="25" t="str">
        <f>PROPER(TRIM(Raw_Data!N565))</f>
        <v>App Only</v>
      </c>
      <c r="P574" s="26">
        <f>IF(Raw_Data!O565="",$C$7,Raw_Data!O565)</f>
        <v>41435.78</v>
      </c>
      <c r="Q574" s="25" t="str">
        <f>IF(Raw_Data!O565="","Missing-Imputed","Original")</f>
        <v>Original</v>
      </c>
      <c r="R574" s="26">
        <f>Raw_Data!P565</f>
        <v>15.3</v>
      </c>
      <c r="S574" s="26">
        <f>Raw_Data!Q565</f>
        <v>48605.27</v>
      </c>
      <c r="T574" s="25" t="str">
        <f>IF(Raw_Data!R565="","Unknown",IF(ISNUMBER(SEARCH("ACT",UPPER(Raw_Data!R565))),"Active",IF(ISNUMBER(SEARCH("CLOS",UPPER(Raw_Data!R565))),"Closed","None")))</f>
        <v>Closed</v>
      </c>
      <c r="U574" s="26">
        <f>IF(Raw_Data!S565="",$C$8,VALUE(Raw_Data!S565))</f>
        <v>302</v>
      </c>
      <c r="V574" s="25" t="str">
        <f>IF(Raw_Data!S565="","Missing-Imputed","Original")</f>
        <v>Original</v>
      </c>
      <c r="W574" s="26">
        <f>Raw_Data!T565</f>
        <v>142</v>
      </c>
      <c r="X574" s="25" t="str">
        <f>IF(ISNUMBER(SEARCH("Y",UPPER(TRIM(Raw_Data!U565)))),"Yes","No")</f>
        <v>Yes</v>
      </c>
      <c r="Y574" s="25" t="str">
        <f>IF(ISNUMBER(SEARCH("Y",UPPER(TRIM(Raw_Data!V565)))),"Yes","No")</f>
        <v>Yes</v>
      </c>
      <c r="Z574" s="26">
        <f>Raw_Data!W565</f>
        <v>2</v>
      </c>
      <c r="AA574" s="26">
        <f>Raw_Data!X565</f>
        <v>0.7</v>
      </c>
      <c r="AB574" s="25" t="str">
        <f>IF(COUNTIFS(Raw_Data!$A$2:$A$616,Raw_Data!A565)&gt;1,"Duplicate","Unique")</f>
        <v>Unique</v>
      </c>
      <c r="AC574" s="25" t="str">
        <f t="shared" si="26"/>
        <v>Clean</v>
      </c>
    </row>
    <row r="575" spans="1:29" ht="15" customHeight="1">
      <c r="A575" s="23" t="str">
        <f>Raw_Data!A566</f>
        <v>BYJ1565</v>
      </c>
      <c r="B575" s="23" t="str">
        <f>Raw_Data!B566</f>
        <v>Gabriel Saraf</v>
      </c>
      <c r="C575" s="24">
        <f>IF(OR(Raw_Data!C566="",Raw_Data!C566&lt;$C$5,Raw_Data!C566&gt;$C$6),$C$4,Raw_Data!C566)</f>
        <v>41</v>
      </c>
      <c r="D575" s="23" t="str">
        <f>IF(Raw_Data!C566="","Missing-Imputed",IF(OR(Raw_Data!C566&lt;$C$5,Raw_Data!C566&gt;$C$6),"Outlier-Imputed","Original"))</f>
        <v>Original</v>
      </c>
      <c r="E575" s="23" t="str">
        <f>IF(OR(UPPER(TRIM(Raw_Data!D566))="M",UPPER(TRIM(Raw_Data!D566))="MALE"),"Male","Female")</f>
        <v>Male</v>
      </c>
      <c r="F575" s="23" t="str">
        <f>PROPER(TRIM(Raw_Data!E566))</f>
        <v>Malda</v>
      </c>
      <c r="G575" s="23" t="str">
        <f>PROPER(TRIM(Raw_Data!F566))</f>
        <v>Telangana</v>
      </c>
      <c r="H575" s="23" t="str">
        <f>PROPER(TRIM(Raw_Data!G566))</f>
        <v>Mathematics</v>
      </c>
      <c r="I575" s="23" t="str">
        <f>PROPER(TRIM(Raw_Data!H566))</f>
        <v>Ahmedabad Center</v>
      </c>
      <c r="J575" s="24">
        <f>IF(LEN(TRIM(Raw_Data!I566))=4,VALUE(TRIM(Raw_Data!I566)),IF(ISNUMBER(IFERROR(VALUE(MID(TRIM(Raw_Data!I566),1,4)),"NA")),VALUE(MID(TRIM(Raw_Data!I566),1,4)),VALUE(RIGHT(TRIM(Raw_Data!I566),4))))</f>
        <v>2018</v>
      </c>
      <c r="K575" s="23" t="str">
        <f>PROPER(TRIM(Raw_Data!J566))</f>
        <v>Government Employee</v>
      </c>
      <c r="L575" s="23" t="str">
        <f t="shared" si="24"/>
        <v>20+</v>
      </c>
      <c r="M575" s="23" t="str">
        <f t="shared" si="25"/>
        <v>Adult Learners</v>
      </c>
      <c r="N575" s="23" t="str">
        <f>IF(ISNUMBER(SEARCH("NON",UPPER(Raw_Data!M566))),"Non-Premium Learner","Premium Learner")</f>
        <v>Premium Learner</v>
      </c>
      <c r="O575" s="23" t="str">
        <f>PROPER(TRIM(Raw_Data!N566))</f>
        <v>Both App &amp; Web</v>
      </c>
      <c r="P575" s="24">
        <f>IF(Raw_Data!O566="",$C$7,Raw_Data!O566)</f>
        <v>102178.2</v>
      </c>
      <c r="Q575" s="23" t="str">
        <f>IF(Raw_Data!O566="","Missing-Imputed","Original")</f>
        <v>Original</v>
      </c>
      <c r="R575" s="24">
        <f>Raw_Data!P566</f>
        <v>16.100000000000001</v>
      </c>
      <c r="S575" s="24">
        <f>Raw_Data!Q566</f>
        <v>1828.92</v>
      </c>
      <c r="T575" s="23" t="str">
        <f>IF(Raw_Data!R566="","Unknown",IF(ISNUMBER(SEARCH("ACT",UPPER(Raw_Data!R566))),"Active",IF(ISNUMBER(SEARCH("CLOS",UPPER(Raw_Data!R566))),"Closed","None")))</f>
        <v>None</v>
      </c>
      <c r="U575" s="24">
        <f>IF(Raw_Data!S566="",$C$8,VALUE(Raw_Data!S566))</f>
        <v>650</v>
      </c>
      <c r="V575" s="23" t="str">
        <f>IF(Raw_Data!S566="","Missing-Imputed","Original")</f>
        <v>Original</v>
      </c>
      <c r="W575" s="24">
        <f>Raw_Data!T566</f>
        <v>118</v>
      </c>
      <c r="X575" s="23" t="str">
        <f>IF(ISNUMBER(SEARCH("Y",UPPER(TRIM(Raw_Data!U566)))),"Yes","No")</f>
        <v>Yes</v>
      </c>
      <c r="Y575" s="23" t="str">
        <f>IF(ISNUMBER(SEARCH("Y",UPPER(TRIM(Raw_Data!V566)))),"Yes","No")</f>
        <v>Yes</v>
      </c>
      <c r="Z575" s="24">
        <f>Raw_Data!W566</f>
        <v>4</v>
      </c>
      <c r="AA575" s="24">
        <f>Raw_Data!X566</f>
        <v>1.4</v>
      </c>
      <c r="AB575" s="23" t="str">
        <f>IF(COUNTIFS(Raw_Data!$A$2:$A$616,Raw_Data!A566)&gt;1,"Duplicate","Unique")</f>
        <v>Unique</v>
      </c>
      <c r="AC575" s="23" t="str">
        <f t="shared" si="26"/>
        <v>Clean</v>
      </c>
    </row>
    <row r="576" spans="1:29" ht="15" customHeight="1">
      <c r="A576" s="25" t="str">
        <f>Raw_Data!A567</f>
        <v>BYJ1566</v>
      </c>
      <c r="B576" s="25" t="str">
        <f>Raw_Data!B567</f>
        <v xml:space="preserve">  Dayamai Gill  </v>
      </c>
      <c r="C576" s="26">
        <f>IF(OR(Raw_Data!C567="",Raw_Data!C567&lt;$C$5,Raw_Data!C567&gt;$C$6),$C$4,Raw_Data!C567)</f>
        <v>27</v>
      </c>
      <c r="D576" s="25" t="str">
        <f>IF(Raw_Data!C567="","Missing-Imputed",IF(OR(Raw_Data!C567&lt;$C$5,Raw_Data!C567&gt;$C$6),"Outlier-Imputed","Original"))</f>
        <v>Original</v>
      </c>
      <c r="E576" s="25" t="str">
        <f>IF(OR(UPPER(TRIM(Raw_Data!D567))="M",UPPER(TRIM(Raw_Data!D567))="MALE"),"Male","Female")</f>
        <v>Male</v>
      </c>
      <c r="F576" s="25" t="str">
        <f>PROPER(TRIM(Raw_Data!E567))</f>
        <v>Ahmedabad</v>
      </c>
      <c r="G576" s="25" t="str">
        <f>PROPER(TRIM(Raw_Data!F567))</f>
        <v>Telangana</v>
      </c>
      <c r="H576" s="25" t="str">
        <f>PROPER(TRIM(Raw_Data!G567))</f>
        <v>Neet Prep</v>
      </c>
      <c r="I576" s="25" t="str">
        <f>PROPER(TRIM(Raw_Data!H567))</f>
        <v>Jaipur Center</v>
      </c>
      <c r="J576" s="26">
        <f>IF(LEN(TRIM(Raw_Data!I567))=4,VALUE(TRIM(Raw_Data!I567)),IF(ISNUMBER(IFERROR(VALUE(MID(TRIM(Raw_Data!I567),1,4)),"NA")),VALUE(MID(TRIM(Raw_Data!I567),1,4)),VALUE(RIGHT(TRIM(Raw_Data!I567),4))))</f>
        <v>2020</v>
      </c>
      <c r="K576" s="25" t="str">
        <f>PROPER(TRIM(Raw_Data!J567))</f>
        <v>Self-Employed</v>
      </c>
      <c r="L576" s="25" t="str">
        <f t="shared" si="24"/>
        <v>20+</v>
      </c>
      <c r="M576" s="25" t="str">
        <f t="shared" si="25"/>
        <v>Adult Learners</v>
      </c>
      <c r="N576" s="25" t="str">
        <f>IF(ISNUMBER(SEARCH("NON",UPPER(Raw_Data!M567))),"Non-Premium Learner","Premium Learner")</f>
        <v>Premium Learner</v>
      </c>
      <c r="O576" s="25" t="str">
        <f>PROPER(TRIM(Raw_Data!N567))</f>
        <v>App Only</v>
      </c>
      <c r="P576" s="26">
        <f>IF(Raw_Data!O567="",$C$7,Raw_Data!O567)</f>
        <v>7527.29</v>
      </c>
      <c r="Q576" s="25" t="str">
        <f>IF(Raw_Data!O567="","Missing-Imputed","Original")</f>
        <v>Original</v>
      </c>
      <c r="R576" s="26">
        <f>Raw_Data!P567</f>
        <v>31.2</v>
      </c>
      <c r="S576" s="26">
        <f>Raw_Data!Q567</f>
        <v>51564.27</v>
      </c>
      <c r="T576" s="25" t="str">
        <f>IF(Raw_Data!R567="","Unknown",IF(ISNUMBER(SEARCH("ACT",UPPER(Raw_Data!R567))),"Active",IF(ISNUMBER(SEARCH("CLOS",UPPER(Raw_Data!R567))),"Closed","None")))</f>
        <v>None</v>
      </c>
      <c r="U576" s="26">
        <f>IF(Raw_Data!S567="",$C$8,VALUE(Raw_Data!S567))</f>
        <v>757</v>
      </c>
      <c r="V576" s="25" t="str">
        <f>IF(Raw_Data!S567="","Missing-Imputed","Original")</f>
        <v>Original</v>
      </c>
      <c r="W576" s="26">
        <f>Raw_Data!T567</f>
        <v>109</v>
      </c>
      <c r="X576" s="25" t="str">
        <f>IF(ISNUMBER(SEARCH("Y",UPPER(TRIM(Raw_Data!U567)))),"Yes","No")</f>
        <v>No</v>
      </c>
      <c r="Y576" s="25" t="str">
        <f>IF(ISNUMBER(SEARCH("Y",UPPER(TRIM(Raw_Data!V567)))),"Yes","No")</f>
        <v>Yes</v>
      </c>
      <c r="Z576" s="26">
        <f>Raw_Data!W567</f>
        <v>1</v>
      </c>
      <c r="AA576" s="26">
        <f>Raw_Data!X567</f>
        <v>5.3</v>
      </c>
      <c r="AB576" s="25" t="str">
        <f>IF(COUNTIFS(Raw_Data!$A$2:$A$616,Raw_Data!A567)&gt;1,"Duplicate","Unique")</f>
        <v>Unique</v>
      </c>
      <c r="AC576" s="25" t="str">
        <f t="shared" si="26"/>
        <v>Clean</v>
      </c>
    </row>
    <row r="577" spans="1:29" ht="15" customHeight="1">
      <c r="A577" s="23" t="str">
        <f>Raw_Data!A568</f>
        <v>BYJ1567</v>
      </c>
      <c r="B577" s="23" t="str">
        <f>Raw_Data!B568</f>
        <v>Advay Gade</v>
      </c>
      <c r="C577" s="24">
        <f>IF(OR(Raw_Data!C568="",Raw_Data!C568&lt;$C$5,Raw_Data!C568&gt;$C$6),$C$4,Raw_Data!C568)</f>
        <v>18</v>
      </c>
      <c r="D577" s="23" t="str">
        <f>IF(Raw_Data!C568="","Missing-Imputed",IF(OR(Raw_Data!C568&lt;$C$5,Raw_Data!C568&gt;$C$6),"Outlier-Imputed","Original"))</f>
        <v>Original</v>
      </c>
      <c r="E577" s="23" t="str">
        <f>IF(OR(UPPER(TRIM(Raw_Data!D568))="M",UPPER(TRIM(Raw_Data!D568))="MALE"),"Male","Female")</f>
        <v>Female</v>
      </c>
      <c r="F577" s="23" t="str">
        <f>PROPER(TRIM(Raw_Data!E568))</f>
        <v>Sri Ganganagar</v>
      </c>
      <c r="G577" s="23" t="str">
        <f>PROPER(TRIM(Raw_Data!F568))</f>
        <v>Rajasthan</v>
      </c>
      <c r="H577" s="23" t="str">
        <f>PROPER(TRIM(Raw_Data!G568))</f>
        <v>Jee Prep</v>
      </c>
      <c r="I577" s="23" t="str">
        <f>PROPER(TRIM(Raw_Data!H568))</f>
        <v>Kolkata Main</v>
      </c>
      <c r="J577" s="24">
        <f>IF(LEN(TRIM(Raw_Data!I568))=4,VALUE(TRIM(Raw_Data!I568)),IF(ISNUMBER(IFERROR(VALUE(MID(TRIM(Raw_Data!I568),1,4)),"NA")),VALUE(MID(TRIM(Raw_Data!I568),1,4)),VALUE(RIGHT(TRIM(Raw_Data!I568),4))))</f>
        <v>2022</v>
      </c>
      <c r="K577" s="23" t="str">
        <f>PROPER(TRIM(Raw_Data!J568))</f>
        <v>Salaried</v>
      </c>
      <c r="L577" s="23" t="str">
        <f t="shared" si="24"/>
        <v>17-19</v>
      </c>
      <c r="M577" s="23" t="str">
        <f t="shared" si="25"/>
        <v>Teens</v>
      </c>
      <c r="N577" s="23" t="str">
        <f>IF(ISNUMBER(SEARCH("NON",UPPER(Raw_Data!M568))),"Non-Premium Learner","Premium Learner")</f>
        <v>Non-Premium Learner</v>
      </c>
      <c r="O577" s="23" t="str">
        <f>PROPER(TRIM(Raw_Data!N568))</f>
        <v>App Only</v>
      </c>
      <c r="P577" s="24">
        <f>IF(Raw_Data!O568="",$C$7,Raw_Data!O568)</f>
        <v>125450.49</v>
      </c>
      <c r="Q577" s="23" t="str">
        <f>IF(Raw_Data!O568="","Missing-Imputed","Original")</f>
        <v>Original</v>
      </c>
      <c r="R577" s="24">
        <f>Raw_Data!P568</f>
        <v>40.6</v>
      </c>
      <c r="S577" s="24">
        <f>Raw_Data!Q568</f>
        <v>1925.08</v>
      </c>
      <c r="T577" s="23" t="str">
        <f>IF(Raw_Data!R568="","Unknown",IF(ISNUMBER(SEARCH("ACT",UPPER(Raw_Data!R568))),"Active",IF(ISNUMBER(SEARCH("CLOS",UPPER(Raw_Data!R568))),"Closed","None")))</f>
        <v>Closed</v>
      </c>
      <c r="U577" s="24">
        <f>IF(Raw_Data!S568="",$C$8,VALUE(Raw_Data!S568))</f>
        <v>724</v>
      </c>
      <c r="V577" s="23" t="str">
        <f>IF(Raw_Data!S568="","Missing-Imputed","Original")</f>
        <v>Original</v>
      </c>
      <c r="W577" s="24">
        <f>Raw_Data!T568</f>
        <v>79</v>
      </c>
      <c r="X577" s="23" t="str">
        <f>IF(ISNUMBER(SEARCH("Y",UPPER(TRIM(Raw_Data!U568)))),"Yes","No")</f>
        <v>No</v>
      </c>
      <c r="Y577" s="23" t="str">
        <f>IF(ISNUMBER(SEARCH("Y",UPPER(TRIM(Raw_Data!V568)))),"Yes","No")</f>
        <v>Yes</v>
      </c>
      <c r="Z577" s="24">
        <f>Raw_Data!W568</f>
        <v>1</v>
      </c>
      <c r="AA577" s="24">
        <f>Raw_Data!X568</f>
        <v>4.3</v>
      </c>
      <c r="AB577" s="23" t="str">
        <f>IF(COUNTIFS(Raw_Data!$A$2:$A$616,Raw_Data!A568)&gt;1,"Duplicate","Unique")</f>
        <v>Unique</v>
      </c>
      <c r="AC577" s="23" t="str">
        <f t="shared" si="26"/>
        <v>Clean</v>
      </c>
    </row>
    <row r="578" spans="1:29" ht="15" customHeight="1">
      <c r="A578" s="25" t="str">
        <f>Raw_Data!A569</f>
        <v>BYJ1568</v>
      </c>
      <c r="B578" s="25" t="str">
        <f>Raw_Data!B569</f>
        <v>Ojas Prabhu</v>
      </c>
      <c r="C578" s="26">
        <f>IF(OR(Raw_Data!C569="",Raw_Data!C569&lt;$C$5,Raw_Data!C569&gt;$C$6),$C$4,Raw_Data!C569)</f>
        <v>22</v>
      </c>
      <c r="D578" s="25" t="str">
        <f>IF(Raw_Data!C569="","Missing-Imputed",IF(OR(Raw_Data!C569&lt;$C$5,Raw_Data!C569&gt;$C$6),"Outlier-Imputed","Original"))</f>
        <v>Original</v>
      </c>
      <c r="E578" s="25" t="str">
        <f>IF(OR(UPPER(TRIM(Raw_Data!D569))="M",UPPER(TRIM(Raw_Data!D569))="MALE"),"Male","Female")</f>
        <v>Male</v>
      </c>
      <c r="F578" s="25" t="str">
        <f>PROPER(TRIM(Raw_Data!E569))</f>
        <v>Agartala</v>
      </c>
      <c r="G578" s="25" t="str">
        <f>PROPER(TRIM(Raw_Data!F569))</f>
        <v>Telangana</v>
      </c>
      <c r="H578" s="25" t="str">
        <f>PROPER(TRIM(Raw_Data!G569))</f>
        <v>English</v>
      </c>
      <c r="I578" s="25" t="str">
        <f>PROPER(TRIM(Raw_Data!H569))</f>
        <v>Jaipur Center</v>
      </c>
      <c r="J578" s="26">
        <f>IF(LEN(TRIM(Raw_Data!I569))=4,VALUE(TRIM(Raw_Data!I569)),IF(ISNUMBER(IFERROR(VALUE(MID(TRIM(Raw_Data!I569),1,4)),"NA")),VALUE(MID(TRIM(Raw_Data!I569),1,4)),VALUE(RIGHT(TRIM(Raw_Data!I569),4))))</f>
        <v>2024</v>
      </c>
      <c r="K578" s="25" t="str">
        <f>PROPER(TRIM(Raw_Data!J569))</f>
        <v>Government Employee</v>
      </c>
      <c r="L578" s="25" t="str">
        <f t="shared" si="24"/>
        <v>20+</v>
      </c>
      <c r="M578" s="25" t="str">
        <f t="shared" si="25"/>
        <v>Adult Learners</v>
      </c>
      <c r="N578" s="25" t="str">
        <f>IF(ISNUMBER(SEARCH("NON",UPPER(Raw_Data!M569))),"Non-Premium Learner","Premium Learner")</f>
        <v>Premium Learner</v>
      </c>
      <c r="O578" s="25" t="str">
        <f>PROPER(TRIM(Raw_Data!N569))</f>
        <v>Both App &amp; Web</v>
      </c>
      <c r="P578" s="26">
        <f>IF(Raw_Data!O569="",$C$7,Raw_Data!O569)</f>
        <v>14537.93</v>
      </c>
      <c r="Q578" s="25" t="str">
        <f>IF(Raw_Data!O569="","Missing-Imputed","Original")</f>
        <v>Original</v>
      </c>
      <c r="R578" s="26">
        <f>Raw_Data!P569</f>
        <v>8.1999999999999993</v>
      </c>
      <c r="S578" s="26">
        <f>Raw_Data!Q569</f>
        <v>36633.5</v>
      </c>
      <c r="T578" s="25" t="str">
        <f>IF(Raw_Data!R569="","Unknown",IF(ISNUMBER(SEARCH("ACT",UPPER(Raw_Data!R569))),"Active",IF(ISNUMBER(SEARCH("CLOS",UPPER(Raw_Data!R569))),"Closed","None")))</f>
        <v>None</v>
      </c>
      <c r="U578" s="26">
        <f>IF(Raw_Data!S569="",$C$8,VALUE(Raw_Data!S569))</f>
        <v>604</v>
      </c>
      <c r="V578" s="25" t="str">
        <f>IF(Raw_Data!S569="","Missing-Imputed","Original")</f>
        <v>Original</v>
      </c>
      <c r="W578" s="26">
        <f>Raw_Data!T569</f>
        <v>153</v>
      </c>
      <c r="X578" s="25" t="str">
        <f>IF(ISNUMBER(SEARCH("Y",UPPER(TRIM(Raw_Data!U569)))),"Yes","No")</f>
        <v>No</v>
      </c>
      <c r="Y578" s="25" t="str">
        <f>IF(ISNUMBER(SEARCH("Y",UPPER(TRIM(Raw_Data!V569)))),"Yes","No")</f>
        <v>No</v>
      </c>
      <c r="Z578" s="26">
        <f>Raw_Data!W569</f>
        <v>1</v>
      </c>
      <c r="AA578" s="26">
        <f>Raw_Data!X569</f>
        <v>2.2000000000000002</v>
      </c>
      <c r="AB578" s="25" t="str">
        <f>IF(COUNTIFS(Raw_Data!$A$2:$A$616,Raw_Data!A569)&gt;1,"Duplicate","Unique")</f>
        <v>Unique</v>
      </c>
      <c r="AC578" s="25" t="str">
        <f t="shared" si="26"/>
        <v>Clean</v>
      </c>
    </row>
    <row r="579" spans="1:29" ht="15" customHeight="1">
      <c r="A579" s="23" t="str">
        <f>Raw_Data!A570</f>
        <v>BYJ1569</v>
      </c>
      <c r="B579" s="23" t="str">
        <f>Raw_Data!B570</f>
        <v>Ayushman Nayak</v>
      </c>
      <c r="C579" s="24">
        <f>IF(OR(Raw_Data!C570="",Raw_Data!C570&lt;$C$5,Raw_Data!C570&gt;$C$6),$C$4,Raw_Data!C570)</f>
        <v>32</v>
      </c>
      <c r="D579" s="23" t="str">
        <f>IF(Raw_Data!C570="","Missing-Imputed",IF(OR(Raw_Data!C570&lt;$C$5,Raw_Data!C570&gt;$C$6),"Outlier-Imputed","Original"))</f>
        <v>Original</v>
      </c>
      <c r="E579" s="23" t="str">
        <f>IF(OR(UPPER(TRIM(Raw_Data!D570))="M",UPPER(TRIM(Raw_Data!D570))="MALE"),"Male","Female")</f>
        <v>Female</v>
      </c>
      <c r="F579" s="23" t="str">
        <f>PROPER(TRIM(Raw_Data!E570))</f>
        <v>Darbhanga</v>
      </c>
      <c r="G579" s="23" t="str">
        <f>PROPER(TRIM(Raw_Data!F570))</f>
        <v>Telangana</v>
      </c>
      <c r="H579" s="23" t="str">
        <f>PROPER(TRIM(Raw_Data!G570))</f>
        <v>Mathematics</v>
      </c>
      <c r="I579" s="23" t="str">
        <f>PROPER(TRIM(Raw_Data!H570))</f>
        <v>Kolkata Main</v>
      </c>
      <c r="J579" s="24">
        <f>IF(LEN(TRIM(Raw_Data!I570))=4,VALUE(TRIM(Raw_Data!I570)),IF(ISNUMBER(IFERROR(VALUE(MID(TRIM(Raw_Data!I570),1,4)),"NA")),VALUE(MID(TRIM(Raw_Data!I570),1,4)),VALUE(RIGHT(TRIM(Raw_Data!I570),4))))</f>
        <v>2022</v>
      </c>
      <c r="K579" s="23" t="str">
        <f>PROPER(TRIM(Raw_Data!J570))</f>
        <v>Self-Employed</v>
      </c>
      <c r="L579" s="23" t="str">
        <f t="shared" si="24"/>
        <v>20+</v>
      </c>
      <c r="M579" s="23" t="str">
        <f t="shared" si="25"/>
        <v>Adult Learners</v>
      </c>
      <c r="N579" s="23" t="str">
        <f>IF(ISNUMBER(SEARCH("NON",UPPER(Raw_Data!M570))),"Non-Premium Learner","Premium Learner")</f>
        <v>Premium Learner</v>
      </c>
      <c r="O579" s="23" t="str">
        <f>PROPER(TRIM(Raw_Data!N570))</f>
        <v>Web Only</v>
      </c>
      <c r="P579" s="24">
        <f>IF(Raw_Data!O570="",$C$7,Raw_Data!O570)</f>
        <v>87797.6</v>
      </c>
      <c r="Q579" s="23" t="str">
        <f>IF(Raw_Data!O570="","Missing-Imputed","Original")</f>
        <v>Original</v>
      </c>
      <c r="R579" s="24">
        <f>Raw_Data!P570</f>
        <v>67.3</v>
      </c>
      <c r="S579" s="24">
        <f>Raw_Data!Q570</f>
        <v>45731.71</v>
      </c>
      <c r="T579" s="23" t="str">
        <f>IF(Raw_Data!R570="","Unknown",IF(ISNUMBER(SEARCH("ACT",UPPER(Raw_Data!R570))),"Active",IF(ISNUMBER(SEARCH("CLOS",UPPER(Raw_Data!R570))),"Closed","None")))</f>
        <v>Closed</v>
      </c>
      <c r="U579" s="24">
        <f>IF(Raw_Data!S570="",$C$8,VALUE(Raw_Data!S570))</f>
        <v>515</v>
      </c>
      <c r="V579" s="23" t="str">
        <f>IF(Raw_Data!S570="","Missing-Imputed","Original")</f>
        <v>Original</v>
      </c>
      <c r="W579" s="24">
        <f>Raw_Data!T570</f>
        <v>131</v>
      </c>
      <c r="X579" s="23" t="str">
        <f>IF(ISNUMBER(SEARCH("Y",UPPER(TRIM(Raw_Data!U570)))),"Yes","No")</f>
        <v>No</v>
      </c>
      <c r="Y579" s="23" t="str">
        <f>IF(ISNUMBER(SEARCH("Y",UPPER(TRIM(Raw_Data!V570)))),"Yes","No")</f>
        <v>No</v>
      </c>
      <c r="Z579" s="24">
        <f>Raw_Data!W570</f>
        <v>1</v>
      </c>
      <c r="AA579" s="24">
        <f>Raw_Data!X570</f>
        <v>6.5</v>
      </c>
      <c r="AB579" s="23" t="str">
        <f>IF(COUNTIFS(Raw_Data!$A$2:$A$616,Raw_Data!A570)&gt;1,"Duplicate","Unique")</f>
        <v>Unique</v>
      </c>
      <c r="AC579" s="23" t="str">
        <f t="shared" si="26"/>
        <v>Clean</v>
      </c>
    </row>
    <row r="580" spans="1:29" ht="15" customHeight="1">
      <c r="A580" s="25" t="str">
        <f>Raw_Data!A571</f>
        <v>BYJ1570</v>
      </c>
      <c r="B580" s="25" t="str">
        <f>Raw_Data!B571</f>
        <v>Adya Bose</v>
      </c>
      <c r="C580" s="26">
        <f>IF(OR(Raw_Data!C571="",Raw_Data!C571&lt;$C$5,Raw_Data!C571&gt;$C$6),$C$4,Raw_Data!C571)</f>
        <v>33</v>
      </c>
      <c r="D580" s="25" t="str">
        <f>IF(Raw_Data!C571="","Missing-Imputed",IF(OR(Raw_Data!C571&lt;$C$5,Raw_Data!C571&gt;$C$6),"Outlier-Imputed","Original"))</f>
        <v>Original</v>
      </c>
      <c r="E580" s="25" t="str">
        <f>IF(OR(UPPER(TRIM(Raw_Data!D571))="M",UPPER(TRIM(Raw_Data!D571))="MALE"),"Male","Female")</f>
        <v>Male</v>
      </c>
      <c r="F580" s="25" t="str">
        <f>PROPER(TRIM(Raw_Data!E571))</f>
        <v>Sirsa</v>
      </c>
      <c r="G580" s="25" t="str">
        <f>PROPER(TRIM(Raw_Data!F571))</f>
        <v>Tamil Nadu</v>
      </c>
      <c r="H580" s="25" t="str">
        <f>PROPER(TRIM(Raw_Data!G571))</f>
        <v>Spoken English</v>
      </c>
      <c r="I580" s="25" t="str">
        <f>PROPER(TRIM(Raw_Data!H571))</f>
        <v>Jaipur Center</v>
      </c>
      <c r="J580" s="26">
        <f>IF(LEN(TRIM(Raw_Data!I571))=4,VALUE(TRIM(Raw_Data!I571)),IF(ISNUMBER(IFERROR(VALUE(MID(TRIM(Raw_Data!I571),1,4)),"NA")),VALUE(MID(TRIM(Raw_Data!I571),1,4)),VALUE(RIGHT(TRIM(Raw_Data!I571),4))))</f>
        <v>2018</v>
      </c>
      <c r="K580" s="25" t="str">
        <f>PROPER(TRIM(Raw_Data!J571))</f>
        <v>Salaried</v>
      </c>
      <c r="L580" s="25" t="str">
        <f t="shared" si="24"/>
        <v>20+</v>
      </c>
      <c r="M580" s="25" t="str">
        <f t="shared" si="25"/>
        <v>Adult Learners</v>
      </c>
      <c r="N580" s="25" t="str">
        <f>IF(ISNUMBER(SEARCH("NON",UPPER(Raw_Data!M571))),"Non-Premium Learner","Premium Learner")</f>
        <v>Non-Premium Learner</v>
      </c>
      <c r="O580" s="25" t="str">
        <f>PROPER(TRIM(Raw_Data!N571))</f>
        <v>Both App &amp; Web</v>
      </c>
      <c r="P580" s="26">
        <f>IF(Raw_Data!O571="",$C$7,Raw_Data!O571)</f>
        <v>8977.26</v>
      </c>
      <c r="Q580" s="25" t="str">
        <f>IF(Raw_Data!O571="","Missing-Imputed","Original")</f>
        <v>Original</v>
      </c>
      <c r="R580" s="26">
        <f>Raw_Data!P571</f>
        <v>52.1</v>
      </c>
      <c r="S580" s="26">
        <f>Raw_Data!Q571</f>
        <v>5704.68</v>
      </c>
      <c r="T580" s="25" t="str">
        <f>IF(Raw_Data!R571="","Unknown",IF(ISNUMBER(SEARCH("ACT",UPPER(Raw_Data!R571))),"Active",IF(ISNUMBER(SEARCH("CLOS",UPPER(Raw_Data!R571))),"Closed","None")))</f>
        <v>None</v>
      </c>
      <c r="U580" s="26">
        <f>IF(Raw_Data!S571="",$C$8,VALUE(Raw_Data!S571))</f>
        <v>540</v>
      </c>
      <c r="V580" s="25" t="str">
        <f>IF(Raw_Data!S571="","Missing-Imputed","Original")</f>
        <v>Original</v>
      </c>
      <c r="W580" s="26">
        <f>Raw_Data!T571</f>
        <v>179</v>
      </c>
      <c r="X580" s="25" t="str">
        <f>IF(ISNUMBER(SEARCH("Y",UPPER(TRIM(Raw_Data!U571)))),"Yes","No")</f>
        <v>No</v>
      </c>
      <c r="Y580" s="25" t="str">
        <f>IF(ISNUMBER(SEARCH("Y",UPPER(TRIM(Raw_Data!V571)))),"Yes","No")</f>
        <v>Yes</v>
      </c>
      <c r="Z580" s="26">
        <f>Raw_Data!W571</f>
        <v>4</v>
      </c>
      <c r="AA580" s="26">
        <f>Raw_Data!X571</f>
        <v>8.6999999999999993</v>
      </c>
      <c r="AB580" s="25" t="str">
        <f>IF(COUNTIFS(Raw_Data!$A$2:$A$616,Raw_Data!A571)&gt;1,"Duplicate","Unique")</f>
        <v>Unique</v>
      </c>
      <c r="AC580" s="25" t="str">
        <f t="shared" si="26"/>
        <v>Clean</v>
      </c>
    </row>
    <row r="581" spans="1:29" ht="15" customHeight="1">
      <c r="A581" s="23" t="str">
        <f>Raw_Data!A572</f>
        <v>BYJ1571</v>
      </c>
      <c r="B581" s="23" t="str">
        <f>Raw_Data!B572</f>
        <v>Christopher Tata</v>
      </c>
      <c r="C581" s="24">
        <f>IF(OR(Raw_Data!C572="",Raw_Data!C572&lt;$C$5,Raw_Data!C572&gt;$C$6),$C$4,Raw_Data!C572)</f>
        <v>43</v>
      </c>
      <c r="D581" s="23" t="str">
        <f>IF(Raw_Data!C572="","Missing-Imputed",IF(OR(Raw_Data!C572&lt;$C$5,Raw_Data!C572&gt;$C$6),"Outlier-Imputed","Original"))</f>
        <v>Original</v>
      </c>
      <c r="E581" s="23" t="str">
        <f>IF(OR(UPPER(TRIM(Raw_Data!D572))="M",UPPER(TRIM(Raw_Data!D572))="MALE"),"Male","Female")</f>
        <v>Female</v>
      </c>
      <c r="F581" s="23" t="str">
        <f>PROPER(TRIM(Raw_Data!E572))</f>
        <v>Arrah</v>
      </c>
      <c r="G581" s="23" t="str">
        <f>PROPER(TRIM(Raw_Data!F572))</f>
        <v>Karnataka</v>
      </c>
      <c r="H581" s="23" t="str">
        <f>PROPER(TRIM(Raw_Data!G572))</f>
        <v>Robotics</v>
      </c>
      <c r="I581" s="23" t="str">
        <f>PROPER(TRIM(Raw_Data!H572))</f>
        <v>Hyderabad Hub</v>
      </c>
      <c r="J581" s="24">
        <f>IF(LEN(TRIM(Raw_Data!I572))=4,VALUE(TRIM(Raw_Data!I572)),IF(ISNUMBER(IFERROR(VALUE(MID(TRIM(Raw_Data!I572),1,4)),"NA")),VALUE(MID(TRIM(Raw_Data!I572),1,4)),VALUE(RIGHT(TRIM(Raw_Data!I572),4))))</f>
        <v>2020</v>
      </c>
      <c r="K581" s="23" t="str">
        <f>PROPER(TRIM(Raw_Data!J572))</f>
        <v>Salaried</v>
      </c>
      <c r="L581" s="23" t="str">
        <f t="shared" si="24"/>
        <v>20+</v>
      </c>
      <c r="M581" s="23" t="str">
        <f t="shared" si="25"/>
        <v>Adult Learners</v>
      </c>
      <c r="N581" s="23" t="str">
        <f>IF(ISNUMBER(SEARCH("NON",UPPER(Raw_Data!M572))),"Non-Premium Learner","Premium Learner")</f>
        <v>Non-Premium Learner</v>
      </c>
      <c r="O581" s="23" t="str">
        <f>PROPER(TRIM(Raw_Data!N572))</f>
        <v>Web Only</v>
      </c>
      <c r="P581" s="24">
        <f>IF(Raw_Data!O572="",$C$7,Raw_Data!O572)</f>
        <v>80682.210000000006</v>
      </c>
      <c r="Q581" s="23" t="str">
        <f>IF(Raw_Data!O572="","Missing-Imputed","Original")</f>
        <v>Original</v>
      </c>
      <c r="R581" s="24">
        <f>Raw_Data!P572</f>
        <v>22.5</v>
      </c>
      <c r="S581" s="24">
        <f>Raw_Data!Q572</f>
        <v>58971.360000000001</v>
      </c>
      <c r="T581" s="23" t="str">
        <f>IF(Raw_Data!R572="","Unknown",IF(ISNUMBER(SEARCH("ACT",UPPER(Raw_Data!R572))),"Active",IF(ISNUMBER(SEARCH("CLOS",UPPER(Raw_Data!R572))),"Closed","None")))</f>
        <v>None</v>
      </c>
      <c r="U581" s="24">
        <f>IF(Raw_Data!S572="",$C$8,VALUE(Raw_Data!S572))</f>
        <v>748</v>
      </c>
      <c r="V581" s="23" t="str">
        <f>IF(Raw_Data!S572="","Missing-Imputed","Original")</f>
        <v>Original</v>
      </c>
      <c r="W581" s="24">
        <f>Raw_Data!T572</f>
        <v>138</v>
      </c>
      <c r="X581" s="23" t="str">
        <f>IF(ISNUMBER(SEARCH("Y",UPPER(TRIM(Raw_Data!U572)))),"Yes","No")</f>
        <v>Yes</v>
      </c>
      <c r="Y581" s="23" t="str">
        <f>IF(ISNUMBER(SEARCH("Y",UPPER(TRIM(Raw_Data!V572)))),"Yes","No")</f>
        <v>Yes</v>
      </c>
      <c r="Z581" s="24">
        <f>Raw_Data!W572</f>
        <v>5</v>
      </c>
      <c r="AA581" s="24">
        <f>Raw_Data!X572</f>
        <v>0.9</v>
      </c>
      <c r="AB581" s="23" t="str">
        <f>IF(COUNTIFS(Raw_Data!$A$2:$A$616,Raw_Data!A572)&gt;1,"Duplicate","Unique")</f>
        <v>Unique</v>
      </c>
      <c r="AC581" s="23" t="str">
        <f t="shared" si="26"/>
        <v>Clean</v>
      </c>
    </row>
    <row r="582" spans="1:29" ht="15" customHeight="1">
      <c r="A582" s="25" t="str">
        <f>Raw_Data!A573</f>
        <v>BYJ1572</v>
      </c>
      <c r="B582" s="25" t="str">
        <f>Raw_Data!B573</f>
        <v>Aadhya Chauhan</v>
      </c>
      <c r="C582" s="26">
        <f>IF(OR(Raw_Data!C573="",Raw_Data!C573&lt;$C$5,Raw_Data!C573&gt;$C$6),$C$4,Raw_Data!C573)</f>
        <v>11</v>
      </c>
      <c r="D582" s="25" t="str">
        <f>IF(Raw_Data!C573="","Missing-Imputed",IF(OR(Raw_Data!C573&lt;$C$5,Raw_Data!C573&gt;$C$6),"Outlier-Imputed","Original"))</f>
        <v>Original</v>
      </c>
      <c r="E582" s="25" t="str">
        <f>IF(OR(UPPER(TRIM(Raw_Data!D573))="M",UPPER(TRIM(Raw_Data!D573))="MALE"),"Male","Female")</f>
        <v>Male</v>
      </c>
      <c r="F582" s="25" t="str">
        <f>PROPER(TRIM(Raw_Data!E573))</f>
        <v>Ambattur</v>
      </c>
      <c r="G582" s="25" t="str">
        <f>PROPER(TRIM(Raw_Data!F573))</f>
        <v>Karnataka</v>
      </c>
      <c r="H582" s="25" t="str">
        <f>PROPER(TRIM(Raw_Data!G573))</f>
        <v>Jee Prep</v>
      </c>
      <c r="I582" s="25" t="str">
        <f>PROPER(TRIM(Raw_Data!H573))</f>
        <v>Lucknow Hub</v>
      </c>
      <c r="J582" s="26">
        <f>IF(LEN(TRIM(Raw_Data!I573))=4,VALUE(TRIM(Raw_Data!I573)),IF(ISNUMBER(IFERROR(VALUE(MID(TRIM(Raw_Data!I573),1,4)),"NA")),VALUE(MID(TRIM(Raw_Data!I573),1,4)),VALUE(RIGHT(TRIM(Raw_Data!I573),4))))</f>
        <v>2022</v>
      </c>
      <c r="K582" s="25" t="str">
        <f>PROPER(TRIM(Raw_Data!J573))</f>
        <v>Business</v>
      </c>
      <c r="L582" s="25" t="str">
        <f t="shared" si="24"/>
        <v>10-13</v>
      </c>
      <c r="M582" s="25" t="str">
        <f t="shared" si="25"/>
        <v>Kids</v>
      </c>
      <c r="N582" s="25" t="str">
        <f>IF(ISNUMBER(SEARCH("NON",UPPER(Raw_Data!M573))),"Non-Premium Learner","Premium Learner")</f>
        <v>Non-Premium Learner</v>
      </c>
      <c r="O582" s="25" t="str">
        <f>PROPER(TRIM(Raw_Data!N573))</f>
        <v>Both App &amp; Web</v>
      </c>
      <c r="P582" s="26">
        <f>IF(Raw_Data!O573="",$C$7,Raw_Data!O573)</f>
        <v>44210.34</v>
      </c>
      <c r="Q582" s="25" t="str">
        <f>IF(Raw_Data!O573="","Missing-Imputed","Original")</f>
        <v>Original</v>
      </c>
      <c r="R582" s="26">
        <f>Raw_Data!P573</f>
        <v>55.3</v>
      </c>
      <c r="S582" s="26">
        <f>Raw_Data!Q573</f>
        <v>33581.33</v>
      </c>
      <c r="T582" s="25" t="str">
        <f>IF(Raw_Data!R573="","Unknown",IF(ISNUMBER(SEARCH("ACT",UPPER(Raw_Data!R573))),"Active",IF(ISNUMBER(SEARCH("CLOS",UPPER(Raw_Data!R573))),"Closed","None")))</f>
        <v>None</v>
      </c>
      <c r="U582" s="26">
        <f>IF(Raw_Data!S573="",$C$8,VALUE(Raw_Data!S573))</f>
        <v>774</v>
      </c>
      <c r="V582" s="25" t="str">
        <f>IF(Raw_Data!S573="","Missing-Imputed","Original")</f>
        <v>Original</v>
      </c>
      <c r="W582" s="26">
        <f>Raw_Data!T573</f>
        <v>100</v>
      </c>
      <c r="X582" s="25" t="str">
        <f>IF(ISNUMBER(SEARCH("Y",UPPER(TRIM(Raw_Data!U573)))),"Yes","No")</f>
        <v>No</v>
      </c>
      <c r="Y582" s="25" t="str">
        <f>IF(ISNUMBER(SEARCH("Y",UPPER(TRIM(Raw_Data!V573)))),"Yes","No")</f>
        <v>No</v>
      </c>
      <c r="Z582" s="26">
        <f>Raw_Data!W573</f>
        <v>5</v>
      </c>
      <c r="AA582" s="26">
        <f>Raw_Data!X573</f>
        <v>3.5</v>
      </c>
      <c r="AB582" s="25" t="str">
        <f>IF(COUNTIFS(Raw_Data!$A$2:$A$616,Raw_Data!A573)&gt;1,"Duplicate","Unique")</f>
        <v>Unique</v>
      </c>
      <c r="AC582" s="25" t="str">
        <f t="shared" si="26"/>
        <v>Clean</v>
      </c>
    </row>
    <row r="583" spans="1:29" ht="15" customHeight="1">
      <c r="A583" s="23" t="str">
        <f>Raw_Data!A574</f>
        <v>BYJ1573</v>
      </c>
      <c r="B583" s="23" t="str">
        <f>Raw_Data!B574</f>
        <v>Chaitanya Arora</v>
      </c>
      <c r="C583" s="24">
        <f>IF(OR(Raw_Data!C574="",Raw_Data!C574&lt;$C$5,Raw_Data!C574&gt;$C$6),$C$4,Raw_Data!C574)</f>
        <v>11</v>
      </c>
      <c r="D583" s="23" t="str">
        <f>IF(Raw_Data!C574="","Missing-Imputed",IF(OR(Raw_Data!C574&lt;$C$5,Raw_Data!C574&gt;$C$6),"Outlier-Imputed","Original"))</f>
        <v>Original</v>
      </c>
      <c r="E583" s="23" t="str">
        <f>IF(OR(UPPER(TRIM(Raw_Data!D574))="M",UPPER(TRIM(Raw_Data!D574))="MALE"),"Male","Female")</f>
        <v>Female</v>
      </c>
      <c r="F583" s="23" t="str">
        <f>PROPER(TRIM(Raw_Data!E574))</f>
        <v>Ranchi</v>
      </c>
      <c r="G583" s="23" t="str">
        <f>PROPER(TRIM(Raw_Data!F574))</f>
        <v>Tamil Nadu</v>
      </c>
      <c r="H583" s="23" t="str">
        <f>PROPER(TRIM(Raw_Data!G574))</f>
        <v>Spoken English</v>
      </c>
      <c r="I583" s="23" t="str">
        <f>PROPER(TRIM(Raw_Data!H574))</f>
        <v>Jaipur Center</v>
      </c>
      <c r="J583" s="24">
        <f>IF(LEN(TRIM(Raw_Data!I574))=4,VALUE(TRIM(Raw_Data!I574)),IF(ISNUMBER(IFERROR(VALUE(MID(TRIM(Raw_Data!I574),1,4)),"NA")),VALUE(MID(TRIM(Raw_Data!I574),1,4)),VALUE(RIGHT(TRIM(Raw_Data!I574),4))))</f>
        <v>2019</v>
      </c>
      <c r="K583" s="23" t="str">
        <f>PROPER(TRIM(Raw_Data!J574))</f>
        <v>Retired</v>
      </c>
      <c r="L583" s="23" t="str">
        <f t="shared" si="24"/>
        <v>10-13</v>
      </c>
      <c r="M583" s="23" t="str">
        <f t="shared" si="25"/>
        <v>Kids</v>
      </c>
      <c r="N583" s="23" t="str">
        <f>IF(ISNUMBER(SEARCH("NON",UPPER(Raw_Data!M574))),"Non-Premium Learner","Premium Learner")</f>
        <v>Non-Premium Learner</v>
      </c>
      <c r="O583" s="23" t="str">
        <f>PROPER(TRIM(Raw_Data!N574))</f>
        <v>Both App &amp; Web</v>
      </c>
      <c r="P583" s="24">
        <f>IF(Raw_Data!O574="",$C$7,Raw_Data!O574)</f>
        <v>37498.949999999997</v>
      </c>
      <c r="Q583" s="23" t="str">
        <f>IF(Raw_Data!O574="","Missing-Imputed","Original")</f>
        <v>Original</v>
      </c>
      <c r="R583" s="24">
        <f>Raw_Data!P574</f>
        <v>31.6</v>
      </c>
      <c r="S583" s="24">
        <f>Raw_Data!Q574</f>
        <v>46741.84</v>
      </c>
      <c r="T583" s="23" t="str">
        <f>IF(Raw_Data!R574="","Unknown",IF(ISNUMBER(SEARCH("ACT",UPPER(Raw_Data!R574))),"Active",IF(ISNUMBER(SEARCH("CLOS",UPPER(Raw_Data!R574))),"Closed","None")))</f>
        <v>Closed</v>
      </c>
      <c r="U583" s="24">
        <f>IF(Raw_Data!S574="",$C$8,VALUE(Raw_Data!S574))</f>
        <v>707</v>
      </c>
      <c r="V583" s="23" t="str">
        <f>IF(Raw_Data!S574="","Missing-Imputed","Original")</f>
        <v>Original</v>
      </c>
      <c r="W583" s="24">
        <f>Raw_Data!T574</f>
        <v>163</v>
      </c>
      <c r="X583" s="23" t="str">
        <f>IF(ISNUMBER(SEARCH("Y",UPPER(TRIM(Raw_Data!U574)))),"Yes","No")</f>
        <v>Yes</v>
      </c>
      <c r="Y583" s="23" t="str">
        <f>IF(ISNUMBER(SEARCH("Y",UPPER(TRIM(Raw_Data!V574)))),"Yes","No")</f>
        <v>No</v>
      </c>
      <c r="Z583" s="24">
        <f>Raw_Data!W574</f>
        <v>4</v>
      </c>
      <c r="AA583" s="24">
        <f>Raw_Data!X574</f>
        <v>5.0999999999999996</v>
      </c>
      <c r="AB583" s="23" t="str">
        <f>IF(COUNTIFS(Raw_Data!$A$2:$A$616,Raw_Data!A574)&gt;1,"Duplicate","Unique")</f>
        <v>Unique</v>
      </c>
      <c r="AC583" s="23" t="str">
        <f t="shared" si="26"/>
        <v>Clean</v>
      </c>
    </row>
    <row r="584" spans="1:29" ht="15" customHeight="1">
      <c r="A584" s="25" t="str">
        <f>Raw_Data!A575</f>
        <v>BYJ1574</v>
      </c>
      <c r="B584" s="25" t="str">
        <f>Raw_Data!B575</f>
        <v>Januja Rajagopal</v>
      </c>
      <c r="C584" s="26">
        <f>IF(OR(Raw_Data!C575="",Raw_Data!C575&lt;$C$5,Raw_Data!C575&gt;$C$6),$C$4,Raw_Data!C575)</f>
        <v>33</v>
      </c>
      <c r="D584" s="25" t="str">
        <f>IF(Raw_Data!C575="","Missing-Imputed",IF(OR(Raw_Data!C575&lt;$C$5,Raw_Data!C575&gt;$C$6),"Outlier-Imputed","Original"))</f>
        <v>Original</v>
      </c>
      <c r="E584" s="25" t="str">
        <f>IF(OR(UPPER(TRIM(Raw_Data!D575))="M",UPPER(TRIM(Raw_Data!D575))="MALE"),"Male","Female")</f>
        <v>Male</v>
      </c>
      <c r="F584" s="25" t="str">
        <f>PROPER(TRIM(Raw_Data!E575))</f>
        <v>Mangalore</v>
      </c>
      <c r="G584" s="25" t="str">
        <f>PROPER(TRIM(Raw_Data!F575))</f>
        <v>Telangana</v>
      </c>
      <c r="H584" s="25" t="str">
        <f>PROPER(TRIM(Raw_Data!G575))</f>
        <v>Science</v>
      </c>
      <c r="I584" s="25" t="str">
        <f>PROPER(TRIM(Raw_Data!H575))</f>
        <v>Bengaluru South</v>
      </c>
      <c r="J584" s="26">
        <f>IF(LEN(TRIM(Raw_Data!I575))=4,VALUE(TRIM(Raw_Data!I575)),IF(ISNUMBER(IFERROR(VALUE(MID(TRIM(Raw_Data!I575),1,4)),"NA")),VALUE(MID(TRIM(Raw_Data!I575),1,4)),VALUE(RIGHT(TRIM(Raw_Data!I575),4))))</f>
        <v>2023</v>
      </c>
      <c r="K584" s="25" t="str">
        <f>PROPER(TRIM(Raw_Data!J575))</f>
        <v>Salaried</v>
      </c>
      <c r="L584" s="25" t="str">
        <f t="shared" si="24"/>
        <v>20+</v>
      </c>
      <c r="M584" s="25" t="str">
        <f t="shared" si="25"/>
        <v>Adult Learners</v>
      </c>
      <c r="N584" s="25" t="str">
        <f>IF(ISNUMBER(SEARCH("NON",UPPER(Raw_Data!M575))),"Non-Premium Learner","Premium Learner")</f>
        <v>Non-Premium Learner</v>
      </c>
      <c r="O584" s="25" t="str">
        <f>PROPER(TRIM(Raw_Data!N575))</f>
        <v>Web Only</v>
      </c>
      <c r="P584" s="26">
        <f>IF(Raw_Data!O575="",$C$7,Raw_Data!O575)</f>
        <v>89099.62</v>
      </c>
      <c r="Q584" s="25" t="str">
        <f>IF(Raw_Data!O575="","Missing-Imputed","Original")</f>
        <v>Original</v>
      </c>
      <c r="R584" s="26">
        <f>Raw_Data!P575</f>
        <v>52.3</v>
      </c>
      <c r="S584" s="26">
        <f>Raw_Data!Q575</f>
        <v>16513.03</v>
      </c>
      <c r="T584" s="25" t="str">
        <f>IF(Raw_Data!R575="","Unknown",IF(ISNUMBER(SEARCH("ACT",UPPER(Raw_Data!R575))),"Active",IF(ISNUMBER(SEARCH("CLOS",UPPER(Raw_Data!R575))),"Closed","None")))</f>
        <v>None</v>
      </c>
      <c r="U584" s="26">
        <f>IF(Raw_Data!S575="",$C$8,VALUE(Raw_Data!S575))</f>
        <v>300</v>
      </c>
      <c r="V584" s="25" t="str">
        <f>IF(Raw_Data!S575="","Missing-Imputed","Original")</f>
        <v>Original</v>
      </c>
      <c r="W584" s="26">
        <f>Raw_Data!T575</f>
        <v>146</v>
      </c>
      <c r="X584" s="25" t="str">
        <f>IF(ISNUMBER(SEARCH("Y",UPPER(TRIM(Raw_Data!U575)))),"Yes","No")</f>
        <v>Yes</v>
      </c>
      <c r="Y584" s="25" t="str">
        <f>IF(ISNUMBER(SEARCH("Y",UPPER(TRIM(Raw_Data!V575)))),"Yes","No")</f>
        <v>No</v>
      </c>
      <c r="Z584" s="26">
        <f>Raw_Data!W575</f>
        <v>5</v>
      </c>
      <c r="AA584" s="26">
        <f>Raw_Data!X575</f>
        <v>0.8</v>
      </c>
      <c r="AB584" s="25" t="str">
        <f>IF(COUNTIFS(Raw_Data!$A$2:$A$616,Raw_Data!A575)&gt;1,"Duplicate","Unique")</f>
        <v>Unique</v>
      </c>
      <c r="AC584" s="25" t="str">
        <f t="shared" si="26"/>
        <v>Clean</v>
      </c>
    </row>
    <row r="585" spans="1:29" ht="15" customHeight="1">
      <c r="A585" s="23" t="str">
        <f>Raw_Data!A576</f>
        <v>BYJ1575</v>
      </c>
      <c r="B585" s="23" t="str">
        <f>Raw_Data!B576</f>
        <v>Oni Kapur</v>
      </c>
      <c r="C585" s="24">
        <f>IF(OR(Raw_Data!C576="",Raw_Data!C576&lt;$C$5,Raw_Data!C576&gt;$C$6),$C$4,Raw_Data!C576)</f>
        <v>31</v>
      </c>
      <c r="D585" s="23" t="str">
        <f>IF(Raw_Data!C576="","Missing-Imputed",IF(OR(Raw_Data!C576&lt;$C$5,Raw_Data!C576&gt;$C$6),"Outlier-Imputed","Original"))</f>
        <v>Original</v>
      </c>
      <c r="E585" s="23" t="str">
        <f>IF(OR(UPPER(TRIM(Raw_Data!D576))="M",UPPER(TRIM(Raw_Data!D576))="MALE"),"Male","Female")</f>
        <v>Female</v>
      </c>
      <c r="F585" s="23" t="str">
        <f>PROPER(TRIM(Raw_Data!E576))</f>
        <v>Kulti</v>
      </c>
      <c r="G585" s="23" t="str">
        <f>PROPER(TRIM(Raw_Data!F576))</f>
        <v>Uttar Pradesh</v>
      </c>
      <c r="H585" s="23" t="str">
        <f>PROPER(TRIM(Raw_Data!G576))</f>
        <v>Spoken English</v>
      </c>
      <c r="I585" s="23" t="str">
        <f>PROPER(TRIM(Raw_Data!H576))</f>
        <v>Lucknow Hub</v>
      </c>
      <c r="J585" s="24">
        <f>IF(LEN(TRIM(Raw_Data!I576))=4,VALUE(TRIM(Raw_Data!I576)),IF(ISNUMBER(IFERROR(VALUE(MID(TRIM(Raw_Data!I576),1,4)),"NA")),VALUE(MID(TRIM(Raw_Data!I576),1,4)),VALUE(RIGHT(TRIM(Raw_Data!I576),4))))</f>
        <v>2025</v>
      </c>
      <c r="K585" s="23" t="str">
        <f>PROPER(TRIM(Raw_Data!J576))</f>
        <v>Government Employee</v>
      </c>
      <c r="L585" s="23" t="str">
        <f t="shared" si="24"/>
        <v>20+</v>
      </c>
      <c r="M585" s="23" t="str">
        <f t="shared" si="25"/>
        <v>Adult Learners</v>
      </c>
      <c r="N585" s="23" t="str">
        <f>IF(ISNUMBER(SEARCH("NON",UPPER(Raw_Data!M576))),"Non-Premium Learner","Premium Learner")</f>
        <v>Non-Premium Learner</v>
      </c>
      <c r="O585" s="23" t="str">
        <f>PROPER(TRIM(Raw_Data!N576))</f>
        <v>App Only</v>
      </c>
      <c r="P585" s="24">
        <f>IF(Raw_Data!O576="",$C$7,Raw_Data!O576)</f>
        <v>36095.51</v>
      </c>
      <c r="Q585" s="23" t="str">
        <f>IF(Raw_Data!O576="","Missing-Imputed","Original")</f>
        <v>Original</v>
      </c>
      <c r="R585" s="24">
        <f>Raw_Data!P576</f>
        <v>49</v>
      </c>
      <c r="S585" s="24">
        <f>Raw_Data!Q576</f>
        <v>45401.32</v>
      </c>
      <c r="T585" s="23" t="str">
        <f>IF(Raw_Data!R576="","Unknown",IF(ISNUMBER(SEARCH("ACT",UPPER(Raw_Data!R576))),"Active",IF(ISNUMBER(SEARCH("CLOS",UPPER(Raw_Data!R576))),"Closed","None")))</f>
        <v>None</v>
      </c>
      <c r="U585" s="24">
        <f>IF(Raw_Data!S576="",$C$8,VALUE(Raw_Data!S576))</f>
        <v>666</v>
      </c>
      <c r="V585" s="23" t="str">
        <f>IF(Raw_Data!S576="","Missing-Imputed","Original")</f>
        <v>Original</v>
      </c>
      <c r="W585" s="24">
        <f>Raw_Data!T576</f>
        <v>153</v>
      </c>
      <c r="X585" s="23" t="str">
        <f>IF(ISNUMBER(SEARCH("Y",UPPER(TRIM(Raw_Data!U576)))),"Yes","No")</f>
        <v>Yes</v>
      </c>
      <c r="Y585" s="23" t="str">
        <f>IF(ISNUMBER(SEARCH("Y",UPPER(TRIM(Raw_Data!V576)))),"Yes","No")</f>
        <v>No</v>
      </c>
      <c r="Z585" s="24">
        <f>Raw_Data!W576</f>
        <v>2</v>
      </c>
      <c r="AA585" s="24">
        <f>Raw_Data!X576</f>
        <v>2.2999999999999998</v>
      </c>
      <c r="AB585" s="23" t="str">
        <f>IF(COUNTIFS(Raw_Data!$A$2:$A$616,Raw_Data!A576)&gt;1,"Duplicate","Unique")</f>
        <v>Unique</v>
      </c>
      <c r="AC585" s="23" t="str">
        <f t="shared" si="26"/>
        <v>Clean</v>
      </c>
    </row>
    <row r="586" spans="1:29" ht="15" customHeight="1">
      <c r="A586" s="25" t="str">
        <f>Raw_Data!A577</f>
        <v>BYJ1576</v>
      </c>
      <c r="B586" s="25" t="str">
        <f>Raw_Data!B577</f>
        <v>Ekaja Madan</v>
      </c>
      <c r="C586" s="26">
        <f>IF(OR(Raw_Data!C577="",Raw_Data!C577&lt;$C$5,Raw_Data!C577&gt;$C$6),$C$4,Raw_Data!C577)</f>
        <v>27</v>
      </c>
      <c r="D586" s="25" t="str">
        <f>IF(Raw_Data!C577="","Missing-Imputed",IF(OR(Raw_Data!C577&lt;$C$5,Raw_Data!C577&gt;$C$6),"Outlier-Imputed","Original"))</f>
        <v>Original</v>
      </c>
      <c r="E586" s="25" t="str">
        <f>IF(OR(UPPER(TRIM(Raw_Data!D577))="M",UPPER(TRIM(Raw_Data!D577))="MALE"),"Male","Female")</f>
        <v>Male</v>
      </c>
      <c r="F586" s="25" t="str">
        <f>PROPER(TRIM(Raw_Data!E577))</f>
        <v>Aurangabad</v>
      </c>
      <c r="G586" s="25" t="str">
        <f>PROPER(TRIM(Raw_Data!F577))</f>
        <v>Telangana</v>
      </c>
      <c r="H586" s="25" t="str">
        <f>PROPER(TRIM(Raw_Data!G577))</f>
        <v>Neet Prep</v>
      </c>
      <c r="I586" s="25" t="str">
        <f>PROPER(TRIM(Raw_Data!H577))</f>
        <v>Jaipur Center</v>
      </c>
      <c r="J586" s="26">
        <f>IF(LEN(TRIM(Raw_Data!I577))=4,VALUE(TRIM(Raw_Data!I577)),IF(ISNUMBER(IFERROR(VALUE(MID(TRIM(Raw_Data!I577),1,4)),"NA")),VALUE(MID(TRIM(Raw_Data!I577),1,4)),VALUE(RIGHT(TRIM(Raw_Data!I577),4))))</f>
        <v>2024</v>
      </c>
      <c r="K586" s="25" t="str">
        <f>PROPER(TRIM(Raw_Data!J577))</f>
        <v>Retired</v>
      </c>
      <c r="L586" s="25" t="str">
        <f t="shared" si="24"/>
        <v>20+</v>
      </c>
      <c r="M586" s="25" t="str">
        <f t="shared" si="25"/>
        <v>Adult Learners</v>
      </c>
      <c r="N586" s="25" t="str">
        <f>IF(ISNUMBER(SEARCH("NON",UPPER(Raw_Data!M577))),"Non-Premium Learner","Premium Learner")</f>
        <v>Premium Learner</v>
      </c>
      <c r="O586" s="25" t="str">
        <f>PROPER(TRIM(Raw_Data!N577))</f>
        <v>Web Only</v>
      </c>
      <c r="P586" s="26">
        <f>IF(Raw_Data!O577="",$C$7,Raw_Data!O577)</f>
        <v>113819.09</v>
      </c>
      <c r="Q586" s="25" t="str">
        <f>IF(Raw_Data!O577="","Missing-Imputed","Original")</f>
        <v>Original</v>
      </c>
      <c r="R586" s="26">
        <f>Raw_Data!P577</f>
        <v>24.7</v>
      </c>
      <c r="S586" s="26">
        <f>Raw_Data!Q577</f>
        <v>36976.78</v>
      </c>
      <c r="T586" s="25" t="str">
        <f>IF(Raw_Data!R577="","Unknown",IF(ISNUMBER(SEARCH("ACT",UPPER(Raw_Data!R577))),"Active",IF(ISNUMBER(SEARCH("CLOS",UPPER(Raw_Data!R577))),"Closed","None")))</f>
        <v>Closed</v>
      </c>
      <c r="U586" s="26">
        <f>IF(Raw_Data!S577="",$C$8,VALUE(Raw_Data!S577))</f>
        <v>332</v>
      </c>
      <c r="V586" s="25" t="str">
        <f>IF(Raw_Data!S577="","Missing-Imputed","Original")</f>
        <v>Original</v>
      </c>
      <c r="W586" s="26">
        <f>Raw_Data!T577</f>
        <v>178</v>
      </c>
      <c r="X586" s="25" t="str">
        <f>IF(ISNUMBER(SEARCH("Y",UPPER(TRIM(Raw_Data!U577)))),"Yes","No")</f>
        <v>No</v>
      </c>
      <c r="Y586" s="25" t="str">
        <f>IF(ISNUMBER(SEARCH("Y",UPPER(TRIM(Raw_Data!V577)))),"Yes","No")</f>
        <v>Yes</v>
      </c>
      <c r="Z586" s="26">
        <f>Raw_Data!W577</f>
        <v>4</v>
      </c>
      <c r="AA586" s="26">
        <f>Raw_Data!X577</f>
        <v>7.7</v>
      </c>
      <c r="AB586" s="25" t="str">
        <f>IF(COUNTIFS(Raw_Data!$A$2:$A$616,Raw_Data!A577)&gt;1,"Duplicate","Unique")</f>
        <v>Unique</v>
      </c>
      <c r="AC586" s="25" t="str">
        <f t="shared" si="26"/>
        <v>Clean</v>
      </c>
    </row>
    <row r="587" spans="1:29" ht="15" customHeight="1">
      <c r="A587" s="23" t="str">
        <f>Raw_Data!A578</f>
        <v>BYJ1577</v>
      </c>
      <c r="B587" s="23" t="str">
        <f>Raw_Data!B578</f>
        <v>Jagdish Thakkar</v>
      </c>
      <c r="C587" s="24">
        <f>IF(OR(Raw_Data!C578="",Raw_Data!C578&lt;$C$5,Raw_Data!C578&gt;$C$6),$C$4,Raw_Data!C578)</f>
        <v>10</v>
      </c>
      <c r="D587" s="23" t="str">
        <f>IF(Raw_Data!C578="","Missing-Imputed",IF(OR(Raw_Data!C578&lt;$C$5,Raw_Data!C578&gt;$C$6),"Outlier-Imputed","Original"))</f>
        <v>Original</v>
      </c>
      <c r="E587" s="23" t="str">
        <f>IF(OR(UPPER(TRIM(Raw_Data!D578))="M",UPPER(TRIM(Raw_Data!D578))="MALE"),"Male","Female")</f>
        <v>Male</v>
      </c>
      <c r="F587" s="23" t="str">
        <f>PROPER(TRIM(Raw_Data!E578))</f>
        <v>Mangalore</v>
      </c>
      <c r="G587" s="23" t="str">
        <f>PROPER(TRIM(Raw_Data!F578))</f>
        <v>Kerala</v>
      </c>
      <c r="H587" s="23" t="str">
        <f>PROPER(TRIM(Raw_Data!G578))</f>
        <v>Coding</v>
      </c>
      <c r="I587" s="23" t="str">
        <f>PROPER(TRIM(Raw_Data!H578))</f>
        <v>Jaipur Center</v>
      </c>
      <c r="J587" s="24">
        <f>IF(LEN(TRIM(Raw_Data!I578))=4,VALUE(TRIM(Raw_Data!I578)),IF(ISNUMBER(IFERROR(VALUE(MID(TRIM(Raw_Data!I578),1,4)),"NA")),VALUE(MID(TRIM(Raw_Data!I578),1,4)),VALUE(RIGHT(TRIM(Raw_Data!I578),4))))</f>
        <v>2024</v>
      </c>
      <c r="K587" s="23" t="str">
        <f>PROPER(TRIM(Raw_Data!J578))</f>
        <v>Self-Employed</v>
      </c>
      <c r="L587" s="23" t="str">
        <f t="shared" ref="L587:L625" si="27">IF(C587&lt;10,"Under 10",IF(C587&lt;=13,"10-13",IF(C587&lt;=16,"14-16",IF(C587&lt;=19,"17-19","20+"))))</f>
        <v>10-13</v>
      </c>
      <c r="M587" s="23" t="str">
        <f t="shared" ref="M587:M625" si="28">IF(OR(L587="Under 10",L587="10-13"),"Kids",IF(OR(L587="14-16",L587="17-19"),"Teens","Adult Learners"))</f>
        <v>Kids</v>
      </c>
      <c r="N587" s="23" t="str">
        <f>IF(ISNUMBER(SEARCH("NON",UPPER(Raw_Data!M578))),"Non-Premium Learner","Premium Learner")</f>
        <v>Non-Premium Learner</v>
      </c>
      <c r="O587" s="23" t="str">
        <f>PROPER(TRIM(Raw_Data!N578))</f>
        <v>Web Only</v>
      </c>
      <c r="P587" s="24">
        <f>IF(Raw_Data!O578="",$C$7,Raw_Data!O578)</f>
        <v>16544.82</v>
      </c>
      <c r="Q587" s="23" t="str">
        <f>IF(Raw_Data!O578="","Missing-Imputed","Original")</f>
        <v>Original</v>
      </c>
      <c r="R587" s="24">
        <f>Raw_Data!P578</f>
        <v>43.8</v>
      </c>
      <c r="S587" s="24">
        <f>Raw_Data!Q578</f>
        <v>59716.58</v>
      </c>
      <c r="T587" s="23" t="str">
        <f>IF(Raw_Data!R578="","Unknown",IF(ISNUMBER(SEARCH("ACT",UPPER(Raw_Data!R578))),"Active",IF(ISNUMBER(SEARCH("CLOS",UPPER(Raw_Data!R578))),"Closed","None")))</f>
        <v>Active</v>
      </c>
      <c r="U587" s="24">
        <f>IF(Raw_Data!S578="",$C$8,VALUE(Raw_Data!S578))</f>
        <v>489</v>
      </c>
      <c r="V587" s="23" t="str">
        <f>IF(Raw_Data!S578="","Missing-Imputed","Original")</f>
        <v>Original</v>
      </c>
      <c r="W587" s="24">
        <f>Raw_Data!T578</f>
        <v>160</v>
      </c>
      <c r="X587" s="23" t="str">
        <f>IF(ISNUMBER(SEARCH("Y",UPPER(TRIM(Raw_Data!U578)))),"Yes","No")</f>
        <v>No</v>
      </c>
      <c r="Y587" s="23" t="str">
        <f>IF(ISNUMBER(SEARCH("Y",UPPER(TRIM(Raw_Data!V578)))),"Yes","No")</f>
        <v>No</v>
      </c>
      <c r="Z587" s="24">
        <f>Raw_Data!W578</f>
        <v>5</v>
      </c>
      <c r="AA587" s="24">
        <f>Raw_Data!X578</f>
        <v>3.9</v>
      </c>
      <c r="AB587" s="23" t="str">
        <f>IF(COUNTIFS(Raw_Data!$A$2:$A$616,Raw_Data!A578)&gt;1,"Duplicate","Unique")</f>
        <v>Unique</v>
      </c>
      <c r="AC587" s="23" t="str">
        <f t="shared" ref="AC587:AC625" si="29">IF(AB587="Duplicate","Review-Duplicate",IF(OR(D587&lt;&gt;"Original",Q587&lt;&gt;"Original",V587&lt;&gt;"Original"),"Imputed","Clean"))</f>
        <v>Clean</v>
      </c>
    </row>
    <row r="588" spans="1:29" ht="15" customHeight="1">
      <c r="A588" s="25" t="str">
        <f>Raw_Data!A579</f>
        <v>BYJ1578</v>
      </c>
      <c r="B588" s="25" t="str">
        <f>Raw_Data!B579</f>
        <v>Zaitra Batra</v>
      </c>
      <c r="C588" s="26">
        <f>IF(OR(Raw_Data!C579="",Raw_Data!C579&lt;$C$5,Raw_Data!C579&gt;$C$6),$C$4,Raw_Data!C579)</f>
        <v>38</v>
      </c>
      <c r="D588" s="25" t="str">
        <f>IF(Raw_Data!C579="","Missing-Imputed",IF(OR(Raw_Data!C579&lt;$C$5,Raw_Data!C579&gt;$C$6),"Outlier-Imputed","Original"))</f>
        <v>Original</v>
      </c>
      <c r="E588" s="25" t="str">
        <f>IF(OR(UPPER(TRIM(Raw_Data!D579))="M",UPPER(TRIM(Raw_Data!D579))="MALE"),"Male","Female")</f>
        <v>Female</v>
      </c>
      <c r="F588" s="25" t="str">
        <f>PROPER(TRIM(Raw_Data!E579))</f>
        <v>Coimbatore</v>
      </c>
      <c r="G588" s="25" t="str">
        <f>PROPER(TRIM(Raw_Data!F579))</f>
        <v>Karnataka</v>
      </c>
      <c r="H588" s="25" t="str">
        <f>PROPER(TRIM(Raw_Data!G579))</f>
        <v>Neet Prep</v>
      </c>
      <c r="I588" s="25" t="str">
        <f>PROPER(TRIM(Raw_Data!H579))</f>
        <v>Pune East</v>
      </c>
      <c r="J588" s="26">
        <f>IF(LEN(TRIM(Raw_Data!I579))=4,VALUE(TRIM(Raw_Data!I579)),IF(ISNUMBER(IFERROR(VALUE(MID(TRIM(Raw_Data!I579),1,4)),"NA")),VALUE(MID(TRIM(Raw_Data!I579),1,4)),VALUE(RIGHT(TRIM(Raw_Data!I579),4))))</f>
        <v>2025</v>
      </c>
      <c r="K588" s="25" t="str">
        <f>PROPER(TRIM(Raw_Data!J579))</f>
        <v>Salaried</v>
      </c>
      <c r="L588" s="25" t="str">
        <f t="shared" si="27"/>
        <v>20+</v>
      </c>
      <c r="M588" s="25" t="str">
        <f t="shared" si="28"/>
        <v>Adult Learners</v>
      </c>
      <c r="N588" s="25" t="str">
        <f>IF(ISNUMBER(SEARCH("NON",UPPER(Raw_Data!M579))),"Non-Premium Learner","Premium Learner")</f>
        <v>Premium Learner</v>
      </c>
      <c r="O588" s="25" t="str">
        <f>PROPER(TRIM(Raw_Data!N579))</f>
        <v>Both App &amp; Web</v>
      </c>
      <c r="P588" s="26">
        <f>IF(Raw_Data!O579="",$C$7,Raw_Data!O579)</f>
        <v>103530.84</v>
      </c>
      <c r="Q588" s="25" t="str">
        <f>IF(Raw_Data!O579="","Missing-Imputed","Original")</f>
        <v>Original</v>
      </c>
      <c r="R588" s="26">
        <f>Raw_Data!P579</f>
        <v>56.6</v>
      </c>
      <c r="S588" s="26">
        <f>Raw_Data!Q579</f>
        <v>28665.4</v>
      </c>
      <c r="T588" s="25" t="str">
        <f>IF(Raw_Data!R579="","Unknown",IF(ISNUMBER(SEARCH("ACT",UPPER(Raw_Data!R579))),"Active",IF(ISNUMBER(SEARCH("CLOS",UPPER(Raw_Data!R579))),"Closed","None")))</f>
        <v>Closed</v>
      </c>
      <c r="U588" s="26">
        <f>IF(Raw_Data!S579="",$C$8,VALUE(Raw_Data!S579))</f>
        <v>690</v>
      </c>
      <c r="V588" s="25" t="str">
        <f>IF(Raw_Data!S579="","Missing-Imputed","Original")</f>
        <v>Original</v>
      </c>
      <c r="W588" s="26">
        <f>Raw_Data!T579</f>
        <v>11</v>
      </c>
      <c r="X588" s="25" t="str">
        <f>IF(ISNUMBER(SEARCH("Y",UPPER(TRIM(Raw_Data!U579)))),"Yes","No")</f>
        <v>No</v>
      </c>
      <c r="Y588" s="25" t="str">
        <f>IF(ISNUMBER(SEARCH("Y",UPPER(TRIM(Raw_Data!V579)))),"Yes","No")</f>
        <v>Yes</v>
      </c>
      <c r="Z588" s="26">
        <f>Raw_Data!W579</f>
        <v>1</v>
      </c>
      <c r="AA588" s="26">
        <f>Raw_Data!X579</f>
        <v>4.0999999999999996</v>
      </c>
      <c r="AB588" s="25" t="str">
        <f>IF(COUNTIFS(Raw_Data!$A$2:$A$616,Raw_Data!A579)&gt;1,"Duplicate","Unique")</f>
        <v>Unique</v>
      </c>
      <c r="AC588" s="25" t="str">
        <f t="shared" si="29"/>
        <v>Clean</v>
      </c>
    </row>
    <row r="589" spans="1:29" ht="15" customHeight="1">
      <c r="A589" s="23" t="str">
        <f>Raw_Data!A580</f>
        <v>BYJ1579</v>
      </c>
      <c r="B589" s="23" t="str">
        <f>Raw_Data!B580</f>
        <v>Barkha Mukhopadhyay</v>
      </c>
      <c r="C589" s="24">
        <f>IF(OR(Raw_Data!C580="",Raw_Data!C580&lt;$C$5,Raw_Data!C580&gt;$C$6),$C$4,Raw_Data!C580)</f>
        <v>44</v>
      </c>
      <c r="D589" s="23" t="str">
        <f>IF(Raw_Data!C580="","Missing-Imputed",IF(OR(Raw_Data!C580&lt;$C$5,Raw_Data!C580&gt;$C$6),"Outlier-Imputed","Original"))</f>
        <v>Original</v>
      </c>
      <c r="E589" s="23" t="str">
        <f>IF(OR(UPPER(TRIM(Raw_Data!D580))="M",UPPER(TRIM(Raw_Data!D580))="MALE"),"Male","Female")</f>
        <v>Female</v>
      </c>
      <c r="F589" s="23" t="str">
        <f>PROPER(TRIM(Raw_Data!E580))</f>
        <v>Chandigarh</v>
      </c>
      <c r="G589" s="23" t="str">
        <f>PROPER(TRIM(Raw_Data!F580))</f>
        <v>Delhi</v>
      </c>
      <c r="H589" s="23" t="str">
        <f>PROPER(TRIM(Raw_Data!G580))</f>
        <v>Robotics</v>
      </c>
      <c r="I589" s="23" t="str">
        <f>PROPER(TRIM(Raw_Data!H580))</f>
        <v>Mumbai West</v>
      </c>
      <c r="J589" s="24">
        <f>IF(LEN(TRIM(Raw_Data!I580))=4,VALUE(TRIM(Raw_Data!I580)),IF(ISNUMBER(IFERROR(VALUE(MID(TRIM(Raw_Data!I580),1,4)),"NA")),VALUE(MID(TRIM(Raw_Data!I580),1,4)),VALUE(RIGHT(TRIM(Raw_Data!I580),4))))</f>
        <v>2017</v>
      </c>
      <c r="K589" s="23" t="str">
        <f>PROPER(TRIM(Raw_Data!J580))</f>
        <v>Homemaker</v>
      </c>
      <c r="L589" s="23" t="str">
        <f t="shared" si="27"/>
        <v>20+</v>
      </c>
      <c r="M589" s="23" t="str">
        <f t="shared" si="28"/>
        <v>Adult Learners</v>
      </c>
      <c r="N589" s="23" t="str">
        <f>IF(ISNUMBER(SEARCH("NON",UPPER(Raw_Data!M580))),"Non-Premium Learner","Premium Learner")</f>
        <v>Non-Premium Learner</v>
      </c>
      <c r="O589" s="23" t="str">
        <f>PROPER(TRIM(Raw_Data!N580))</f>
        <v>Web Only</v>
      </c>
      <c r="P589" s="24">
        <f>IF(Raw_Data!O580="",$C$7,Raw_Data!O580)</f>
        <v>6113.36</v>
      </c>
      <c r="Q589" s="23" t="str">
        <f>IF(Raw_Data!O580="","Missing-Imputed","Original")</f>
        <v>Original</v>
      </c>
      <c r="R589" s="24">
        <f>Raw_Data!P580</f>
        <v>54.2</v>
      </c>
      <c r="S589" s="24">
        <f>Raw_Data!Q580</f>
        <v>34343.99</v>
      </c>
      <c r="T589" s="23" t="str">
        <f>IF(Raw_Data!R580="","Unknown",IF(ISNUMBER(SEARCH("ACT",UPPER(Raw_Data!R580))),"Active",IF(ISNUMBER(SEARCH("CLOS",UPPER(Raw_Data!R580))),"Closed","None")))</f>
        <v>Active</v>
      </c>
      <c r="U589" s="24">
        <f>IF(Raw_Data!S580="",$C$8,VALUE(Raw_Data!S580))</f>
        <v>843</v>
      </c>
      <c r="V589" s="23" t="str">
        <f>IF(Raw_Data!S580="","Missing-Imputed","Original")</f>
        <v>Original</v>
      </c>
      <c r="W589" s="24">
        <f>Raw_Data!T580</f>
        <v>64</v>
      </c>
      <c r="X589" s="23" t="str">
        <f>IF(ISNUMBER(SEARCH("Y",UPPER(TRIM(Raw_Data!U580)))),"Yes","No")</f>
        <v>Yes</v>
      </c>
      <c r="Y589" s="23" t="str">
        <f>IF(ISNUMBER(SEARCH("Y",UPPER(TRIM(Raw_Data!V580)))),"Yes","No")</f>
        <v>No</v>
      </c>
      <c r="Z589" s="24">
        <f>Raw_Data!W580</f>
        <v>4</v>
      </c>
      <c r="AA589" s="24">
        <f>Raw_Data!X580</f>
        <v>6.3</v>
      </c>
      <c r="AB589" s="23" t="str">
        <f>IF(COUNTIFS(Raw_Data!$A$2:$A$616,Raw_Data!A580)&gt;1,"Duplicate","Unique")</f>
        <v>Unique</v>
      </c>
      <c r="AC589" s="23" t="str">
        <f t="shared" si="29"/>
        <v>Clean</v>
      </c>
    </row>
    <row r="590" spans="1:29" ht="15" customHeight="1">
      <c r="A590" s="25" t="str">
        <f>Raw_Data!A581</f>
        <v>BYJ1580</v>
      </c>
      <c r="B590" s="25" t="str">
        <f>Raw_Data!B581</f>
        <v>Abhiram Pillay</v>
      </c>
      <c r="C590" s="26">
        <f>IF(OR(Raw_Data!C581="",Raw_Data!C581&lt;$C$5,Raw_Data!C581&gt;$C$6),$C$4,Raw_Data!C581)</f>
        <v>41</v>
      </c>
      <c r="D590" s="25" t="str">
        <f>IF(Raw_Data!C581="","Missing-Imputed",IF(OR(Raw_Data!C581&lt;$C$5,Raw_Data!C581&gt;$C$6),"Outlier-Imputed","Original"))</f>
        <v>Original</v>
      </c>
      <c r="E590" s="25" t="str">
        <f>IF(OR(UPPER(TRIM(Raw_Data!D581))="M",UPPER(TRIM(Raw_Data!D581))="MALE"),"Male","Female")</f>
        <v>Female</v>
      </c>
      <c r="F590" s="25" t="str">
        <f>PROPER(TRIM(Raw_Data!E581))</f>
        <v>Jalna</v>
      </c>
      <c r="G590" s="25" t="str">
        <f>PROPER(TRIM(Raw_Data!F581))</f>
        <v>Tamil Nadu</v>
      </c>
      <c r="H590" s="25" t="str">
        <f>PROPER(TRIM(Raw_Data!G581))</f>
        <v>Neet Prep</v>
      </c>
      <c r="I590" s="25" t="str">
        <f>PROPER(TRIM(Raw_Data!H581))</f>
        <v>Kolkata Main</v>
      </c>
      <c r="J590" s="26">
        <f>IF(LEN(TRIM(Raw_Data!I581))=4,VALUE(TRIM(Raw_Data!I581)),IF(ISNUMBER(IFERROR(VALUE(MID(TRIM(Raw_Data!I581),1,4)),"NA")),VALUE(MID(TRIM(Raw_Data!I581),1,4)),VALUE(RIGHT(TRIM(Raw_Data!I581),4))))</f>
        <v>2020</v>
      </c>
      <c r="K590" s="25" t="str">
        <f>PROPER(TRIM(Raw_Data!J581))</f>
        <v>Homemaker</v>
      </c>
      <c r="L590" s="25" t="str">
        <f t="shared" si="27"/>
        <v>20+</v>
      </c>
      <c r="M590" s="25" t="str">
        <f t="shared" si="28"/>
        <v>Adult Learners</v>
      </c>
      <c r="N590" s="25" t="str">
        <f>IF(ISNUMBER(SEARCH("NON",UPPER(Raw_Data!M581))),"Non-Premium Learner","Premium Learner")</f>
        <v>Non-Premium Learner</v>
      </c>
      <c r="O590" s="25" t="str">
        <f>PROPER(TRIM(Raw_Data!N581))</f>
        <v>Web Only</v>
      </c>
      <c r="P590" s="26">
        <f>IF(Raw_Data!O581="",$C$7,Raw_Data!O581)</f>
        <v>54287.93</v>
      </c>
      <c r="Q590" s="25" t="str">
        <f>IF(Raw_Data!O581="","Missing-Imputed","Original")</f>
        <v>Original</v>
      </c>
      <c r="R590" s="26">
        <f>Raw_Data!P581</f>
        <v>47.8</v>
      </c>
      <c r="S590" s="26">
        <f>Raw_Data!Q581</f>
        <v>46951.01</v>
      </c>
      <c r="T590" s="25" t="str">
        <f>IF(Raw_Data!R581="","Unknown",IF(ISNUMBER(SEARCH("ACT",UPPER(Raw_Data!R581))),"Active",IF(ISNUMBER(SEARCH("CLOS",UPPER(Raw_Data!R581))),"Closed","None")))</f>
        <v>Closed</v>
      </c>
      <c r="U590" s="26">
        <f>IF(Raw_Data!S581="",$C$8,VALUE(Raw_Data!S581))</f>
        <v>526</v>
      </c>
      <c r="V590" s="25" t="str">
        <f>IF(Raw_Data!S581="","Missing-Imputed","Original")</f>
        <v>Original</v>
      </c>
      <c r="W590" s="26">
        <f>Raw_Data!T581</f>
        <v>129</v>
      </c>
      <c r="X590" s="25" t="str">
        <f>IF(ISNUMBER(SEARCH("Y",UPPER(TRIM(Raw_Data!U581)))),"Yes","No")</f>
        <v>Yes</v>
      </c>
      <c r="Y590" s="25" t="str">
        <f>IF(ISNUMBER(SEARCH("Y",UPPER(TRIM(Raw_Data!V581)))),"Yes","No")</f>
        <v>Yes</v>
      </c>
      <c r="Z590" s="26">
        <f>Raw_Data!W581</f>
        <v>3</v>
      </c>
      <c r="AA590" s="26">
        <f>Raw_Data!X581</f>
        <v>2.7</v>
      </c>
      <c r="AB590" s="25" t="str">
        <f>IF(COUNTIFS(Raw_Data!$A$2:$A$616,Raw_Data!A581)&gt;1,"Duplicate","Unique")</f>
        <v>Unique</v>
      </c>
      <c r="AC590" s="25" t="str">
        <f t="shared" si="29"/>
        <v>Clean</v>
      </c>
    </row>
    <row r="591" spans="1:29" ht="15" customHeight="1">
      <c r="A591" s="23" t="str">
        <f>Raw_Data!A582</f>
        <v>BYJ1581</v>
      </c>
      <c r="B591" s="23" t="str">
        <f>Raw_Data!B582</f>
        <v>Xavier Shetty</v>
      </c>
      <c r="C591" s="24">
        <f>IF(OR(Raw_Data!C582="",Raw_Data!C582&lt;$C$5,Raw_Data!C582&gt;$C$6),$C$4,Raw_Data!C582)</f>
        <v>14</v>
      </c>
      <c r="D591" s="23" t="str">
        <f>IF(Raw_Data!C582="","Missing-Imputed",IF(OR(Raw_Data!C582&lt;$C$5,Raw_Data!C582&gt;$C$6),"Outlier-Imputed","Original"))</f>
        <v>Original</v>
      </c>
      <c r="E591" s="23" t="str">
        <f>IF(OR(UPPER(TRIM(Raw_Data!D582))="M",UPPER(TRIM(Raw_Data!D582))="MALE"),"Male","Female")</f>
        <v>Male</v>
      </c>
      <c r="F591" s="23" t="str">
        <f>PROPER(TRIM(Raw_Data!E582))</f>
        <v>Gudivada</v>
      </c>
      <c r="G591" s="23" t="str">
        <f>PROPER(TRIM(Raw_Data!F582))</f>
        <v>Telangana</v>
      </c>
      <c r="H591" s="23" t="str">
        <f>PROPER(TRIM(Raw_Data!G582))</f>
        <v>Coding</v>
      </c>
      <c r="I591" s="23" t="str">
        <f>PROPER(TRIM(Raw_Data!H582))</f>
        <v>Bengaluru South</v>
      </c>
      <c r="J591" s="24">
        <f>IF(LEN(TRIM(Raw_Data!I582))=4,VALUE(TRIM(Raw_Data!I582)),IF(ISNUMBER(IFERROR(VALUE(MID(TRIM(Raw_Data!I582),1,4)),"NA")),VALUE(MID(TRIM(Raw_Data!I582),1,4)),VALUE(RIGHT(TRIM(Raw_Data!I582),4))))</f>
        <v>46033</v>
      </c>
      <c r="K591" s="23" t="str">
        <f>PROPER(TRIM(Raw_Data!J582))</f>
        <v>Business</v>
      </c>
      <c r="L591" s="23" t="str">
        <f t="shared" si="27"/>
        <v>14-16</v>
      </c>
      <c r="M591" s="23" t="str">
        <f t="shared" si="28"/>
        <v>Teens</v>
      </c>
      <c r="N591" s="23" t="str">
        <f>IF(ISNUMBER(SEARCH("NON",UPPER(Raw_Data!M582))),"Non-Premium Learner","Premium Learner")</f>
        <v>Non-Premium Learner</v>
      </c>
      <c r="O591" s="23" t="str">
        <f>PROPER(TRIM(Raw_Data!N582))</f>
        <v>Both App &amp; Web</v>
      </c>
      <c r="P591" s="24">
        <f>IF(Raw_Data!O582="",$C$7,Raw_Data!O582)</f>
        <v>66696.87</v>
      </c>
      <c r="Q591" s="23" t="str">
        <f>IF(Raw_Data!O582="","Missing-Imputed","Original")</f>
        <v>Original</v>
      </c>
      <c r="R591" s="24">
        <f>Raw_Data!P582</f>
        <v>13.9</v>
      </c>
      <c r="S591" s="24">
        <f>Raw_Data!Q582</f>
        <v>9129.35</v>
      </c>
      <c r="T591" s="23" t="str">
        <f>IF(Raw_Data!R582="","Unknown",IF(ISNUMBER(SEARCH("ACT",UPPER(Raw_Data!R582))),"Active",IF(ISNUMBER(SEARCH("CLOS",UPPER(Raw_Data!R582))),"Closed","None")))</f>
        <v>Active</v>
      </c>
      <c r="U591" s="24">
        <f>IF(Raw_Data!S582="",$C$8,VALUE(Raw_Data!S582))</f>
        <v>738</v>
      </c>
      <c r="V591" s="23" t="str">
        <f>IF(Raw_Data!S582="","Missing-Imputed","Original")</f>
        <v>Original</v>
      </c>
      <c r="W591" s="24">
        <f>Raw_Data!T582</f>
        <v>122</v>
      </c>
      <c r="X591" s="23" t="str">
        <f>IF(ISNUMBER(SEARCH("Y",UPPER(TRIM(Raw_Data!U582)))),"Yes","No")</f>
        <v>No</v>
      </c>
      <c r="Y591" s="23" t="str">
        <f>IF(ISNUMBER(SEARCH("Y",UPPER(TRIM(Raw_Data!V582)))),"Yes","No")</f>
        <v>No</v>
      </c>
      <c r="Z591" s="24">
        <f>Raw_Data!W582</f>
        <v>3</v>
      </c>
      <c r="AA591" s="24">
        <f>Raw_Data!X582</f>
        <v>5.7</v>
      </c>
      <c r="AB591" s="23" t="str">
        <f>IF(COUNTIFS(Raw_Data!$A$2:$A$616,Raw_Data!A582)&gt;1,"Duplicate","Unique")</f>
        <v>Unique</v>
      </c>
      <c r="AC591" s="23" t="str">
        <f t="shared" si="29"/>
        <v>Clean</v>
      </c>
    </row>
    <row r="592" spans="1:29" ht="15" customHeight="1">
      <c r="A592" s="25" t="str">
        <f>Raw_Data!A583</f>
        <v>BYJ1582</v>
      </c>
      <c r="B592" s="25" t="str">
        <f>Raw_Data!B583</f>
        <v>Rohan Korpal</v>
      </c>
      <c r="C592" s="26">
        <f>IF(OR(Raw_Data!C583="",Raw_Data!C583&lt;$C$5,Raw_Data!C583&gt;$C$6),$C$4,Raw_Data!C583)</f>
        <v>17</v>
      </c>
      <c r="D592" s="25" t="str">
        <f>IF(Raw_Data!C583="","Missing-Imputed",IF(OR(Raw_Data!C583&lt;$C$5,Raw_Data!C583&gt;$C$6),"Outlier-Imputed","Original"))</f>
        <v>Original</v>
      </c>
      <c r="E592" s="25" t="str">
        <f>IF(OR(UPPER(TRIM(Raw_Data!D583))="M",UPPER(TRIM(Raw_Data!D583))="MALE"),"Male","Female")</f>
        <v>Female</v>
      </c>
      <c r="F592" s="25" t="str">
        <f>PROPER(TRIM(Raw_Data!E583))</f>
        <v>Chennai</v>
      </c>
      <c r="G592" s="25" t="str">
        <f>PROPER(TRIM(Raw_Data!F583))</f>
        <v>Uttar Pradesh</v>
      </c>
      <c r="H592" s="25" t="str">
        <f>PROPER(TRIM(Raw_Data!G583))</f>
        <v>Jee Prep</v>
      </c>
      <c r="I592" s="25" t="str">
        <f>PROPER(TRIM(Raw_Data!H583))</f>
        <v>Jaipur Center</v>
      </c>
      <c r="J592" s="26">
        <f>IF(LEN(TRIM(Raw_Data!I583))=4,VALUE(TRIM(Raw_Data!I583)),IF(ISNUMBER(IFERROR(VALUE(MID(TRIM(Raw_Data!I583),1,4)),"NA")),VALUE(MID(TRIM(Raw_Data!I583),1,4)),VALUE(RIGHT(TRIM(Raw_Data!I583),4))))</f>
        <v>2024</v>
      </c>
      <c r="K592" s="25" t="str">
        <f>PROPER(TRIM(Raw_Data!J583))</f>
        <v>Salaried</v>
      </c>
      <c r="L592" s="25" t="str">
        <f t="shared" si="27"/>
        <v>17-19</v>
      </c>
      <c r="M592" s="25" t="str">
        <f t="shared" si="28"/>
        <v>Teens</v>
      </c>
      <c r="N592" s="25" t="str">
        <f>IF(ISNUMBER(SEARCH("NON",UPPER(Raw_Data!M583))),"Non-Premium Learner","Premium Learner")</f>
        <v>Non-Premium Learner</v>
      </c>
      <c r="O592" s="25" t="str">
        <f>PROPER(TRIM(Raw_Data!N583))</f>
        <v>App Only</v>
      </c>
      <c r="P592" s="26">
        <f>IF(Raw_Data!O583="",$C$7,Raw_Data!O583)</f>
        <v>20710.439999999999</v>
      </c>
      <c r="Q592" s="25" t="str">
        <f>IF(Raw_Data!O583="","Missing-Imputed","Original")</f>
        <v>Original</v>
      </c>
      <c r="R592" s="26">
        <f>Raw_Data!P583</f>
        <v>78.599999999999994</v>
      </c>
      <c r="S592" s="26">
        <f>Raw_Data!Q583</f>
        <v>28872.02</v>
      </c>
      <c r="T592" s="25" t="str">
        <f>IF(Raw_Data!R583="","Unknown",IF(ISNUMBER(SEARCH("ACT",UPPER(Raw_Data!R583))),"Active",IF(ISNUMBER(SEARCH("CLOS",UPPER(Raw_Data!R583))),"Closed","None")))</f>
        <v>Closed</v>
      </c>
      <c r="U592" s="26">
        <f>IF(Raw_Data!S583="",$C$8,VALUE(Raw_Data!S583))</f>
        <v>430</v>
      </c>
      <c r="V592" s="25" t="str">
        <f>IF(Raw_Data!S583="","Missing-Imputed","Original")</f>
        <v>Original</v>
      </c>
      <c r="W592" s="26">
        <f>Raw_Data!T583</f>
        <v>20</v>
      </c>
      <c r="X592" s="25" t="str">
        <f>IF(ISNUMBER(SEARCH("Y",UPPER(TRIM(Raw_Data!U583)))),"Yes","No")</f>
        <v>Yes</v>
      </c>
      <c r="Y592" s="25" t="str">
        <f>IF(ISNUMBER(SEARCH("Y",UPPER(TRIM(Raw_Data!V583)))),"Yes","No")</f>
        <v>No</v>
      </c>
      <c r="Z592" s="26">
        <f>Raw_Data!W583</f>
        <v>3</v>
      </c>
      <c r="AA592" s="26">
        <f>Raw_Data!X583</f>
        <v>4.3</v>
      </c>
      <c r="AB592" s="25" t="str">
        <f>IF(COUNTIFS(Raw_Data!$A$2:$A$616,Raw_Data!A583)&gt;1,"Duplicate","Unique")</f>
        <v>Unique</v>
      </c>
      <c r="AC592" s="25" t="str">
        <f t="shared" si="29"/>
        <v>Clean</v>
      </c>
    </row>
    <row r="593" spans="1:29" ht="15" customHeight="1">
      <c r="A593" s="23" t="str">
        <f>Raw_Data!A584</f>
        <v>BYJ1583</v>
      </c>
      <c r="B593" s="23" t="str">
        <f>Raw_Data!B584</f>
        <v>Arjun Kaul</v>
      </c>
      <c r="C593" s="24">
        <f>IF(OR(Raw_Data!C584="",Raw_Data!C584&lt;$C$5,Raw_Data!C584&gt;$C$6),$C$4,Raw_Data!C584)</f>
        <v>22</v>
      </c>
      <c r="D593" s="23" t="str">
        <f>IF(Raw_Data!C584="","Missing-Imputed",IF(OR(Raw_Data!C584&lt;$C$5,Raw_Data!C584&gt;$C$6),"Outlier-Imputed","Original"))</f>
        <v>Original</v>
      </c>
      <c r="E593" s="23" t="str">
        <f>IF(OR(UPPER(TRIM(Raw_Data!D584))="M",UPPER(TRIM(Raw_Data!D584))="MALE"),"Male","Female")</f>
        <v>Male</v>
      </c>
      <c r="F593" s="23" t="str">
        <f>PROPER(TRIM(Raw_Data!E584))</f>
        <v>Bangalore</v>
      </c>
      <c r="G593" s="23" t="str">
        <f>PROPER(TRIM(Raw_Data!F584))</f>
        <v>Karnataka</v>
      </c>
      <c r="H593" s="23" t="str">
        <f>PROPER(TRIM(Raw_Data!G584))</f>
        <v>Science</v>
      </c>
      <c r="I593" s="23" t="str">
        <f>PROPER(TRIM(Raw_Data!H584))</f>
        <v>Chennai Central</v>
      </c>
      <c r="J593" s="24">
        <f>IF(LEN(TRIM(Raw_Data!I584))=4,VALUE(TRIM(Raw_Data!I584)),IF(ISNUMBER(IFERROR(VALUE(MID(TRIM(Raw_Data!I584),1,4)),"NA")),VALUE(MID(TRIM(Raw_Data!I584),1,4)),VALUE(RIGHT(TRIM(Raw_Data!I584),4))))</f>
        <v>2019</v>
      </c>
      <c r="K593" s="23" t="str">
        <f>PROPER(TRIM(Raw_Data!J584))</f>
        <v>Retired</v>
      </c>
      <c r="L593" s="23" t="str">
        <f t="shared" si="27"/>
        <v>20+</v>
      </c>
      <c r="M593" s="23" t="str">
        <f t="shared" si="28"/>
        <v>Adult Learners</v>
      </c>
      <c r="N593" s="23" t="str">
        <f>IF(ISNUMBER(SEARCH("NON",UPPER(Raw_Data!M584))),"Non-Premium Learner","Premium Learner")</f>
        <v>Non-Premium Learner</v>
      </c>
      <c r="O593" s="23" t="str">
        <f>PROPER(TRIM(Raw_Data!N584))</f>
        <v>App Only</v>
      </c>
      <c r="P593" s="24">
        <f>IF(Raw_Data!O584="",$C$7,Raw_Data!O584)</f>
        <v>67362.14</v>
      </c>
      <c r="Q593" s="23" t="str">
        <f>IF(Raw_Data!O584="","Missing-Imputed","Original")</f>
        <v>Original</v>
      </c>
      <c r="R593" s="24">
        <f>Raw_Data!P584</f>
        <v>59.7</v>
      </c>
      <c r="S593" s="24">
        <f>Raw_Data!Q584</f>
        <v>51983.9</v>
      </c>
      <c r="T593" s="23" t="str">
        <f>IF(Raw_Data!R584="","Unknown",IF(ISNUMBER(SEARCH("ACT",UPPER(Raw_Data!R584))),"Active",IF(ISNUMBER(SEARCH("CLOS",UPPER(Raw_Data!R584))),"Closed","None")))</f>
        <v>None</v>
      </c>
      <c r="U593" s="24">
        <f>IF(Raw_Data!S584="",$C$8,VALUE(Raw_Data!S584))</f>
        <v>772</v>
      </c>
      <c r="V593" s="23" t="str">
        <f>IF(Raw_Data!S584="","Missing-Imputed","Original")</f>
        <v>Original</v>
      </c>
      <c r="W593" s="24">
        <f>Raw_Data!T584</f>
        <v>162</v>
      </c>
      <c r="X593" s="23" t="str">
        <f>IF(ISNUMBER(SEARCH("Y",UPPER(TRIM(Raw_Data!U584)))),"Yes","No")</f>
        <v>Yes</v>
      </c>
      <c r="Y593" s="23" t="str">
        <f>IF(ISNUMBER(SEARCH("Y",UPPER(TRIM(Raw_Data!V584)))),"Yes","No")</f>
        <v>No</v>
      </c>
      <c r="Z593" s="24">
        <f>Raw_Data!W584</f>
        <v>3</v>
      </c>
      <c r="AA593" s="24">
        <f>Raw_Data!X584</f>
        <v>1.6</v>
      </c>
      <c r="AB593" s="23" t="str">
        <f>IF(COUNTIFS(Raw_Data!$A$2:$A$616,Raw_Data!A584)&gt;1,"Duplicate","Unique")</f>
        <v>Unique</v>
      </c>
      <c r="AC593" s="23" t="str">
        <f t="shared" si="29"/>
        <v>Clean</v>
      </c>
    </row>
    <row r="594" spans="1:29" ht="15" customHeight="1">
      <c r="A594" s="25" t="str">
        <f>Raw_Data!A585</f>
        <v>BYJ1584</v>
      </c>
      <c r="B594" s="25" t="str">
        <f>Raw_Data!B585</f>
        <v>Aarav Puri</v>
      </c>
      <c r="C594" s="26">
        <f>IF(OR(Raw_Data!C585="",Raw_Data!C585&lt;$C$5,Raw_Data!C585&gt;$C$6),$C$4,Raw_Data!C585)</f>
        <v>20</v>
      </c>
      <c r="D594" s="25" t="str">
        <f>IF(Raw_Data!C585="","Missing-Imputed",IF(OR(Raw_Data!C585&lt;$C$5,Raw_Data!C585&gt;$C$6),"Outlier-Imputed","Original"))</f>
        <v>Original</v>
      </c>
      <c r="E594" s="25" t="str">
        <f>IF(OR(UPPER(TRIM(Raw_Data!D585))="M",UPPER(TRIM(Raw_Data!D585))="MALE"),"Male","Female")</f>
        <v>Female</v>
      </c>
      <c r="F594" s="25" t="str">
        <f>PROPER(TRIM(Raw_Data!E585))</f>
        <v>Vasai-Virar</v>
      </c>
      <c r="G594" s="25" t="str">
        <f>PROPER(TRIM(Raw_Data!F585))</f>
        <v>Telangana</v>
      </c>
      <c r="H594" s="25" t="str">
        <f>PROPER(TRIM(Raw_Data!G585))</f>
        <v>Coding</v>
      </c>
      <c r="I594" s="25" t="str">
        <f>PROPER(TRIM(Raw_Data!H585))</f>
        <v>Chennai Central</v>
      </c>
      <c r="J594" s="26">
        <f>IF(LEN(TRIM(Raw_Data!I585))=4,VALUE(TRIM(Raw_Data!I585)),IF(ISNUMBER(IFERROR(VALUE(MID(TRIM(Raw_Data!I585),1,4)),"NA")),VALUE(MID(TRIM(Raw_Data!I585),1,4)),VALUE(RIGHT(TRIM(Raw_Data!I585),4))))</f>
        <v>2022</v>
      </c>
      <c r="K594" s="25" t="str">
        <f>PROPER(TRIM(Raw_Data!J585))</f>
        <v>Homemaker</v>
      </c>
      <c r="L594" s="25" t="str">
        <f t="shared" si="27"/>
        <v>20+</v>
      </c>
      <c r="M594" s="25" t="str">
        <f t="shared" si="28"/>
        <v>Adult Learners</v>
      </c>
      <c r="N594" s="25" t="str">
        <f>IF(ISNUMBER(SEARCH("NON",UPPER(Raw_Data!M585))),"Non-Premium Learner","Premium Learner")</f>
        <v>Non-Premium Learner</v>
      </c>
      <c r="O594" s="25" t="str">
        <f>PROPER(TRIM(Raw_Data!N585))</f>
        <v>App Only</v>
      </c>
      <c r="P594" s="26">
        <f>IF(Raw_Data!O585="",$C$7,Raw_Data!O585)</f>
        <v>131131.20000000001</v>
      </c>
      <c r="Q594" s="25" t="str">
        <f>IF(Raw_Data!O585="","Missing-Imputed","Original")</f>
        <v>Original</v>
      </c>
      <c r="R594" s="26">
        <f>Raw_Data!P585</f>
        <v>10.8</v>
      </c>
      <c r="S594" s="26">
        <f>Raw_Data!Q585</f>
        <v>8396.6200000000008</v>
      </c>
      <c r="T594" s="25" t="str">
        <f>IF(Raw_Data!R585="","Unknown",IF(ISNUMBER(SEARCH("ACT",UPPER(Raw_Data!R585))),"Active",IF(ISNUMBER(SEARCH("CLOS",UPPER(Raw_Data!R585))),"Closed","None")))</f>
        <v>Active</v>
      </c>
      <c r="U594" s="26">
        <f>IF(Raw_Data!S585="",$C$8,VALUE(Raw_Data!S585))</f>
        <v>758</v>
      </c>
      <c r="V594" s="25" t="str">
        <f>IF(Raw_Data!S585="","Missing-Imputed","Original")</f>
        <v>Original</v>
      </c>
      <c r="W594" s="26">
        <f>Raw_Data!T585</f>
        <v>137</v>
      </c>
      <c r="X594" s="25" t="str">
        <f>IF(ISNUMBER(SEARCH("Y",UPPER(TRIM(Raw_Data!U585)))),"Yes","No")</f>
        <v>No</v>
      </c>
      <c r="Y594" s="25" t="str">
        <f>IF(ISNUMBER(SEARCH("Y",UPPER(TRIM(Raw_Data!V585)))),"Yes","No")</f>
        <v>No</v>
      </c>
      <c r="Z594" s="26">
        <f>Raw_Data!W585</f>
        <v>4</v>
      </c>
      <c r="AA594" s="26">
        <f>Raw_Data!X585</f>
        <v>7</v>
      </c>
      <c r="AB594" s="25" t="str">
        <f>IF(COUNTIFS(Raw_Data!$A$2:$A$616,Raw_Data!A585)&gt;1,"Duplicate","Unique")</f>
        <v>Unique</v>
      </c>
      <c r="AC594" s="25" t="str">
        <f t="shared" si="29"/>
        <v>Clean</v>
      </c>
    </row>
    <row r="595" spans="1:29" ht="15" customHeight="1">
      <c r="A595" s="23" t="str">
        <f>Raw_Data!A586</f>
        <v>BYJ1585</v>
      </c>
      <c r="B595" s="23" t="str">
        <f>Raw_Data!B586</f>
        <v>Wazir Saini</v>
      </c>
      <c r="C595" s="24">
        <f>IF(OR(Raw_Data!C586="",Raw_Data!C586&lt;$C$5,Raw_Data!C586&gt;$C$6),$C$4,Raw_Data!C586)</f>
        <v>16</v>
      </c>
      <c r="D595" s="23" t="str">
        <f>IF(Raw_Data!C586="","Missing-Imputed",IF(OR(Raw_Data!C586&lt;$C$5,Raw_Data!C586&gt;$C$6),"Outlier-Imputed","Original"))</f>
        <v>Original</v>
      </c>
      <c r="E595" s="23" t="str">
        <f>IF(OR(UPPER(TRIM(Raw_Data!D586))="M",UPPER(TRIM(Raw_Data!D586))="MALE"),"Male","Female")</f>
        <v>Female</v>
      </c>
      <c r="F595" s="23" t="str">
        <f>PROPER(TRIM(Raw_Data!E586))</f>
        <v>Allahabad</v>
      </c>
      <c r="G595" s="23" t="str">
        <f>PROPER(TRIM(Raw_Data!F586))</f>
        <v>Uttar Pradesh</v>
      </c>
      <c r="H595" s="23" t="str">
        <f>PROPER(TRIM(Raw_Data!G586))</f>
        <v>Robotics</v>
      </c>
      <c r="I595" s="23" t="str">
        <f>PROPER(TRIM(Raw_Data!H586))</f>
        <v>Mumbai West</v>
      </c>
      <c r="J595" s="24">
        <f>IF(LEN(TRIM(Raw_Data!I586))=4,VALUE(TRIM(Raw_Data!I586)),IF(ISNUMBER(IFERROR(VALUE(MID(TRIM(Raw_Data!I586),1,4)),"NA")),VALUE(MID(TRIM(Raw_Data!I586),1,4)),VALUE(RIGHT(TRIM(Raw_Data!I586),4))))</f>
        <v>2017</v>
      </c>
      <c r="K595" s="23" t="str">
        <f>PROPER(TRIM(Raw_Data!J586))</f>
        <v>Retired</v>
      </c>
      <c r="L595" s="23" t="str">
        <f t="shared" si="27"/>
        <v>14-16</v>
      </c>
      <c r="M595" s="23" t="str">
        <f t="shared" si="28"/>
        <v>Teens</v>
      </c>
      <c r="N595" s="23" t="str">
        <f>IF(ISNUMBER(SEARCH("NON",UPPER(Raw_Data!M586))),"Non-Premium Learner","Premium Learner")</f>
        <v>Non-Premium Learner</v>
      </c>
      <c r="O595" s="23" t="str">
        <f>PROPER(TRIM(Raw_Data!N586))</f>
        <v>App Only</v>
      </c>
      <c r="P595" s="24">
        <f>IF(Raw_Data!O586="",$C$7,Raw_Data!O586)</f>
        <v>92977.38</v>
      </c>
      <c r="Q595" s="23" t="str">
        <f>IF(Raw_Data!O586="","Missing-Imputed","Original")</f>
        <v>Original</v>
      </c>
      <c r="R595" s="24">
        <f>Raw_Data!P586</f>
        <v>23.5</v>
      </c>
      <c r="S595" s="24">
        <f>Raw_Data!Q586</f>
        <v>2502.15</v>
      </c>
      <c r="T595" s="23" t="str">
        <f>IF(Raw_Data!R586="","Unknown",IF(ISNUMBER(SEARCH("ACT",UPPER(Raw_Data!R586))),"Active",IF(ISNUMBER(SEARCH("CLOS",UPPER(Raw_Data!R586))),"Closed","None")))</f>
        <v>Closed</v>
      </c>
      <c r="U595" s="24">
        <f>IF(Raw_Data!S586="",$C$8,VALUE(Raw_Data!S586))</f>
        <v>499</v>
      </c>
      <c r="V595" s="23" t="str">
        <f>IF(Raw_Data!S586="","Missing-Imputed","Original")</f>
        <v>Original</v>
      </c>
      <c r="W595" s="24">
        <f>Raw_Data!T586</f>
        <v>155</v>
      </c>
      <c r="X595" s="23" t="str">
        <f>IF(ISNUMBER(SEARCH("Y",UPPER(TRIM(Raw_Data!U586)))),"Yes","No")</f>
        <v>Yes</v>
      </c>
      <c r="Y595" s="23" t="str">
        <f>IF(ISNUMBER(SEARCH("Y",UPPER(TRIM(Raw_Data!V586)))),"Yes","No")</f>
        <v>Yes</v>
      </c>
      <c r="Z595" s="24">
        <f>Raw_Data!W586</f>
        <v>5</v>
      </c>
      <c r="AA595" s="24">
        <f>Raw_Data!X586</f>
        <v>8.1</v>
      </c>
      <c r="AB595" s="23" t="str">
        <f>IF(COUNTIFS(Raw_Data!$A$2:$A$616,Raw_Data!A586)&gt;1,"Duplicate","Unique")</f>
        <v>Unique</v>
      </c>
      <c r="AC595" s="23" t="str">
        <f t="shared" si="29"/>
        <v>Clean</v>
      </c>
    </row>
    <row r="596" spans="1:29" ht="15" customHeight="1">
      <c r="A596" s="25" t="str">
        <f>Raw_Data!A587</f>
        <v>BYJ1586</v>
      </c>
      <c r="B596" s="25" t="str">
        <f>Raw_Data!B587</f>
        <v>Ati Chander</v>
      </c>
      <c r="C596" s="26">
        <f>IF(OR(Raw_Data!C587="",Raw_Data!C587&lt;$C$5,Raw_Data!C587&gt;$C$6),$C$4,Raw_Data!C587)</f>
        <v>25</v>
      </c>
      <c r="D596" s="25" t="str">
        <f>IF(Raw_Data!C587="","Missing-Imputed",IF(OR(Raw_Data!C587&lt;$C$5,Raw_Data!C587&gt;$C$6),"Outlier-Imputed","Original"))</f>
        <v>Original</v>
      </c>
      <c r="E596" s="25" t="str">
        <f>IF(OR(UPPER(TRIM(Raw_Data!D587))="M",UPPER(TRIM(Raw_Data!D587))="MALE"),"Male","Female")</f>
        <v>Male</v>
      </c>
      <c r="F596" s="25" t="str">
        <f>PROPER(TRIM(Raw_Data!E587))</f>
        <v>Ahmednagar</v>
      </c>
      <c r="G596" s="25" t="str">
        <f>PROPER(TRIM(Raw_Data!F587))</f>
        <v>Karnataka</v>
      </c>
      <c r="H596" s="25" t="str">
        <f>PROPER(TRIM(Raw_Data!G587))</f>
        <v>Mathematics</v>
      </c>
      <c r="I596" s="25" t="str">
        <f>PROPER(TRIM(Raw_Data!H587))</f>
        <v>Kolkata Main</v>
      </c>
      <c r="J596" s="26">
        <f>IF(LEN(TRIM(Raw_Data!I587))=4,VALUE(TRIM(Raw_Data!I587)),IF(ISNUMBER(IFERROR(VALUE(MID(TRIM(Raw_Data!I587),1,4)),"NA")),VALUE(MID(TRIM(Raw_Data!I587),1,4)),VALUE(RIGHT(TRIM(Raw_Data!I587),4))))</f>
        <v>2023</v>
      </c>
      <c r="K596" s="25" t="str">
        <f>PROPER(TRIM(Raw_Data!J587))</f>
        <v>Government Employee</v>
      </c>
      <c r="L596" s="25" t="str">
        <f t="shared" si="27"/>
        <v>20+</v>
      </c>
      <c r="M596" s="25" t="str">
        <f t="shared" si="28"/>
        <v>Adult Learners</v>
      </c>
      <c r="N596" s="25" t="str">
        <f>IF(ISNUMBER(SEARCH("NON",UPPER(Raw_Data!M587))),"Non-Premium Learner","Premium Learner")</f>
        <v>Non-Premium Learner</v>
      </c>
      <c r="O596" s="25" t="str">
        <f>PROPER(TRIM(Raw_Data!N587))</f>
        <v>Web Only</v>
      </c>
      <c r="P596" s="26">
        <f>IF(Raw_Data!O587="",$C$7,Raw_Data!O587)</f>
        <v>148390.29</v>
      </c>
      <c r="Q596" s="25" t="str">
        <f>IF(Raw_Data!O587="","Missing-Imputed","Original")</f>
        <v>Original</v>
      </c>
      <c r="R596" s="26">
        <f>Raw_Data!P587</f>
        <v>24.1</v>
      </c>
      <c r="S596" s="26">
        <f>Raw_Data!Q587</f>
        <v>40201.56</v>
      </c>
      <c r="T596" s="25" t="str">
        <f>IF(Raw_Data!R587="","Unknown",IF(ISNUMBER(SEARCH("ACT",UPPER(Raw_Data!R587))),"Active",IF(ISNUMBER(SEARCH("CLOS",UPPER(Raw_Data!R587))),"Closed","None")))</f>
        <v>Closed</v>
      </c>
      <c r="U596" s="26">
        <f>IF(Raw_Data!S587="",$C$8,VALUE(Raw_Data!S587))</f>
        <v>568</v>
      </c>
      <c r="V596" s="25" t="str">
        <f>IF(Raw_Data!S587="","Missing-Imputed","Original")</f>
        <v>Original</v>
      </c>
      <c r="W596" s="26">
        <f>Raw_Data!T587</f>
        <v>136</v>
      </c>
      <c r="X596" s="25" t="str">
        <f>IF(ISNUMBER(SEARCH("Y",UPPER(TRIM(Raw_Data!U587)))),"Yes","No")</f>
        <v>Yes</v>
      </c>
      <c r="Y596" s="25" t="str">
        <f>IF(ISNUMBER(SEARCH("Y",UPPER(TRIM(Raw_Data!V587)))),"Yes","No")</f>
        <v>Yes</v>
      </c>
      <c r="Z596" s="26">
        <f>Raw_Data!W587</f>
        <v>5</v>
      </c>
      <c r="AA596" s="26">
        <f>Raw_Data!X587</f>
        <v>5.8</v>
      </c>
      <c r="AB596" s="25" t="str">
        <f>IF(COUNTIFS(Raw_Data!$A$2:$A$616,Raw_Data!A587)&gt;1,"Duplicate","Unique")</f>
        <v>Unique</v>
      </c>
      <c r="AC596" s="25" t="str">
        <f t="shared" si="29"/>
        <v>Clean</v>
      </c>
    </row>
    <row r="597" spans="1:29" ht="15" customHeight="1">
      <c r="A597" s="23" t="str">
        <f>Raw_Data!A588</f>
        <v>BYJ1587</v>
      </c>
      <c r="B597" s="23" t="str">
        <f>Raw_Data!B588</f>
        <v>Kashish Shanker</v>
      </c>
      <c r="C597" s="24">
        <f>IF(OR(Raw_Data!C588="",Raw_Data!C588&lt;$C$5,Raw_Data!C588&gt;$C$6),$C$4,Raw_Data!C588)</f>
        <v>12</v>
      </c>
      <c r="D597" s="23" t="str">
        <f>IF(Raw_Data!C588="","Missing-Imputed",IF(OR(Raw_Data!C588&lt;$C$5,Raw_Data!C588&gt;$C$6),"Outlier-Imputed","Original"))</f>
        <v>Original</v>
      </c>
      <c r="E597" s="23" t="str">
        <f>IF(OR(UPPER(TRIM(Raw_Data!D588))="M",UPPER(TRIM(Raw_Data!D588))="MALE"),"Male","Female")</f>
        <v>Male</v>
      </c>
      <c r="F597" s="23" t="str">
        <f>PROPER(TRIM(Raw_Data!E588))</f>
        <v>Amaravati</v>
      </c>
      <c r="G597" s="23" t="str">
        <f>PROPER(TRIM(Raw_Data!F588))</f>
        <v>Kerala</v>
      </c>
      <c r="H597" s="23" t="str">
        <f>PROPER(TRIM(Raw_Data!G588))</f>
        <v>Mathematics</v>
      </c>
      <c r="I597" s="23" t="str">
        <f>PROPER(TRIM(Raw_Data!H588))</f>
        <v>Mumbai West</v>
      </c>
      <c r="J597" s="24">
        <f>IF(LEN(TRIM(Raw_Data!I588))=4,VALUE(TRIM(Raw_Data!I588)),IF(ISNUMBER(IFERROR(VALUE(MID(TRIM(Raw_Data!I588),1,4)),"NA")),VALUE(MID(TRIM(Raw_Data!I588),1,4)),VALUE(RIGHT(TRIM(Raw_Data!I588),4))))</f>
        <v>2024</v>
      </c>
      <c r="K597" s="23" t="str">
        <f>PROPER(TRIM(Raw_Data!J588))</f>
        <v>Government Employee</v>
      </c>
      <c r="L597" s="23" t="str">
        <f t="shared" si="27"/>
        <v>10-13</v>
      </c>
      <c r="M597" s="23" t="str">
        <f t="shared" si="28"/>
        <v>Kids</v>
      </c>
      <c r="N597" s="23" t="str">
        <f>IF(ISNUMBER(SEARCH("NON",UPPER(Raw_Data!M588))),"Non-Premium Learner","Premium Learner")</f>
        <v>Non-Premium Learner</v>
      </c>
      <c r="O597" s="23" t="str">
        <f>PROPER(TRIM(Raw_Data!N588))</f>
        <v>Both App &amp; Web</v>
      </c>
      <c r="P597" s="24">
        <f>IF(Raw_Data!O588="",$C$7,Raw_Data!O588)</f>
        <v>88995.56</v>
      </c>
      <c r="Q597" s="23" t="str">
        <f>IF(Raw_Data!O588="","Missing-Imputed","Original")</f>
        <v>Original</v>
      </c>
      <c r="R597" s="24">
        <f>Raw_Data!P588</f>
        <v>44.6</v>
      </c>
      <c r="S597" s="24">
        <f>Raw_Data!Q588</f>
        <v>46584.67</v>
      </c>
      <c r="T597" s="23" t="str">
        <f>IF(Raw_Data!R588="","Unknown",IF(ISNUMBER(SEARCH("ACT",UPPER(Raw_Data!R588))),"Active",IF(ISNUMBER(SEARCH("CLOS",UPPER(Raw_Data!R588))),"Closed","None")))</f>
        <v>Unknown</v>
      </c>
      <c r="U597" s="24">
        <f>IF(Raw_Data!S2="",VALUE($C$8),VALUE(Raw_Data!S2))</f>
        <v>306</v>
      </c>
      <c r="V597" s="23" t="str">
        <f>IF(Raw_Data!S588="","Missing-Imputed","Original")</f>
        <v>Original</v>
      </c>
      <c r="W597" s="24">
        <f>Raw_Data!T588</f>
        <v>80</v>
      </c>
      <c r="X597" s="23" t="str">
        <f>IF(ISNUMBER(SEARCH("Y",UPPER(TRIM(Raw_Data!U588)))),"Yes","No")</f>
        <v>No</v>
      </c>
      <c r="Y597" s="23" t="str">
        <f>IF(ISNUMBER(SEARCH("Y",UPPER(TRIM(Raw_Data!V588)))),"Yes","No")</f>
        <v>No</v>
      </c>
      <c r="Z597" s="24">
        <f>Raw_Data!W588</f>
        <v>3</v>
      </c>
      <c r="AA597" s="24">
        <f>Raw_Data!X588</f>
        <v>7.6</v>
      </c>
      <c r="AB597" s="23" t="str">
        <f>IF(COUNTIFS(Raw_Data!$A$2:$A$616,Raw_Data!A588)&gt;1,"Duplicate","Unique")</f>
        <v>Unique</v>
      </c>
      <c r="AC597" s="23" t="str">
        <f t="shared" si="29"/>
        <v>Clean</v>
      </c>
    </row>
    <row r="598" spans="1:29" ht="15" customHeight="1">
      <c r="A598" s="25" t="str">
        <f>Raw_Data!A589</f>
        <v>BYJ1588</v>
      </c>
      <c r="B598" s="25" t="str">
        <f>Raw_Data!B589</f>
        <v>Yashasvi Deol</v>
      </c>
      <c r="C598" s="26">
        <f>IF(OR(Raw_Data!C589="",Raw_Data!C589&lt;$C$5,Raw_Data!C589&gt;$C$6),$C$4,Raw_Data!C589)</f>
        <v>20</v>
      </c>
      <c r="D598" s="25" t="str">
        <f>IF(Raw_Data!C589="","Missing-Imputed",IF(OR(Raw_Data!C589&lt;$C$5,Raw_Data!C589&gt;$C$6),"Outlier-Imputed","Original"))</f>
        <v>Original</v>
      </c>
      <c r="E598" s="25" t="str">
        <f>IF(OR(UPPER(TRIM(Raw_Data!D589))="M",UPPER(TRIM(Raw_Data!D589))="MALE"),"Male","Female")</f>
        <v>Male</v>
      </c>
      <c r="F598" s="25" t="str">
        <f>PROPER(TRIM(Raw_Data!E589))</f>
        <v>Aurangabad</v>
      </c>
      <c r="G598" s="25" t="str">
        <f>PROPER(TRIM(Raw_Data!F589))</f>
        <v>Kerala</v>
      </c>
      <c r="H598" s="25" t="str">
        <f>PROPER(TRIM(Raw_Data!G589))</f>
        <v>Robotics</v>
      </c>
      <c r="I598" s="25" t="str">
        <f>PROPER(TRIM(Raw_Data!H589))</f>
        <v>Hyderabad Hub</v>
      </c>
      <c r="J598" s="26">
        <f>IF(LEN(TRIM(Raw_Data!I589))=4,VALUE(TRIM(Raw_Data!I589)),IF(ISNUMBER(IFERROR(VALUE(MID(TRIM(Raw_Data!I589),1,4)),"NA")),VALUE(MID(TRIM(Raw_Data!I589),1,4)),VALUE(RIGHT(TRIM(Raw_Data!I589),4))))</f>
        <v>2018</v>
      </c>
      <c r="K598" s="25" t="str">
        <f>PROPER(TRIM(Raw_Data!J589))</f>
        <v>Government Employee</v>
      </c>
      <c r="L598" s="25" t="str">
        <f t="shared" si="27"/>
        <v>20+</v>
      </c>
      <c r="M598" s="25" t="str">
        <f t="shared" si="28"/>
        <v>Adult Learners</v>
      </c>
      <c r="N598" s="25" t="str">
        <f>IF(ISNUMBER(SEARCH("NON",UPPER(Raw_Data!M589))),"Non-Premium Learner","Premium Learner")</f>
        <v>Non-Premium Learner</v>
      </c>
      <c r="O598" s="25" t="str">
        <f>PROPER(TRIM(Raw_Data!N589))</f>
        <v>App Only</v>
      </c>
      <c r="P598" s="26">
        <f>IF(Raw_Data!O589="",$C$7,Raw_Data!O589)</f>
        <v>80612.2</v>
      </c>
      <c r="Q598" s="25" t="str">
        <f>IF(Raw_Data!O589="","Missing-Imputed","Original")</f>
        <v>Original</v>
      </c>
      <c r="R598" s="26">
        <f>Raw_Data!P589</f>
        <v>64.400000000000006</v>
      </c>
      <c r="S598" s="26">
        <f>Raw_Data!Q589</f>
        <v>9056.8700000000008</v>
      </c>
      <c r="T598" s="25" t="str">
        <f>IF(Raw_Data!R589="","Unknown",IF(ISNUMBER(SEARCH("ACT",UPPER(Raw_Data!R589))),"Active",IF(ISNUMBER(SEARCH("CLOS",UPPER(Raw_Data!R589))),"Closed","None")))</f>
        <v>Active</v>
      </c>
      <c r="U598" s="26">
        <f>IF(Raw_Data!S589="",$C$8,VALUE(Raw_Data!S589))</f>
        <v>330</v>
      </c>
      <c r="V598" s="25" t="str">
        <f>IF(Raw_Data!S589="","Missing-Imputed","Original")</f>
        <v>Original</v>
      </c>
      <c r="W598" s="26">
        <f>Raw_Data!T589</f>
        <v>40</v>
      </c>
      <c r="X598" s="25" t="str">
        <f>IF(ISNUMBER(SEARCH("Y",UPPER(TRIM(Raw_Data!U589)))),"Yes","No")</f>
        <v>Yes</v>
      </c>
      <c r="Y598" s="25" t="str">
        <f>IF(ISNUMBER(SEARCH("Y",UPPER(TRIM(Raw_Data!V589)))),"Yes","No")</f>
        <v>Yes</v>
      </c>
      <c r="Z598" s="26">
        <f>Raw_Data!W589</f>
        <v>2</v>
      </c>
      <c r="AA598" s="26">
        <f>Raw_Data!X589</f>
        <v>1.7</v>
      </c>
      <c r="AB598" s="25" t="str">
        <f>IF(COUNTIFS(Raw_Data!$A$2:$A$616,Raw_Data!A589)&gt;1,"Duplicate","Unique")</f>
        <v>Unique</v>
      </c>
      <c r="AC598" s="25" t="str">
        <f t="shared" si="29"/>
        <v>Clean</v>
      </c>
    </row>
    <row r="599" spans="1:29" ht="15" customHeight="1">
      <c r="A599" s="23" t="str">
        <f>Raw_Data!A590</f>
        <v>BYJ1589</v>
      </c>
      <c r="B599" s="23" t="str">
        <f>Raw_Data!B590</f>
        <v xml:space="preserve">  Radhika De  </v>
      </c>
      <c r="C599" s="24">
        <f>IF(OR(Raw_Data!C590="",Raw_Data!C590&lt;$C$5,Raw_Data!C590&gt;$C$6),$C$4,Raw_Data!C590)</f>
        <v>17</v>
      </c>
      <c r="D599" s="23" t="str">
        <f>IF(Raw_Data!C590="","Missing-Imputed",IF(OR(Raw_Data!C590&lt;$C$5,Raw_Data!C590&gt;$C$6),"Outlier-Imputed","Original"))</f>
        <v>Original</v>
      </c>
      <c r="E599" s="23" t="str">
        <f>IF(OR(UPPER(TRIM(Raw_Data!D590))="M",UPPER(TRIM(Raw_Data!D590))="MALE"),"Male","Female")</f>
        <v>Male</v>
      </c>
      <c r="F599" s="23" t="str">
        <f>PROPER(TRIM(Raw_Data!E590))</f>
        <v>Jalna</v>
      </c>
      <c r="G599" s="23" t="str">
        <f>PROPER(TRIM(Raw_Data!F590))</f>
        <v>Tamil Nadu</v>
      </c>
      <c r="H599" s="23" t="str">
        <f>PROPER(TRIM(Raw_Data!G590))</f>
        <v>Mathematics</v>
      </c>
      <c r="I599" s="23" t="str">
        <f>PROPER(TRIM(Raw_Data!H590))</f>
        <v>Jaipur Center</v>
      </c>
      <c r="J599" s="24">
        <f>IF(LEN(TRIM(Raw_Data!I590))=4,VALUE(TRIM(Raw_Data!I590)),IF(ISNUMBER(IFERROR(VALUE(MID(TRIM(Raw_Data!I590),1,4)),"NA")),VALUE(MID(TRIM(Raw_Data!I590),1,4)),VALUE(RIGHT(TRIM(Raw_Data!I590),4))))</f>
        <v>2022</v>
      </c>
      <c r="K599" s="23" t="str">
        <f>PROPER(TRIM(Raw_Data!J590))</f>
        <v>Salaried</v>
      </c>
      <c r="L599" s="23" t="str">
        <f t="shared" si="27"/>
        <v>17-19</v>
      </c>
      <c r="M599" s="23" t="str">
        <f t="shared" si="28"/>
        <v>Teens</v>
      </c>
      <c r="N599" s="23" t="str">
        <f>IF(ISNUMBER(SEARCH("NON",UPPER(Raw_Data!M590))),"Non-Premium Learner","Premium Learner")</f>
        <v>Premium Learner</v>
      </c>
      <c r="O599" s="23" t="str">
        <f>PROPER(TRIM(Raw_Data!N590))</f>
        <v>Both App &amp; Web</v>
      </c>
      <c r="P599" s="24">
        <f>IF(Raw_Data!O590="",$C$7,Raw_Data!O590)</f>
        <v>91545.64</v>
      </c>
      <c r="Q599" s="23" t="str">
        <f>IF(Raw_Data!O590="","Missing-Imputed","Original")</f>
        <v>Original</v>
      </c>
      <c r="R599" s="24">
        <f>Raw_Data!P590</f>
        <v>74</v>
      </c>
      <c r="S599" s="24">
        <f>Raw_Data!Q590</f>
        <v>40604.120000000003</v>
      </c>
      <c r="T599" s="23" t="str">
        <f>IF(Raw_Data!R590="","Unknown",IF(ISNUMBER(SEARCH("ACT",UPPER(Raw_Data!R590))),"Active",IF(ISNUMBER(SEARCH("CLOS",UPPER(Raw_Data!R590))),"Closed","None")))</f>
        <v>None</v>
      </c>
      <c r="U599" s="24" t="e">
        <f>IF(Raw_Data!S590="",$C$8,VALUE(Raw_Data!S590))</f>
        <v>#VALUE!</v>
      </c>
      <c r="V599" s="23" t="str">
        <f>IF(Raw_Data!S590="","Missing-Imputed","Original")</f>
        <v>Original</v>
      </c>
      <c r="W599" s="24">
        <f>Raw_Data!T590</f>
        <v>21</v>
      </c>
      <c r="X599" s="23" t="str">
        <f>IF(ISNUMBER(SEARCH("Y",UPPER(TRIM(Raw_Data!U590)))),"Yes","No")</f>
        <v>No</v>
      </c>
      <c r="Y599" s="23" t="str">
        <f>IF(ISNUMBER(SEARCH("Y",UPPER(TRIM(Raw_Data!V590)))),"Yes","No")</f>
        <v>No</v>
      </c>
      <c r="Z599" s="24">
        <f>Raw_Data!W590</f>
        <v>1</v>
      </c>
      <c r="AA599" s="24">
        <f>Raw_Data!X590</f>
        <v>3</v>
      </c>
      <c r="AB599" s="23" t="str">
        <f>IF(COUNTIFS(Raw_Data!$A$2:$A$616,Raw_Data!A590)&gt;1,"Duplicate","Unique")</f>
        <v>Unique</v>
      </c>
      <c r="AC599" s="23" t="str">
        <f t="shared" si="29"/>
        <v>Clean</v>
      </c>
    </row>
    <row r="600" spans="1:29" ht="15" customHeight="1">
      <c r="A600" s="25" t="str">
        <f>Raw_Data!A591</f>
        <v>BYJ1590</v>
      </c>
      <c r="B600" s="25" t="str">
        <f>Raw_Data!B591</f>
        <v>Divya Ramaswamy</v>
      </c>
      <c r="C600" s="26">
        <f>IF(OR(Raw_Data!C591="",Raw_Data!C591&lt;$C$5,Raw_Data!C591&gt;$C$6),$C$4,Raw_Data!C591)</f>
        <v>41</v>
      </c>
      <c r="D600" s="25" t="str">
        <f>IF(Raw_Data!C591="","Missing-Imputed",IF(OR(Raw_Data!C591&lt;$C$5,Raw_Data!C591&gt;$C$6),"Outlier-Imputed","Original"))</f>
        <v>Original</v>
      </c>
      <c r="E600" s="25" t="str">
        <f>IF(OR(UPPER(TRIM(Raw_Data!D591))="M",UPPER(TRIM(Raw_Data!D591))="MALE"),"Male","Female")</f>
        <v>Female</v>
      </c>
      <c r="F600" s="25" t="str">
        <f>PROPER(TRIM(Raw_Data!E591))</f>
        <v>Ratlam</v>
      </c>
      <c r="G600" s="25" t="str">
        <f>PROPER(TRIM(Raw_Data!F591))</f>
        <v>Karnataka</v>
      </c>
      <c r="H600" s="25" t="str">
        <f>PROPER(TRIM(Raw_Data!G591))</f>
        <v>Coding</v>
      </c>
      <c r="I600" s="25" t="str">
        <f>PROPER(TRIM(Raw_Data!H591))</f>
        <v>Ahmedabad Center</v>
      </c>
      <c r="J600" s="26">
        <f>IF(LEN(TRIM(Raw_Data!I591))=4,VALUE(TRIM(Raw_Data!I591)),IF(ISNUMBER(IFERROR(VALUE(MID(TRIM(Raw_Data!I591),1,4)),"NA")),VALUE(MID(TRIM(Raw_Data!I591),1,4)),VALUE(RIGHT(TRIM(Raw_Data!I591),4))))</f>
        <v>2020</v>
      </c>
      <c r="K600" s="25" t="str">
        <f>PROPER(TRIM(Raw_Data!J591))</f>
        <v>Business</v>
      </c>
      <c r="L600" s="25" t="str">
        <f t="shared" si="27"/>
        <v>20+</v>
      </c>
      <c r="M600" s="25" t="str">
        <f t="shared" si="28"/>
        <v>Adult Learners</v>
      </c>
      <c r="N600" s="25" t="str">
        <f>IF(ISNUMBER(SEARCH("NON",UPPER(Raw_Data!M591))),"Non-Premium Learner","Premium Learner")</f>
        <v>Non-Premium Learner</v>
      </c>
      <c r="O600" s="25" t="str">
        <f>PROPER(TRIM(Raw_Data!N591))</f>
        <v>Both App &amp; Web</v>
      </c>
      <c r="P600" s="26">
        <f>IF(Raw_Data!O591="",$C$7,Raw_Data!O591)</f>
        <v>50876.87</v>
      </c>
      <c r="Q600" s="25" t="str">
        <f>IF(Raw_Data!O591="","Missing-Imputed","Original")</f>
        <v>Original</v>
      </c>
      <c r="R600" s="26">
        <f>Raw_Data!P591</f>
        <v>12.3</v>
      </c>
      <c r="S600" s="26">
        <f>Raw_Data!Q591</f>
        <v>218.99</v>
      </c>
      <c r="T600" s="25" t="str">
        <f>IF(Raw_Data!R591="","Unknown",IF(ISNUMBER(SEARCH("ACT",UPPER(Raw_Data!R591))),"Active",IF(ISNUMBER(SEARCH("CLOS",UPPER(Raw_Data!R591))),"Closed","None")))</f>
        <v>None</v>
      </c>
      <c r="U600" s="26">
        <f>IF(Raw_Data!S591="",$C$8,VALUE(Raw_Data!S591))</f>
        <v>768</v>
      </c>
      <c r="V600" s="25" t="str">
        <f>IF(Raw_Data!S591="","Missing-Imputed","Original")</f>
        <v>Original</v>
      </c>
      <c r="W600" s="26">
        <f>Raw_Data!T591</f>
        <v>103</v>
      </c>
      <c r="X600" s="25" t="str">
        <f>IF(ISNUMBER(SEARCH("Y",UPPER(TRIM(Raw_Data!U591)))),"Yes","No")</f>
        <v>Yes</v>
      </c>
      <c r="Y600" s="25" t="str">
        <f>IF(ISNUMBER(SEARCH("Y",UPPER(TRIM(Raw_Data!V591)))),"Yes","No")</f>
        <v>No</v>
      </c>
      <c r="Z600" s="26">
        <f>Raw_Data!W591</f>
        <v>3</v>
      </c>
      <c r="AA600" s="26">
        <f>Raw_Data!X591</f>
        <v>8.6</v>
      </c>
      <c r="AB600" s="25" t="str">
        <f>IF(COUNTIFS(Raw_Data!$A$2:$A$616,Raw_Data!A591)&gt;1,"Duplicate","Unique")</f>
        <v>Unique</v>
      </c>
      <c r="AC600" s="25" t="str">
        <f t="shared" si="29"/>
        <v>Clean</v>
      </c>
    </row>
    <row r="601" spans="1:29" ht="15" customHeight="1">
      <c r="A601" s="23" t="str">
        <f>Raw_Data!A592</f>
        <v>BYJ1591</v>
      </c>
      <c r="B601" s="23" t="str">
        <f>Raw_Data!B592</f>
        <v>Anita Kaur</v>
      </c>
      <c r="C601" s="24">
        <f>IF(OR(Raw_Data!C592="",Raw_Data!C592&lt;$C$5,Raw_Data!C592&gt;$C$6),$C$4,Raw_Data!C592)</f>
        <v>10</v>
      </c>
      <c r="D601" s="23" t="str">
        <f>IF(Raw_Data!C592="","Missing-Imputed",IF(OR(Raw_Data!C592&lt;$C$5,Raw_Data!C592&gt;$C$6),"Outlier-Imputed","Original"))</f>
        <v>Original</v>
      </c>
      <c r="E601" s="23" t="str">
        <f>IF(OR(UPPER(TRIM(Raw_Data!D592))="M",UPPER(TRIM(Raw_Data!D592))="MALE"),"Male","Female")</f>
        <v>Female</v>
      </c>
      <c r="F601" s="23" t="str">
        <f>PROPER(TRIM(Raw_Data!E592))</f>
        <v>Panihati</v>
      </c>
      <c r="G601" s="23" t="str">
        <f>PROPER(TRIM(Raw_Data!F592))</f>
        <v>Tamil Nadu</v>
      </c>
      <c r="H601" s="23" t="str">
        <f>PROPER(TRIM(Raw_Data!G592))</f>
        <v>Robotics</v>
      </c>
      <c r="I601" s="23" t="str">
        <f>PROPER(TRIM(Raw_Data!H592))</f>
        <v>Kolkata Main</v>
      </c>
      <c r="J601" s="24">
        <f>IF(LEN(TRIM(Raw_Data!I592))=4,VALUE(TRIM(Raw_Data!I592)),IF(ISNUMBER(IFERROR(VALUE(MID(TRIM(Raw_Data!I592),1,4)),"NA")),VALUE(MID(TRIM(Raw_Data!I592),1,4)),VALUE(RIGHT(TRIM(Raw_Data!I592),4))))</f>
        <v>2022</v>
      </c>
      <c r="K601" s="23" t="str">
        <f>PROPER(TRIM(Raw_Data!J592))</f>
        <v>Salaried</v>
      </c>
      <c r="L601" s="23" t="str">
        <f t="shared" si="27"/>
        <v>10-13</v>
      </c>
      <c r="M601" s="23" t="str">
        <f t="shared" si="28"/>
        <v>Kids</v>
      </c>
      <c r="N601" s="23" t="str">
        <f>IF(ISNUMBER(SEARCH("NON",UPPER(Raw_Data!M592))),"Non-Premium Learner","Premium Learner")</f>
        <v>Premium Learner</v>
      </c>
      <c r="O601" s="23" t="str">
        <f>PROPER(TRIM(Raw_Data!N592))</f>
        <v>Web Only</v>
      </c>
      <c r="P601" s="24">
        <f>IF(Raw_Data!O592="",$C$7,Raw_Data!O592)</f>
        <v>48368.17</v>
      </c>
      <c r="Q601" s="23" t="str">
        <f>IF(Raw_Data!O592="","Missing-Imputed","Original")</f>
        <v>Original</v>
      </c>
      <c r="R601" s="24">
        <f>Raw_Data!P592</f>
        <v>11.8</v>
      </c>
      <c r="S601" s="24">
        <f>Raw_Data!Q592</f>
        <v>50443.41</v>
      </c>
      <c r="T601" s="23" t="str">
        <f>IF(Raw_Data!R592="","Unknown",IF(ISNUMBER(SEARCH("ACT",UPPER(Raw_Data!R592))),"Active",IF(ISNUMBER(SEARCH("CLOS",UPPER(Raw_Data!R592))),"Closed","None")))</f>
        <v>Active</v>
      </c>
      <c r="U601" s="24">
        <f>IF(Raw_Data!S592="",$C$8,VALUE(Raw_Data!S592))</f>
        <v>301</v>
      </c>
      <c r="V601" s="23" t="str">
        <f>IF(Raw_Data!S592="","Missing-Imputed","Original")</f>
        <v>Original</v>
      </c>
      <c r="W601" s="24">
        <f>Raw_Data!T592</f>
        <v>138</v>
      </c>
      <c r="X601" s="23" t="str">
        <f>IF(ISNUMBER(SEARCH("Y",UPPER(TRIM(Raw_Data!U592)))),"Yes","No")</f>
        <v>No</v>
      </c>
      <c r="Y601" s="23" t="str">
        <f>IF(ISNUMBER(SEARCH("Y",UPPER(TRIM(Raw_Data!V592)))),"Yes","No")</f>
        <v>No</v>
      </c>
      <c r="Z601" s="24">
        <f>Raw_Data!W592</f>
        <v>5</v>
      </c>
      <c r="AA601" s="24">
        <f>Raw_Data!X592</f>
        <v>4.5</v>
      </c>
      <c r="AB601" s="23" t="str">
        <f>IF(COUNTIFS(Raw_Data!$A$2:$A$616,Raw_Data!A592)&gt;1,"Duplicate","Unique")</f>
        <v>Unique</v>
      </c>
      <c r="AC601" s="23" t="str">
        <f t="shared" si="29"/>
        <v>Clean</v>
      </c>
    </row>
    <row r="602" spans="1:29" ht="15" customHeight="1">
      <c r="A602" s="25" t="str">
        <f>Raw_Data!A593</f>
        <v>BYJ1592</v>
      </c>
      <c r="B602" s="25" t="str">
        <f>Raw_Data!B593</f>
        <v>Ikbal Dugal</v>
      </c>
      <c r="C602" s="26">
        <f>IF(OR(Raw_Data!C593="",Raw_Data!C593&lt;$C$5,Raw_Data!C593&gt;$C$6),$C$4,Raw_Data!C593)</f>
        <v>24</v>
      </c>
      <c r="D602" s="25" t="str">
        <f>IF(Raw_Data!C593="","Missing-Imputed",IF(OR(Raw_Data!C593&lt;$C$5,Raw_Data!C593&gt;$C$6),"Outlier-Imputed","Original"))</f>
        <v>Missing-Imputed</v>
      </c>
      <c r="E602" s="25" t="str">
        <f>IF(OR(UPPER(TRIM(Raw_Data!D593))="M",UPPER(TRIM(Raw_Data!D593))="MALE"),"Male","Female")</f>
        <v>Male</v>
      </c>
      <c r="F602" s="25" t="str">
        <f>PROPER(TRIM(Raw_Data!E593))</f>
        <v>Dehradun</v>
      </c>
      <c r="G602" s="25" t="str">
        <f>PROPER(TRIM(Raw_Data!F593))</f>
        <v>Delhi</v>
      </c>
      <c r="H602" s="25" t="str">
        <f>PROPER(TRIM(Raw_Data!G593))</f>
        <v>Jee Prep</v>
      </c>
      <c r="I602" s="25" t="str">
        <f>PROPER(TRIM(Raw_Data!H593))</f>
        <v>Jaipur Center</v>
      </c>
      <c r="J602" s="26">
        <f>IF(LEN(TRIM(Raw_Data!I593))=4,VALUE(TRIM(Raw_Data!I593)),IF(ISNUMBER(IFERROR(VALUE(MID(TRIM(Raw_Data!I593),1,4)),"NA")),VALUE(MID(TRIM(Raw_Data!I593),1,4)),VALUE(RIGHT(TRIM(Raw_Data!I593),4))))</f>
        <v>2018</v>
      </c>
      <c r="K602" s="25" t="str">
        <f>PROPER(TRIM(Raw_Data!J593))</f>
        <v>Business</v>
      </c>
      <c r="L602" s="25" t="str">
        <f t="shared" si="27"/>
        <v>20+</v>
      </c>
      <c r="M602" s="25" t="str">
        <f t="shared" si="28"/>
        <v>Adult Learners</v>
      </c>
      <c r="N602" s="25" t="str">
        <f>IF(ISNUMBER(SEARCH("NON",UPPER(Raw_Data!M593))),"Non-Premium Learner","Premium Learner")</f>
        <v>Non-Premium Learner</v>
      </c>
      <c r="O602" s="25" t="str">
        <f>PROPER(TRIM(Raw_Data!N593))</f>
        <v>App Only</v>
      </c>
      <c r="P602" s="26">
        <f>IF(Raw_Data!O593="",$C$7,Raw_Data!O593)</f>
        <v>81553.399999999994</v>
      </c>
      <c r="Q602" s="25" t="str">
        <f>IF(Raw_Data!O593="","Missing-Imputed","Original")</f>
        <v>Original</v>
      </c>
      <c r="R602" s="26">
        <f>Raw_Data!P593</f>
        <v>46.9</v>
      </c>
      <c r="S602" s="26">
        <f>Raw_Data!Q593</f>
        <v>31202.34</v>
      </c>
      <c r="T602" s="25" t="str">
        <f>IF(Raw_Data!R593="","Unknown",IF(ISNUMBER(SEARCH("ACT",UPPER(Raw_Data!R593))),"Active",IF(ISNUMBER(SEARCH("CLOS",UPPER(Raw_Data!R593))),"Closed","None")))</f>
        <v>Unknown</v>
      </c>
      <c r="U602" s="26">
        <f>IF(Raw_Data!S593="",$C$8,VALUE(Raw_Data!S593))</f>
        <v>421</v>
      </c>
      <c r="V602" s="25" t="str">
        <f>IF(Raw_Data!S593="","Missing-Imputed","Original")</f>
        <v>Original</v>
      </c>
      <c r="W602" s="26">
        <f>Raw_Data!T593</f>
        <v>174</v>
      </c>
      <c r="X602" s="25" t="str">
        <f>IF(ISNUMBER(SEARCH("Y",UPPER(TRIM(Raw_Data!U593)))),"Yes","No")</f>
        <v>No</v>
      </c>
      <c r="Y602" s="25" t="str">
        <f>IF(ISNUMBER(SEARCH("Y",UPPER(TRIM(Raw_Data!V593)))),"Yes","No")</f>
        <v>No</v>
      </c>
      <c r="Z602" s="26">
        <f>Raw_Data!W593</f>
        <v>3</v>
      </c>
      <c r="AA602" s="26">
        <f>Raw_Data!X593</f>
        <v>7.3</v>
      </c>
      <c r="AB602" s="25" t="str">
        <f>IF(COUNTIFS(Raw_Data!$A$2:$A$616,Raw_Data!A593)&gt;1,"Duplicate","Unique")</f>
        <v>Unique</v>
      </c>
      <c r="AC602" s="25" t="str">
        <f t="shared" si="29"/>
        <v>Imputed</v>
      </c>
    </row>
    <row r="603" spans="1:29" ht="15" customHeight="1">
      <c r="A603" s="23" t="str">
        <f>Raw_Data!A594</f>
        <v>BYJ1593</v>
      </c>
      <c r="B603" s="23" t="str">
        <f>Raw_Data!B594</f>
        <v>Unnati Murthy</v>
      </c>
      <c r="C603" s="24">
        <f>IF(OR(Raw_Data!C594="",Raw_Data!C594&lt;$C$5,Raw_Data!C594&gt;$C$6),$C$4,Raw_Data!C594)</f>
        <v>10</v>
      </c>
      <c r="D603" s="23" t="str">
        <f>IF(Raw_Data!C594="","Missing-Imputed",IF(OR(Raw_Data!C594&lt;$C$5,Raw_Data!C594&gt;$C$6),"Outlier-Imputed","Original"))</f>
        <v>Original</v>
      </c>
      <c r="E603" s="23" t="str">
        <f>IF(OR(UPPER(TRIM(Raw_Data!D594))="M",UPPER(TRIM(Raw_Data!D594))="MALE"),"Male","Female")</f>
        <v>Female</v>
      </c>
      <c r="F603" s="23" t="str">
        <f>PROPER(TRIM(Raw_Data!E594))</f>
        <v>Jamshedpur</v>
      </c>
      <c r="G603" s="23" t="str">
        <f>PROPER(TRIM(Raw_Data!F594))</f>
        <v>Kerala</v>
      </c>
      <c r="H603" s="23" t="str">
        <f>PROPER(TRIM(Raw_Data!G594))</f>
        <v>English</v>
      </c>
      <c r="I603" s="23" t="str">
        <f>PROPER(TRIM(Raw_Data!H594))</f>
        <v>Mumbai West</v>
      </c>
      <c r="J603" s="24">
        <f>IF(LEN(TRIM(Raw_Data!I594))=4,VALUE(TRIM(Raw_Data!I594)),IF(ISNUMBER(IFERROR(VALUE(MID(TRIM(Raw_Data!I594),1,4)),"NA")),VALUE(MID(TRIM(Raw_Data!I594),1,4)),VALUE(RIGHT(TRIM(Raw_Data!I594),4))))</f>
        <v>2016</v>
      </c>
      <c r="K603" s="23" t="str">
        <f>PROPER(TRIM(Raw_Data!J594))</f>
        <v>Retired</v>
      </c>
      <c r="L603" s="23" t="str">
        <f t="shared" si="27"/>
        <v>10-13</v>
      </c>
      <c r="M603" s="23" t="str">
        <f t="shared" si="28"/>
        <v>Kids</v>
      </c>
      <c r="N603" s="23" t="str">
        <f>IF(ISNUMBER(SEARCH("NON",UPPER(Raw_Data!M594))),"Non-Premium Learner","Premium Learner")</f>
        <v>Non-Premium Learner</v>
      </c>
      <c r="O603" s="23" t="str">
        <f>PROPER(TRIM(Raw_Data!N594))</f>
        <v>Both App &amp; Web</v>
      </c>
      <c r="P603" s="24">
        <f>IF(Raw_Data!O594="",$C$7,Raw_Data!O594)</f>
        <v>80686.61</v>
      </c>
      <c r="Q603" s="23" t="str">
        <f>IF(Raw_Data!O594="","Missing-Imputed","Original")</f>
        <v>Original</v>
      </c>
      <c r="R603" s="24">
        <f>Raw_Data!P594</f>
        <v>70.5</v>
      </c>
      <c r="S603" s="24">
        <f>Raw_Data!Q594</f>
        <v>22808.43</v>
      </c>
      <c r="T603" s="23" t="str">
        <f>IF(Raw_Data!R594="","Unknown",IF(ISNUMBER(SEARCH("ACT",UPPER(Raw_Data!R594))),"Active",IF(ISNUMBER(SEARCH("CLOS",UPPER(Raw_Data!R594))),"Closed","None")))</f>
        <v>Closed</v>
      </c>
      <c r="U603" s="24">
        <f>IF(Raw_Data!S594="",$C$8,VALUE(Raw_Data!S594))</f>
        <v>866</v>
      </c>
      <c r="V603" s="23" t="str">
        <f>IF(Raw_Data!S594="","Missing-Imputed","Original")</f>
        <v>Original</v>
      </c>
      <c r="W603" s="24">
        <f>Raw_Data!T594</f>
        <v>194</v>
      </c>
      <c r="X603" s="23" t="str">
        <f>IF(ISNUMBER(SEARCH("Y",UPPER(TRIM(Raw_Data!U594)))),"Yes","No")</f>
        <v>No</v>
      </c>
      <c r="Y603" s="23" t="str">
        <f>IF(ISNUMBER(SEARCH("Y",UPPER(TRIM(Raw_Data!V594)))),"Yes","No")</f>
        <v>Yes</v>
      </c>
      <c r="Z603" s="24">
        <f>Raw_Data!W594</f>
        <v>3</v>
      </c>
      <c r="AA603" s="24">
        <f>Raw_Data!X594</f>
        <v>3.4</v>
      </c>
      <c r="AB603" s="23" t="str">
        <f>IF(COUNTIFS(Raw_Data!$A$2:$A$616,Raw_Data!A594)&gt;1,"Duplicate","Unique")</f>
        <v>Unique</v>
      </c>
      <c r="AC603" s="23" t="str">
        <f t="shared" si="29"/>
        <v>Clean</v>
      </c>
    </row>
    <row r="604" spans="1:29" ht="15" customHeight="1">
      <c r="A604" s="25" t="str">
        <f>Raw_Data!A595</f>
        <v>BYJ1594</v>
      </c>
      <c r="B604" s="25" t="str">
        <f>Raw_Data!B595</f>
        <v>Sarthak Seth</v>
      </c>
      <c r="C604" s="26">
        <f>IF(OR(Raw_Data!C595="",Raw_Data!C595&lt;$C$5,Raw_Data!C595&gt;$C$6),$C$4,Raw_Data!C595)</f>
        <v>35</v>
      </c>
      <c r="D604" s="25" t="str">
        <f>IF(Raw_Data!C595="","Missing-Imputed",IF(OR(Raw_Data!C595&lt;$C$5,Raw_Data!C595&gt;$C$6),"Outlier-Imputed","Original"))</f>
        <v>Original</v>
      </c>
      <c r="E604" s="25" t="str">
        <f>IF(OR(UPPER(TRIM(Raw_Data!D595))="M",UPPER(TRIM(Raw_Data!D595))="MALE"),"Male","Female")</f>
        <v>Female</v>
      </c>
      <c r="F604" s="25" t="str">
        <f>PROPER(TRIM(Raw_Data!E595))</f>
        <v>Madhyamgram</v>
      </c>
      <c r="G604" s="25" t="str">
        <f>PROPER(TRIM(Raw_Data!F595))</f>
        <v>Karnataka</v>
      </c>
      <c r="H604" s="25" t="str">
        <f>PROPER(TRIM(Raw_Data!G595))</f>
        <v>Science</v>
      </c>
      <c r="I604" s="25" t="str">
        <f>PROPER(TRIM(Raw_Data!H595))</f>
        <v>Ahmedabad Center</v>
      </c>
      <c r="J604" s="26">
        <f>IF(LEN(TRIM(Raw_Data!I595))=4,VALUE(TRIM(Raw_Data!I595)),IF(ISNUMBER(IFERROR(VALUE(MID(TRIM(Raw_Data!I595),1,4)),"NA")),VALUE(MID(TRIM(Raw_Data!I595),1,4)),VALUE(RIGHT(TRIM(Raw_Data!I595),4))))</f>
        <v>2020</v>
      </c>
      <c r="K604" s="25" t="str">
        <f>PROPER(TRIM(Raw_Data!J595))</f>
        <v>Salaried</v>
      </c>
      <c r="L604" s="25" t="str">
        <f t="shared" si="27"/>
        <v>20+</v>
      </c>
      <c r="M604" s="25" t="str">
        <f t="shared" si="28"/>
        <v>Adult Learners</v>
      </c>
      <c r="N604" s="25" t="str">
        <f>IF(ISNUMBER(SEARCH("NON",UPPER(Raw_Data!M595))),"Non-Premium Learner","Premium Learner")</f>
        <v>Premium Learner</v>
      </c>
      <c r="O604" s="25" t="str">
        <f>PROPER(TRIM(Raw_Data!N595))</f>
        <v>Both App &amp; Web</v>
      </c>
      <c r="P604" s="26">
        <f>IF(Raw_Data!O595="",$C$7,Raw_Data!O595)</f>
        <v>84956.74</v>
      </c>
      <c r="Q604" s="25" t="str">
        <f>IF(Raw_Data!O595="","Missing-Imputed","Original")</f>
        <v>Original</v>
      </c>
      <c r="R604" s="26">
        <f>Raw_Data!P595</f>
        <v>50.6</v>
      </c>
      <c r="S604" s="26">
        <f>Raw_Data!Q595</f>
        <v>35533.24</v>
      </c>
      <c r="T604" s="25" t="str">
        <f>IF(Raw_Data!R595="","Unknown",IF(ISNUMBER(SEARCH("ACT",UPPER(Raw_Data!R595))),"Active",IF(ISNUMBER(SEARCH("CLOS",UPPER(Raw_Data!R595))),"Closed","None")))</f>
        <v>Active</v>
      </c>
      <c r="U604" s="26">
        <f>IF(Raw_Data!S595="",$C$8,VALUE(Raw_Data!S595))</f>
        <v>572</v>
      </c>
      <c r="V604" s="25" t="str">
        <f>IF(Raw_Data!S595="","Missing-Imputed","Original")</f>
        <v>Original</v>
      </c>
      <c r="W604" s="26">
        <f>Raw_Data!T595</f>
        <v>36</v>
      </c>
      <c r="X604" s="25" t="str">
        <f>IF(ISNUMBER(SEARCH("Y",UPPER(TRIM(Raw_Data!U595)))),"Yes","No")</f>
        <v>No</v>
      </c>
      <c r="Y604" s="25" t="str">
        <f>IF(ISNUMBER(SEARCH("Y",UPPER(TRIM(Raw_Data!V595)))),"Yes","No")</f>
        <v>Yes</v>
      </c>
      <c r="Z604" s="26">
        <f>Raw_Data!W595</f>
        <v>1</v>
      </c>
      <c r="AA604" s="26">
        <f>Raw_Data!X595</f>
        <v>7.4</v>
      </c>
      <c r="AB604" s="25" t="str">
        <f>IF(COUNTIFS(Raw_Data!$A$2:$A$616,Raw_Data!A595)&gt;1,"Duplicate","Unique")</f>
        <v>Unique</v>
      </c>
      <c r="AC604" s="25" t="str">
        <f t="shared" si="29"/>
        <v>Clean</v>
      </c>
    </row>
    <row r="605" spans="1:29" ht="15" customHeight="1">
      <c r="A605" s="23" t="str">
        <f>Raw_Data!A596</f>
        <v>BYJ1595</v>
      </c>
      <c r="B605" s="23" t="str">
        <f>Raw_Data!B596</f>
        <v>Jagdish Chana</v>
      </c>
      <c r="C605" s="24">
        <f>IF(OR(Raw_Data!C596="",Raw_Data!C596&lt;$C$5,Raw_Data!C596&gt;$C$6),$C$4,Raw_Data!C596)</f>
        <v>22</v>
      </c>
      <c r="D605" s="23" t="str">
        <f>IF(Raw_Data!C596="","Missing-Imputed",IF(OR(Raw_Data!C596&lt;$C$5,Raw_Data!C596&gt;$C$6),"Outlier-Imputed","Original"))</f>
        <v>Original</v>
      </c>
      <c r="E605" s="23" t="str">
        <f>IF(OR(UPPER(TRIM(Raw_Data!D596))="M",UPPER(TRIM(Raw_Data!D596))="MALE"),"Male","Female")</f>
        <v>Female</v>
      </c>
      <c r="F605" s="23" t="str">
        <f>PROPER(TRIM(Raw_Data!E596))</f>
        <v>Avadi</v>
      </c>
      <c r="G605" s="23" t="str">
        <f>PROPER(TRIM(Raw_Data!F596))</f>
        <v>Karnataka</v>
      </c>
      <c r="H605" s="23" t="str">
        <f>PROPER(TRIM(Raw_Data!G596))</f>
        <v>Neet Prep</v>
      </c>
      <c r="I605" s="23" t="str">
        <f>PROPER(TRIM(Raw_Data!H596))</f>
        <v>Hyderabad Hub</v>
      </c>
      <c r="J605" s="24">
        <f>IF(LEN(TRIM(Raw_Data!I596))=4,VALUE(TRIM(Raw_Data!I596)),IF(ISNUMBER(IFERROR(VALUE(MID(TRIM(Raw_Data!I596),1,4)),"NA")),VALUE(MID(TRIM(Raw_Data!I596),1,4)),VALUE(RIGHT(TRIM(Raw_Data!I596),4))))</f>
        <v>2021</v>
      </c>
      <c r="K605" s="23" t="str">
        <f>PROPER(TRIM(Raw_Data!J596))</f>
        <v>Homemaker</v>
      </c>
      <c r="L605" s="23" t="str">
        <f t="shared" si="27"/>
        <v>20+</v>
      </c>
      <c r="M605" s="23" t="str">
        <f t="shared" si="28"/>
        <v>Adult Learners</v>
      </c>
      <c r="N605" s="23" t="str">
        <f>IF(ISNUMBER(SEARCH("NON",UPPER(Raw_Data!M596))),"Non-Premium Learner","Premium Learner")</f>
        <v>Non-Premium Learner</v>
      </c>
      <c r="O605" s="23" t="str">
        <f>PROPER(TRIM(Raw_Data!N596))</f>
        <v>App Only</v>
      </c>
      <c r="P605" s="24">
        <f>IF(Raw_Data!O596="",$C$7,Raw_Data!O596)</f>
        <v>127513.67</v>
      </c>
      <c r="Q605" s="23" t="str">
        <f>IF(Raw_Data!O596="","Missing-Imputed","Original")</f>
        <v>Original</v>
      </c>
      <c r="R605" s="24">
        <f>Raw_Data!P596</f>
        <v>68.3</v>
      </c>
      <c r="S605" s="24">
        <f>Raw_Data!Q596</f>
        <v>22030.13</v>
      </c>
      <c r="T605" s="23" t="str">
        <f>IF(Raw_Data!R596="","Unknown",IF(ISNUMBER(SEARCH("ACT",UPPER(Raw_Data!R596))),"Active",IF(ISNUMBER(SEARCH("CLOS",UPPER(Raw_Data!R596))),"Closed","None")))</f>
        <v>Active</v>
      </c>
      <c r="U605" s="24">
        <f>IF(Raw_Data!S596="",$C$8,VALUE(Raw_Data!S596))</f>
        <v>350</v>
      </c>
      <c r="V605" s="23" t="str">
        <f>IF(Raw_Data!S596="","Missing-Imputed","Original")</f>
        <v>Original</v>
      </c>
      <c r="W605" s="24">
        <f>Raw_Data!T596</f>
        <v>102</v>
      </c>
      <c r="X605" s="23" t="str">
        <f>IF(ISNUMBER(SEARCH("Y",UPPER(TRIM(Raw_Data!U596)))),"Yes","No")</f>
        <v>Yes</v>
      </c>
      <c r="Y605" s="23" t="str">
        <f>IF(ISNUMBER(SEARCH("Y",UPPER(TRIM(Raw_Data!V596)))),"Yes","No")</f>
        <v>No</v>
      </c>
      <c r="Z605" s="24">
        <f>Raw_Data!W596</f>
        <v>1</v>
      </c>
      <c r="AA605" s="24">
        <f>Raw_Data!X596</f>
        <v>4.4000000000000004</v>
      </c>
      <c r="AB605" s="23" t="str">
        <f>IF(COUNTIFS(Raw_Data!$A$2:$A$616,Raw_Data!A596)&gt;1,"Duplicate","Unique")</f>
        <v>Unique</v>
      </c>
      <c r="AC605" s="23" t="str">
        <f t="shared" si="29"/>
        <v>Clean</v>
      </c>
    </row>
    <row r="606" spans="1:29" ht="15" customHeight="1">
      <c r="A606" s="25" t="str">
        <f>Raw_Data!A597</f>
        <v>BYJ1596</v>
      </c>
      <c r="B606" s="25" t="str">
        <f>Raw_Data!B597</f>
        <v>Tanveer Narang</v>
      </c>
      <c r="C606" s="26">
        <f>IF(OR(Raw_Data!C597="",Raw_Data!C597&lt;$C$5,Raw_Data!C597&gt;$C$6),$C$4,Raw_Data!C597)</f>
        <v>36</v>
      </c>
      <c r="D606" s="25" t="str">
        <f>IF(Raw_Data!C597="","Missing-Imputed",IF(OR(Raw_Data!C597&lt;$C$5,Raw_Data!C597&gt;$C$6),"Outlier-Imputed","Original"))</f>
        <v>Original</v>
      </c>
      <c r="E606" s="25" t="str">
        <f>IF(OR(UPPER(TRIM(Raw_Data!D597))="M",UPPER(TRIM(Raw_Data!D597))="MALE"),"Male","Female")</f>
        <v>Male</v>
      </c>
      <c r="F606" s="25" t="str">
        <f>PROPER(TRIM(Raw_Data!E597))</f>
        <v>Mysore</v>
      </c>
      <c r="G606" s="25" t="str">
        <f>PROPER(TRIM(Raw_Data!F597))</f>
        <v>Uttar Pradesh</v>
      </c>
      <c r="H606" s="25" t="str">
        <f>PROPER(TRIM(Raw_Data!G597))</f>
        <v>Neet Prep</v>
      </c>
      <c r="I606" s="25" t="str">
        <f>PROPER(TRIM(Raw_Data!H597))</f>
        <v>Hyderabad Hub</v>
      </c>
      <c r="J606" s="26">
        <f>IF(LEN(TRIM(Raw_Data!I597))=4,VALUE(TRIM(Raw_Data!I597)),IF(ISNUMBER(IFERROR(VALUE(MID(TRIM(Raw_Data!I597),1,4)),"NA")),VALUE(MID(TRIM(Raw_Data!I597),1,4)),VALUE(RIGHT(TRIM(Raw_Data!I597),4))))</f>
        <v>2016</v>
      </c>
      <c r="K606" s="25" t="str">
        <f>PROPER(TRIM(Raw_Data!J597))</f>
        <v>Government Employee</v>
      </c>
      <c r="L606" s="25" t="str">
        <f t="shared" si="27"/>
        <v>20+</v>
      </c>
      <c r="M606" s="25" t="str">
        <f t="shared" si="28"/>
        <v>Adult Learners</v>
      </c>
      <c r="N606" s="25" t="str">
        <f>IF(ISNUMBER(SEARCH("NON",UPPER(Raw_Data!M597))),"Non-Premium Learner","Premium Learner")</f>
        <v>Non-Premium Learner</v>
      </c>
      <c r="O606" s="25" t="str">
        <f>PROPER(TRIM(Raw_Data!N597))</f>
        <v>Both App &amp; Web</v>
      </c>
      <c r="P606" s="26">
        <f>IF(Raw_Data!O597="",$C$7,Raw_Data!O597)</f>
        <v>31501.39</v>
      </c>
      <c r="Q606" s="25" t="str">
        <f>IF(Raw_Data!O597="","Missing-Imputed","Original")</f>
        <v>Original</v>
      </c>
      <c r="R606" s="26">
        <f>Raw_Data!P597</f>
        <v>58.8</v>
      </c>
      <c r="S606" s="26">
        <f>Raw_Data!Q597</f>
        <v>14422.23</v>
      </c>
      <c r="T606" s="25" t="str">
        <f>IF(Raw_Data!R597="","Unknown",IF(ISNUMBER(SEARCH("ACT",UPPER(Raw_Data!R597))),"Active",IF(ISNUMBER(SEARCH("CLOS",UPPER(Raw_Data!R597))),"Closed","None")))</f>
        <v>Active</v>
      </c>
      <c r="U606" s="26">
        <f>IF(Raw_Data!S597="",$C$8,VALUE(Raw_Data!S597))</f>
        <v>374</v>
      </c>
      <c r="V606" s="25" t="str">
        <f>IF(Raw_Data!S597="","Missing-Imputed","Original")</f>
        <v>Original</v>
      </c>
      <c r="W606" s="26">
        <f>Raw_Data!T597</f>
        <v>138</v>
      </c>
      <c r="X606" s="25" t="str">
        <f>IF(ISNUMBER(SEARCH("Y",UPPER(TRIM(Raw_Data!U597)))),"Yes","No")</f>
        <v>No</v>
      </c>
      <c r="Y606" s="25" t="str">
        <f>IF(ISNUMBER(SEARCH("Y",UPPER(TRIM(Raw_Data!V597)))),"Yes","No")</f>
        <v>No</v>
      </c>
      <c r="Z606" s="26">
        <f>Raw_Data!W597</f>
        <v>1</v>
      </c>
      <c r="AA606" s="26">
        <f>Raw_Data!X597</f>
        <v>7.2</v>
      </c>
      <c r="AB606" s="25" t="str">
        <f>IF(COUNTIFS(Raw_Data!$A$2:$A$616,Raw_Data!A597)&gt;1,"Duplicate","Unique")</f>
        <v>Unique</v>
      </c>
      <c r="AC606" s="25" t="str">
        <f t="shared" si="29"/>
        <v>Clean</v>
      </c>
    </row>
    <row r="607" spans="1:29" ht="15" customHeight="1">
      <c r="A607" s="23" t="str">
        <f>Raw_Data!A598</f>
        <v>BYJ1597</v>
      </c>
      <c r="B607" s="23" t="str">
        <f>Raw_Data!B598</f>
        <v>Ishani Randhawa</v>
      </c>
      <c r="C607" s="24">
        <f>IF(OR(Raw_Data!C598="",Raw_Data!C598&lt;$C$5,Raw_Data!C598&gt;$C$6),$C$4,Raw_Data!C598)</f>
        <v>9</v>
      </c>
      <c r="D607" s="23" t="str">
        <f>IF(Raw_Data!C598="","Missing-Imputed",IF(OR(Raw_Data!C598&lt;$C$5,Raw_Data!C598&gt;$C$6),"Outlier-Imputed","Original"))</f>
        <v>Original</v>
      </c>
      <c r="E607" s="23" t="str">
        <f>IF(OR(UPPER(TRIM(Raw_Data!D598))="M",UPPER(TRIM(Raw_Data!D598))="MALE"),"Male","Female")</f>
        <v>Male</v>
      </c>
      <c r="F607" s="23" t="str">
        <f>PROPER(TRIM(Raw_Data!E598))</f>
        <v>Dewas</v>
      </c>
      <c r="G607" s="23" t="str">
        <f>PROPER(TRIM(Raw_Data!F598))</f>
        <v>Tamil Nadu</v>
      </c>
      <c r="H607" s="23" t="str">
        <f>PROPER(TRIM(Raw_Data!G598))</f>
        <v>Science</v>
      </c>
      <c r="I607" s="23" t="str">
        <f>PROPER(TRIM(Raw_Data!H598))</f>
        <v>Ahmedabad Center</v>
      </c>
      <c r="J607" s="24">
        <f>IF(LEN(TRIM(Raw_Data!I598))=4,VALUE(TRIM(Raw_Data!I598)),IF(ISNUMBER(IFERROR(VALUE(MID(TRIM(Raw_Data!I598),1,4)),"NA")),VALUE(MID(TRIM(Raw_Data!I598),1,4)),VALUE(RIGHT(TRIM(Raw_Data!I598),4))))</f>
        <v>46025</v>
      </c>
      <c r="K607" s="23" t="str">
        <f>PROPER(TRIM(Raw_Data!J598))</f>
        <v>Business</v>
      </c>
      <c r="L607" s="23" t="str">
        <f t="shared" si="27"/>
        <v>Under 10</v>
      </c>
      <c r="M607" s="23" t="str">
        <f t="shared" si="28"/>
        <v>Kids</v>
      </c>
      <c r="N607" s="23" t="str">
        <f>IF(ISNUMBER(SEARCH("NON",UPPER(Raw_Data!M598))),"Non-Premium Learner","Premium Learner")</f>
        <v>Non-Premium Learner</v>
      </c>
      <c r="O607" s="23" t="str">
        <f>PROPER(TRIM(Raw_Data!N598))</f>
        <v>App Only</v>
      </c>
      <c r="P607" s="24">
        <f>IF(Raw_Data!O598="",$C$7,Raw_Data!O598)</f>
        <v>112860.89</v>
      </c>
      <c r="Q607" s="23" t="str">
        <f>IF(Raw_Data!O598="","Missing-Imputed","Original")</f>
        <v>Original</v>
      </c>
      <c r="R607" s="24">
        <f>Raw_Data!P598</f>
        <v>66.3</v>
      </c>
      <c r="S607" s="24">
        <f>Raw_Data!Q598</f>
        <v>47636.71</v>
      </c>
      <c r="T607" s="23" t="str">
        <f>IF(Raw_Data!R598="","Unknown",IF(ISNUMBER(SEARCH("ACT",UPPER(Raw_Data!R598))),"Active",IF(ISNUMBER(SEARCH("CLOS",UPPER(Raw_Data!R598))),"Closed","None")))</f>
        <v>Active</v>
      </c>
      <c r="U607" s="24">
        <f>IF(Raw_Data!S598="",$C$8,VALUE(Raw_Data!S598))</f>
        <v>504</v>
      </c>
      <c r="V607" s="23" t="str">
        <f>IF(Raw_Data!S598="","Missing-Imputed","Original")</f>
        <v>Original</v>
      </c>
      <c r="W607" s="24">
        <f>Raw_Data!T598</f>
        <v>118</v>
      </c>
      <c r="X607" s="23" t="str">
        <f>IF(ISNUMBER(SEARCH("Y",UPPER(TRIM(Raw_Data!U598)))),"Yes","No")</f>
        <v>Yes</v>
      </c>
      <c r="Y607" s="23" t="str">
        <f>IF(ISNUMBER(SEARCH("Y",UPPER(TRIM(Raw_Data!V598)))),"Yes","No")</f>
        <v>No</v>
      </c>
      <c r="Z607" s="24">
        <f>Raw_Data!W598</f>
        <v>1</v>
      </c>
      <c r="AA607" s="24">
        <f>Raw_Data!X598</f>
        <v>8.6</v>
      </c>
      <c r="AB607" s="23" t="str">
        <f>IF(COUNTIFS(Raw_Data!$A$2:$A$616,Raw_Data!A598)&gt;1,"Duplicate","Unique")</f>
        <v>Unique</v>
      </c>
      <c r="AC607" s="23" t="str">
        <f t="shared" si="29"/>
        <v>Clean</v>
      </c>
    </row>
    <row r="608" spans="1:29" ht="15" customHeight="1">
      <c r="A608" s="25" t="str">
        <f>Raw_Data!A599</f>
        <v>BYJ1598</v>
      </c>
      <c r="B608" s="25" t="str">
        <f>Raw_Data!B599</f>
        <v>Owen Balasubramanian</v>
      </c>
      <c r="C608" s="26">
        <f>IF(OR(Raw_Data!C599="",Raw_Data!C599&lt;$C$5,Raw_Data!C599&gt;$C$6),$C$4,Raw_Data!C599)</f>
        <v>11</v>
      </c>
      <c r="D608" s="25" t="str">
        <f>IF(Raw_Data!C599="","Missing-Imputed",IF(OR(Raw_Data!C599&lt;$C$5,Raw_Data!C599&gt;$C$6),"Outlier-Imputed","Original"))</f>
        <v>Original</v>
      </c>
      <c r="E608" s="25" t="str">
        <f>IF(OR(UPPER(TRIM(Raw_Data!D599))="M",UPPER(TRIM(Raw_Data!D599))="MALE"),"Male","Female")</f>
        <v>Female</v>
      </c>
      <c r="F608" s="25" t="str">
        <f>PROPER(TRIM(Raw_Data!E599))</f>
        <v>Bidhannagar</v>
      </c>
      <c r="G608" s="25" t="str">
        <f>PROPER(TRIM(Raw_Data!F599))</f>
        <v>Telangana</v>
      </c>
      <c r="H608" s="25" t="str">
        <f>PROPER(TRIM(Raw_Data!G599))</f>
        <v>English</v>
      </c>
      <c r="I608" s="25" t="str">
        <f>PROPER(TRIM(Raw_Data!H599))</f>
        <v>Mumbai West</v>
      </c>
      <c r="J608" s="26">
        <f>IF(LEN(TRIM(Raw_Data!I599))=4,VALUE(TRIM(Raw_Data!I599)),IF(ISNUMBER(IFERROR(VALUE(MID(TRIM(Raw_Data!I599),1,4)),"NA")),VALUE(MID(TRIM(Raw_Data!I599),1,4)),VALUE(RIGHT(TRIM(Raw_Data!I599),4))))</f>
        <v>2025</v>
      </c>
      <c r="K608" s="25" t="str">
        <f>PROPER(TRIM(Raw_Data!J599))</f>
        <v>Government Employee</v>
      </c>
      <c r="L608" s="25" t="str">
        <f t="shared" si="27"/>
        <v>10-13</v>
      </c>
      <c r="M608" s="25" t="str">
        <f t="shared" si="28"/>
        <v>Kids</v>
      </c>
      <c r="N608" s="25" t="str">
        <f>IF(ISNUMBER(SEARCH("NON",UPPER(Raw_Data!M599))),"Non-Premium Learner","Premium Learner")</f>
        <v>Non-Premium Learner</v>
      </c>
      <c r="O608" s="25" t="str">
        <f>PROPER(TRIM(Raw_Data!N599))</f>
        <v>Web Only</v>
      </c>
      <c r="P608" s="26">
        <f>IF(Raw_Data!O599="",$C$7,Raw_Data!O599)</f>
        <v>54969</v>
      </c>
      <c r="Q608" s="25" t="str">
        <f>IF(Raw_Data!O599="","Missing-Imputed","Original")</f>
        <v>Original</v>
      </c>
      <c r="R608" s="26">
        <f>Raw_Data!P599</f>
        <v>25.9</v>
      </c>
      <c r="S608" s="26">
        <f>Raw_Data!Q599</f>
        <v>28333.040000000001</v>
      </c>
      <c r="T608" s="25" t="str">
        <f>IF(Raw_Data!R599="","Unknown",IF(ISNUMBER(SEARCH("ACT",UPPER(Raw_Data!R599))),"Active",IF(ISNUMBER(SEARCH("CLOS",UPPER(Raw_Data!R599))),"Closed","None")))</f>
        <v>Active</v>
      </c>
      <c r="U608" s="26">
        <f>IF(Raw_Data!S599="",$C$8,VALUE(Raw_Data!S599))</f>
        <v>390</v>
      </c>
      <c r="V608" s="25" t="str">
        <f>IF(Raw_Data!S599="","Missing-Imputed","Original")</f>
        <v>Original</v>
      </c>
      <c r="W608" s="26">
        <f>Raw_Data!T599</f>
        <v>184</v>
      </c>
      <c r="X608" s="25" t="str">
        <f>IF(ISNUMBER(SEARCH("Y",UPPER(TRIM(Raw_Data!U599)))),"Yes","No")</f>
        <v>Yes</v>
      </c>
      <c r="Y608" s="25" t="str">
        <f>IF(ISNUMBER(SEARCH("Y",UPPER(TRIM(Raw_Data!V599)))),"Yes","No")</f>
        <v>Yes</v>
      </c>
      <c r="Z608" s="26">
        <f>Raw_Data!W599</f>
        <v>5</v>
      </c>
      <c r="AA608" s="26">
        <f>Raw_Data!X599</f>
        <v>1.2</v>
      </c>
      <c r="AB608" s="25" t="str">
        <f>IF(COUNTIFS(Raw_Data!$A$2:$A$616,Raw_Data!A599)&gt;1,"Duplicate","Unique")</f>
        <v>Unique</v>
      </c>
      <c r="AC608" s="25" t="str">
        <f t="shared" si="29"/>
        <v>Clean</v>
      </c>
    </row>
    <row r="609" spans="1:29" ht="15" customHeight="1">
      <c r="A609" s="23" t="str">
        <f>Raw_Data!A600</f>
        <v>BYJ1599</v>
      </c>
      <c r="B609" s="23" t="str">
        <f>Raw_Data!B600</f>
        <v>Girindra Shere</v>
      </c>
      <c r="C609" s="24">
        <f>IF(OR(Raw_Data!C600="",Raw_Data!C600&lt;$C$5,Raw_Data!C600&gt;$C$6),$C$4,Raw_Data!C600)</f>
        <v>10</v>
      </c>
      <c r="D609" s="23" t="str">
        <f>IF(Raw_Data!C600="","Missing-Imputed",IF(OR(Raw_Data!C600&lt;$C$5,Raw_Data!C600&gt;$C$6),"Outlier-Imputed","Original"))</f>
        <v>Original</v>
      </c>
      <c r="E609" s="23" t="str">
        <f>IF(OR(UPPER(TRIM(Raw_Data!D600))="M",UPPER(TRIM(Raw_Data!D600))="MALE"),"Male","Female")</f>
        <v>Male</v>
      </c>
      <c r="F609" s="23" t="str">
        <f>PROPER(TRIM(Raw_Data!E600))</f>
        <v>Kolhapur</v>
      </c>
      <c r="G609" s="23" t="str">
        <f>PROPER(TRIM(Raw_Data!F600))</f>
        <v>Maharashtra</v>
      </c>
      <c r="H609" s="23" t="str">
        <f>PROPER(TRIM(Raw_Data!G600))</f>
        <v>Neet Prep</v>
      </c>
      <c r="I609" s="23" t="str">
        <f>PROPER(TRIM(Raw_Data!H600))</f>
        <v>Jaipur Center</v>
      </c>
      <c r="J609" s="24">
        <f>IF(LEN(TRIM(Raw_Data!I600))=4,VALUE(TRIM(Raw_Data!I600)),IF(ISNUMBER(IFERROR(VALUE(MID(TRIM(Raw_Data!I600),1,4)),"NA")),VALUE(MID(TRIM(Raw_Data!I600),1,4)),VALUE(RIGHT(TRIM(Raw_Data!I600),4))))</f>
        <v>2025</v>
      </c>
      <c r="K609" s="23" t="str">
        <f>PROPER(TRIM(Raw_Data!J600))</f>
        <v>Salaried</v>
      </c>
      <c r="L609" s="23" t="str">
        <f t="shared" si="27"/>
        <v>10-13</v>
      </c>
      <c r="M609" s="23" t="str">
        <f t="shared" si="28"/>
        <v>Kids</v>
      </c>
      <c r="N609" s="23" t="str">
        <f>IF(ISNUMBER(SEARCH("NON",UPPER(Raw_Data!M600))),"Non-Premium Learner","Premium Learner")</f>
        <v>Non-Premium Learner</v>
      </c>
      <c r="O609" s="23" t="str">
        <f>PROPER(TRIM(Raw_Data!N600))</f>
        <v>Both App &amp; Web</v>
      </c>
      <c r="P609" s="24">
        <f>IF(Raw_Data!O600="",$C$7,Raw_Data!O600)</f>
        <v>57191.74</v>
      </c>
      <c r="Q609" s="23" t="str">
        <f>IF(Raw_Data!O600="","Missing-Imputed","Original")</f>
        <v>Original</v>
      </c>
      <c r="R609" s="24">
        <f>Raw_Data!P600</f>
        <v>62.3</v>
      </c>
      <c r="S609" s="24">
        <f>Raw_Data!Q600</f>
        <v>49431.38</v>
      </c>
      <c r="T609" s="23" t="str">
        <f>IF(Raw_Data!R600="","Unknown",IF(ISNUMBER(SEARCH("ACT",UPPER(Raw_Data!R600))),"Active",IF(ISNUMBER(SEARCH("CLOS",UPPER(Raw_Data!R600))),"Closed","None")))</f>
        <v>Closed</v>
      </c>
      <c r="U609" s="24">
        <f>IF(Raw_Data!S600="",$C$8,VALUE(Raw_Data!S600))</f>
        <v>730</v>
      </c>
      <c r="V609" s="23" t="str">
        <f>IF(Raw_Data!S600="","Missing-Imputed","Original")</f>
        <v>Original</v>
      </c>
      <c r="W609" s="24">
        <f>Raw_Data!T600</f>
        <v>103</v>
      </c>
      <c r="X609" s="23" t="str">
        <f>IF(ISNUMBER(SEARCH("Y",UPPER(TRIM(Raw_Data!U600)))),"Yes","No")</f>
        <v>No</v>
      </c>
      <c r="Y609" s="23" t="str">
        <f>IF(ISNUMBER(SEARCH("Y",UPPER(TRIM(Raw_Data!V600)))),"Yes","No")</f>
        <v>Yes</v>
      </c>
      <c r="Z609" s="24">
        <f>Raw_Data!W600</f>
        <v>4</v>
      </c>
      <c r="AA609" s="24">
        <f>Raw_Data!X600</f>
        <v>2.1</v>
      </c>
      <c r="AB609" s="23" t="str">
        <f>IF(COUNTIFS(Raw_Data!$A$2:$A$616,Raw_Data!A600)&gt;1,"Duplicate","Unique")</f>
        <v>Unique</v>
      </c>
      <c r="AC609" s="23" t="str">
        <f t="shared" si="29"/>
        <v>Clean</v>
      </c>
    </row>
    <row r="610" spans="1:29" ht="15" customHeight="1">
      <c r="A610" s="25" t="str">
        <f>Raw_Data!A601</f>
        <v>BYJ1600</v>
      </c>
      <c r="B610" s="25" t="str">
        <f>Raw_Data!B601</f>
        <v>Advik Bhatia</v>
      </c>
      <c r="C610" s="26">
        <f>IF(OR(Raw_Data!C601="",Raw_Data!C601&lt;$C$5,Raw_Data!C601&gt;$C$6),$C$4,Raw_Data!C601)</f>
        <v>22</v>
      </c>
      <c r="D610" s="25" t="str">
        <f>IF(Raw_Data!C601="","Missing-Imputed",IF(OR(Raw_Data!C601&lt;$C$5,Raw_Data!C601&gt;$C$6),"Outlier-Imputed","Original"))</f>
        <v>Original</v>
      </c>
      <c r="E610" s="25" t="str">
        <f>IF(OR(UPPER(TRIM(Raw_Data!D601))="M",UPPER(TRIM(Raw_Data!D601))="MALE"),"Male","Female")</f>
        <v>Female</v>
      </c>
      <c r="F610" s="25" t="str">
        <f>PROPER(TRIM(Raw_Data!E601))</f>
        <v>Bikaner</v>
      </c>
      <c r="G610" s="25" t="str">
        <f>PROPER(TRIM(Raw_Data!F601))</f>
        <v>Uttar Pradesh</v>
      </c>
      <c r="H610" s="25" t="str">
        <f>PROPER(TRIM(Raw_Data!G601))</f>
        <v>Jee Prep</v>
      </c>
      <c r="I610" s="25" t="str">
        <f>PROPER(TRIM(Raw_Data!H601))</f>
        <v>Mumbai West</v>
      </c>
      <c r="J610" s="26">
        <f>IF(LEN(TRIM(Raw_Data!I601))=4,VALUE(TRIM(Raw_Data!I601)),IF(ISNUMBER(IFERROR(VALUE(MID(TRIM(Raw_Data!I601),1,4)),"NA")),VALUE(MID(TRIM(Raw_Data!I601),1,4)),VALUE(RIGHT(TRIM(Raw_Data!I601),4))))</f>
        <v>2021</v>
      </c>
      <c r="K610" s="25" t="str">
        <f>PROPER(TRIM(Raw_Data!J601))</f>
        <v>Self-Employed</v>
      </c>
      <c r="L610" s="25" t="str">
        <f t="shared" si="27"/>
        <v>20+</v>
      </c>
      <c r="M610" s="25" t="str">
        <f t="shared" si="28"/>
        <v>Adult Learners</v>
      </c>
      <c r="N610" s="25" t="str">
        <f>IF(ISNUMBER(SEARCH("NON",UPPER(Raw_Data!M601))),"Non-Premium Learner","Premium Learner")</f>
        <v>Non-Premium Learner</v>
      </c>
      <c r="O610" s="25" t="str">
        <f>PROPER(TRIM(Raw_Data!N601))</f>
        <v>Web Only</v>
      </c>
      <c r="P610" s="26">
        <f>IF(Raw_Data!O601="",$C$7,Raw_Data!O601)</f>
        <v>53428.91</v>
      </c>
      <c r="Q610" s="25" t="str">
        <f>IF(Raw_Data!O601="","Missing-Imputed","Original")</f>
        <v>Original</v>
      </c>
      <c r="R610" s="26">
        <f>Raw_Data!P601</f>
        <v>38.299999999999997</v>
      </c>
      <c r="S610" s="26">
        <f>Raw_Data!Q601</f>
        <v>16602.009999999998</v>
      </c>
      <c r="T610" s="25" t="str">
        <f>IF(Raw_Data!R601="","Unknown",IF(ISNUMBER(SEARCH("ACT",UPPER(Raw_Data!R601))),"Active",IF(ISNUMBER(SEARCH("CLOS",UPPER(Raw_Data!R601))),"Closed","None")))</f>
        <v>Active</v>
      </c>
      <c r="U610" s="26">
        <f>IF(Raw_Data!S601="",$C$8,VALUE(Raw_Data!S601))</f>
        <v>668</v>
      </c>
      <c r="V610" s="25" t="str">
        <f>IF(Raw_Data!S601="","Missing-Imputed","Original")</f>
        <v>Original</v>
      </c>
      <c r="W610" s="26">
        <f>Raw_Data!T601</f>
        <v>85</v>
      </c>
      <c r="X610" s="25" t="str">
        <f>IF(ISNUMBER(SEARCH("Y",UPPER(TRIM(Raw_Data!U601)))),"Yes","No")</f>
        <v>No</v>
      </c>
      <c r="Y610" s="25" t="str">
        <f>IF(ISNUMBER(SEARCH("Y",UPPER(TRIM(Raw_Data!V601)))),"Yes","No")</f>
        <v>No</v>
      </c>
      <c r="Z610" s="26">
        <f>Raw_Data!W601</f>
        <v>2</v>
      </c>
      <c r="AA610" s="26">
        <f>Raw_Data!X601</f>
        <v>2.2999999999999998</v>
      </c>
      <c r="AB610" s="25" t="str">
        <f>IF(COUNTIFS(Raw_Data!$A$2:$A$616,Raw_Data!A601)&gt;1,"Duplicate","Unique")</f>
        <v>Unique</v>
      </c>
      <c r="AC610" s="25" t="str">
        <f t="shared" si="29"/>
        <v>Clean</v>
      </c>
    </row>
    <row r="611" spans="1:29" ht="15" customHeight="1">
      <c r="A611" s="23" t="str">
        <f>Raw_Data!A602</f>
        <v>BYJ1188</v>
      </c>
      <c r="B611" s="23" t="str">
        <f>Raw_Data!B602</f>
        <v>Lavanya Khosla</v>
      </c>
      <c r="C611" s="24">
        <f>IF(OR(Raw_Data!C602="",Raw_Data!C602&lt;$C$5,Raw_Data!C602&gt;$C$6),$C$4,Raw_Data!C602)</f>
        <v>14</v>
      </c>
      <c r="D611" s="23" t="str">
        <f>IF(Raw_Data!C602="","Missing-Imputed",IF(OR(Raw_Data!C602&lt;$C$5,Raw_Data!C602&gt;$C$6),"Outlier-Imputed","Original"))</f>
        <v>Original</v>
      </c>
      <c r="E611" s="23" t="str">
        <f>IF(OR(UPPER(TRIM(Raw_Data!D602))="M",UPPER(TRIM(Raw_Data!D602))="MALE"),"Male","Female")</f>
        <v>Male</v>
      </c>
      <c r="F611" s="23" t="str">
        <f>PROPER(TRIM(Raw_Data!E602))</f>
        <v>Ballia</v>
      </c>
      <c r="G611" s="23" t="str">
        <f>PROPER(TRIM(Raw_Data!F602))</f>
        <v>West Bengal</v>
      </c>
      <c r="H611" s="23" t="str">
        <f>PROPER(TRIM(Raw_Data!G602))</f>
        <v>Spoken English</v>
      </c>
      <c r="I611" s="23" t="str">
        <f>PROPER(TRIM(Raw_Data!H602))</f>
        <v>Lucknow Hub</v>
      </c>
      <c r="J611" s="24">
        <f>IF(LEN(TRIM(Raw_Data!I602))=4,VALUE(TRIM(Raw_Data!I602)),IF(ISNUMBER(IFERROR(VALUE(MID(TRIM(Raw_Data!I602),1,4)),"NA")),VALUE(MID(TRIM(Raw_Data!I602),1,4)),VALUE(RIGHT(TRIM(Raw_Data!I602),4))))</f>
        <v>2022</v>
      </c>
      <c r="K611" s="23" t="str">
        <f>PROPER(TRIM(Raw_Data!J602))</f>
        <v>Government Employee</v>
      </c>
      <c r="L611" s="23" t="str">
        <f t="shared" si="27"/>
        <v>14-16</v>
      </c>
      <c r="M611" s="23" t="str">
        <f t="shared" si="28"/>
        <v>Teens</v>
      </c>
      <c r="N611" s="23" t="str">
        <f>IF(ISNUMBER(SEARCH("NON",UPPER(Raw_Data!M602))),"Non-Premium Learner","Premium Learner")</f>
        <v>Non-Premium Learner</v>
      </c>
      <c r="O611" s="23" t="str">
        <f>PROPER(TRIM(Raw_Data!N602))</f>
        <v>Web Only</v>
      </c>
      <c r="P611" s="24">
        <f>IF(Raw_Data!O602="",$C$7,Raw_Data!O602)</f>
        <v>56519.55</v>
      </c>
      <c r="Q611" s="23" t="str">
        <f>IF(Raw_Data!O602="","Missing-Imputed","Original")</f>
        <v>Original</v>
      </c>
      <c r="R611" s="24">
        <f>Raw_Data!P602</f>
        <v>50.3</v>
      </c>
      <c r="S611" s="24">
        <f>Raw_Data!Q602</f>
        <v>34676.31</v>
      </c>
      <c r="T611" s="23" t="str">
        <f>IF(Raw_Data!R602="","Unknown",IF(ISNUMBER(SEARCH("ACT",UPPER(Raw_Data!R602))),"Active",IF(ISNUMBER(SEARCH("CLOS",UPPER(Raw_Data!R602))),"Closed","None")))</f>
        <v>None</v>
      </c>
      <c r="U611" s="24">
        <f>IF(Raw_Data!S602="",$C$8,VALUE(Raw_Data!S602))</f>
        <v>813</v>
      </c>
      <c r="V611" s="23" t="str">
        <f>IF(Raw_Data!S602="","Missing-Imputed","Original")</f>
        <v>Original</v>
      </c>
      <c r="W611" s="24">
        <f>Raw_Data!T602</f>
        <v>139</v>
      </c>
      <c r="X611" s="23" t="str">
        <f>IF(ISNUMBER(SEARCH("Y",UPPER(TRIM(Raw_Data!U602)))),"Yes","No")</f>
        <v>No</v>
      </c>
      <c r="Y611" s="23" t="str">
        <f>IF(ISNUMBER(SEARCH("Y",UPPER(TRIM(Raw_Data!V602)))),"Yes","No")</f>
        <v>Yes</v>
      </c>
      <c r="Z611" s="24">
        <f>Raw_Data!W602</f>
        <v>3</v>
      </c>
      <c r="AA611" s="24">
        <f>Raw_Data!X602</f>
        <v>1.5</v>
      </c>
      <c r="AB611" s="23" t="str">
        <f>IF(COUNTIFS(Raw_Data!$A$2:$A$616,Raw_Data!A602)&gt;1,"Duplicate","Unique")</f>
        <v>Duplicate</v>
      </c>
      <c r="AC611" s="23" t="str">
        <f t="shared" si="29"/>
        <v>Review-Duplicate</v>
      </c>
    </row>
    <row r="612" spans="1:29" ht="15" customHeight="1">
      <c r="A612" s="25" t="str">
        <f>Raw_Data!A603</f>
        <v>BYJ1010</v>
      </c>
      <c r="B612" s="25" t="str">
        <f>Raw_Data!B603</f>
        <v>Vedant Mann</v>
      </c>
      <c r="C612" s="26">
        <f>IF(OR(Raw_Data!C603="",Raw_Data!C603&lt;$C$5,Raw_Data!C603&gt;$C$6),$C$4,Raw_Data!C603)</f>
        <v>10</v>
      </c>
      <c r="D612" s="25" t="str">
        <f>IF(Raw_Data!C603="","Missing-Imputed",IF(OR(Raw_Data!C603&lt;$C$5,Raw_Data!C603&gt;$C$6),"Outlier-Imputed","Original"))</f>
        <v>Original</v>
      </c>
      <c r="E612" s="25" t="str">
        <f>IF(OR(UPPER(TRIM(Raw_Data!D603))="M",UPPER(TRIM(Raw_Data!D603))="MALE"),"Male","Female")</f>
        <v>Male</v>
      </c>
      <c r="F612" s="25" t="str">
        <f>PROPER(TRIM(Raw_Data!E603))</f>
        <v>Muzaffarpur</v>
      </c>
      <c r="G612" s="25" t="str">
        <f>PROPER(TRIM(Raw_Data!F603))</f>
        <v>Kerala</v>
      </c>
      <c r="H612" s="25" t="str">
        <f>PROPER(TRIM(Raw_Data!G603))</f>
        <v>Mathematics</v>
      </c>
      <c r="I612" s="25" t="str">
        <f>PROPER(TRIM(Raw_Data!H603))</f>
        <v>Bengaluru South</v>
      </c>
      <c r="J612" s="26">
        <f>IF(LEN(TRIM(Raw_Data!I603))=4,VALUE(TRIM(Raw_Data!I603)),IF(ISNUMBER(IFERROR(VALUE(MID(TRIM(Raw_Data!I603),1,4)),"NA")),VALUE(MID(TRIM(Raw_Data!I603),1,4)),VALUE(RIGHT(TRIM(Raw_Data!I603),4))))</f>
        <v>2024</v>
      </c>
      <c r="K612" s="25" t="str">
        <f>PROPER(TRIM(Raw_Data!J603))</f>
        <v>Business</v>
      </c>
      <c r="L612" s="25" t="str">
        <f t="shared" si="27"/>
        <v>10-13</v>
      </c>
      <c r="M612" s="25" t="str">
        <f t="shared" si="28"/>
        <v>Kids</v>
      </c>
      <c r="N612" s="25" t="str">
        <f>IF(ISNUMBER(SEARCH("NON",UPPER(Raw_Data!M603))),"Non-Premium Learner","Premium Learner")</f>
        <v>Non-Premium Learner</v>
      </c>
      <c r="O612" s="25" t="str">
        <f>PROPER(TRIM(Raw_Data!N603))</f>
        <v>App Only</v>
      </c>
      <c r="P612" s="26">
        <f>IF(Raw_Data!O603="",$C$7,Raw_Data!O603)</f>
        <v>58581.43</v>
      </c>
      <c r="Q612" s="25" t="str">
        <f>IF(Raw_Data!O603="","Missing-Imputed","Original")</f>
        <v>Original</v>
      </c>
      <c r="R612" s="26">
        <f>Raw_Data!P603</f>
        <v>67.5</v>
      </c>
      <c r="S612" s="26">
        <f>Raw_Data!Q603</f>
        <v>42212.4</v>
      </c>
      <c r="T612" s="25" t="str">
        <f>IF(Raw_Data!R603="","Unknown",IF(ISNUMBER(SEARCH("ACT",UPPER(Raw_Data!R603))),"Active",IF(ISNUMBER(SEARCH("CLOS",UPPER(Raw_Data!R603))),"Closed","None")))</f>
        <v>Unknown</v>
      </c>
      <c r="U612" s="26">
        <f>IF(Raw_Data!S603="",$C$8,VALUE(Raw_Data!S603))</f>
        <v>308</v>
      </c>
      <c r="V612" s="25" t="str">
        <f>IF(Raw_Data!S603="","Missing-Imputed","Original")</f>
        <v>Original</v>
      </c>
      <c r="W612" s="26">
        <f>Raw_Data!T603</f>
        <v>141</v>
      </c>
      <c r="X612" s="25" t="str">
        <f>IF(ISNUMBER(SEARCH("Y",UPPER(TRIM(Raw_Data!U603)))),"Yes","No")</f>
        <v>No</v>
      </c>
      <c r="Y612" s="25" t="str">
        <f>IF(ISNUMBER(SEARCH("Y",UPPER(TRIM(Raw_Data!V603)))),"Yes","No")</f>
        <v>Yes</v>
      </c>
      <c r="Z612" s="26">
        <f>Raw_Data!W603</f>
        <v>1</v>
      </c>
      <c r="AA612" s="26">
        <f>Raw_Data!X603</f>
        <v>8.1</v>
      </c>
      <c r="AB612" s="25" t="str">
        <f>IF(COUNTIFS(Raw_Data!$A$2:$A$616,Raw_Data!A603)&gt;1,"Duplicate","Unique")</f>
        <v>Duplicate</v>
      </c>
      <c r="AC612" s="25" t="str">
        <f t="shared" si="29"/>
        <v>Review-Duplicate</v>
      </c>
    </row>
    <row r="613" spans="1:29" ht="15" customHeight="1">
      <c r="A613" s="23" t="str">
        <f>Raw_Data!A604</f>
        <v>BYJ1035</v>
      </c>
      <c r="B613" s="23" t="str">
        <f>Raw_Data!B604</f>
        <v xml:space="preserve">  Ekansh Balay  </v>
      </c>
      <c r="C613" s="24">
        <f>IF(OR(Raw_Data!C604="",Raw_Data!C604&lt;$C$5,Raw_Data!C604&gt;$C$6),$C$4,Raw_Data!C604)</f>
        <v>13</v>
      </c>
      <c r="D613" s="23" t="str">
        <f>IF(Raw_Data!C604="","Missing-Imputed",IF(OR(Raw_Data!C604&lt;$C$5,Raw_Data!C604&gt;$C$6),"Outlier-Imputed","Original"))</f>
        <v>Original</v>
      </c>
      <c r="E613" s="23" t="str">
        <f>IF(OR(UPPER(TRIM(Raw_Data!D604))="M",UPPER(TRIM(Raw_Data!D604))="MALE"),"Male","Female")</f>
        <v>Male</v>
      </c>
      <c r="F613" s="23" t="str">
        <f>PROPER(TRIM(Raw_Data!E604))</f>
        <v>Madurai</v>
      </c>
      <c r="G613" s="23" t="str">
        <f>PROPER(TRIM(Raw_Data!F604))</f>
        <v>Maharashtra</v>
      </c>
      <c r="H613" s="23" t="str">
        <f>PROPER(TRIM(Raw_Data!G604))</f>
        <v>Robotics</v>
      </c>
      <c r="I613" s="23" t="str">
        <f>PROPER(TRIM(Raw_Data!H604))</f>
        <v>Ahmedabad Center</v>
      </c>
      <c r="J613" s="24">
        <f>IF(LEN(TRIM(Raw_Data!I604))=4,VALUE(TRIM(Raw_Data!I604)),IF(ISNUMBER(IFERROR(VALUE(MID(TRIM(Raw_Data!I604),1,4)),"NA")),VALUE(MID(TRIM(Raw_Data!I604),1,4)),VALUE(RIGHT(TRIM(Raw_Data!I604),4))))</f>
        <v>2021</v>
      </c>
      <c r="K613" s="23" t="str">
        <f>PROPER(TRIM(Raw_Data!J604))</f>
        <v>Government Employee</v>
      </c>
      <c r="L613" s="23" t="str">
        <f t="shared" si="27"/>
        <v>10-13</v>
      </c>
      <c r="M613" s="23" t="str">
        <f t="shared" si="28"/>
        <v>Kids</v>
      </c>
      <c r="N613" s="23" t="str">
        <f>IF(ISNUMBER(SEARCH("NON",UPPER(Raw_Data!M604))),"Non-Premium Learner","Premium Learner")</f>
        <v>Non-Premium Learner</v>
      </c>
      <c r="O613" s="23" t="str">
        <f>PROPER(TRIM(Raw_Data!N604))</f>
        <v>Web Only</v>
      </c>
      <c r="P613" s="24">
        <f>IF(Raw_Data!O604="",$C$7,Raw_Data!O604)</f>
        <v>99963.68</v>
      </c>
      <c r="Q613" s="23" t="str">
        <f>IF(Raw_Data!O604="","Missing-Imputed","Original")</f>
        <v>Original</v>
      </c>
      <c r="R613" s="24">
        <f>Raw_Data!P604</f>
        <v>51.2</v>
      </c>
      <c r="S613" s="24">
        <f>Raw_Data!Q604</f>
        <v>56343.18</v>
      </c>
      <c r="T613" s="23" t="str">
        <f>IF(Raw_Data!R604="","Unknown",IF(ISNUMBER(SEARCH("ACT",UPPER(Raw_Data!R604))),"Active",IF(ISNUMBER(SEARCH("CLOS",UPPER(Raw_Data!R604))),"Closed","None")))</f>
        <v>Closed</v>
      </c>
      <c r="U613" s="24">
        <f>IF(Raw_Data!S604="",$C$8,VALUE(Raw_Data!S604))</f>
        <v>679</v>
      </c>
      <c r="V613" s="23" t="str">
        <f>IF(Raw_Data!S604="","Missing-Imputed","Original")</f>
        <v>Original</v>
      </c>
      <c r="W613" s="24">
        <f>Raw_Data!T604</f>
        <v>113</v>
      </c>
      <c r="X613" s="23" t="str">
        <f>IF(ISNUMBER(SEARCH("Y",UPPER(TRIM(Raw_Data!U604)))),"Yes","No")</f>
        <v>Yes</v>
      </c>
      <c r="Y613" s="23" t="str">
        <f>IF(ISNUMBER(SEARCH("Y",UPPER(TRIM(Raw_Data!V604)))),"Yes","No")</f>
        <v>Yes</v>
      </c>
      <c r="Z613" s="24">
        <f>Raw_Data!W604</f>
        <v>5</v>
      </c>
      <c r="AA613" s="24">
        <f>Raw_Data!X604</f>
        <v>8.1999999999999993</v>
      </c>
      <c r="AB613" s="23" t="str">
        <f>IF(COUNTIFS(Raw_Data!$A$2:$A$616,Raw_Data!A604)&gt;1,"Duplicate","Unique")</f>
        <v>Duplicate</v>
      </c>
      <c r="AC613" s="23" t="str">
        <f t="shared" si="29"/>
        <v>Review-Duplicate</v>
      </c>
    </row>
    <row r="614" spans="1:29" ht="15" customHeight="1">
      <c r="A614" s="25" t="str">
        <f>Raw_Data!A605</f>
        <v>BYJ1554</v>
      </c>
      <c r="B614" s="25" t="str">
        <f>Raw_Data!B605</f>
        <v>Zarna Upadhyay</v>
      </c>
      <c r="C614" s="26">
        <f>IF(OR(Raw_Data!C605="",Raw_Data!C605&lt;$C$5,Raw_Data!C605&gt;$C$6),$C$4,Raw_Data!C605)</f>
        <v>38</v>
      </c>
      <c r="D614" s="25" t="str">
        <f>IF(Raw_Data!C605="","Missing-Imputed",IF(OR(Raw_Data!C605&lt;$C$5,Raw_Data!C605&gt;$C$6),"Outlier-Imputed","Original"))</f>
        <v>Original</v>
      </c>
      <c r="E614" s="25" t="str">
        <f>IF(OR(UPPER(TRIM(Raw_Data!D605))="M",UPPER(TRIM(Raw_Data!D605))="MALE"),"Male","Female")</f>
        <v>Female</v>
      </c>
      <c r="F614" s="25" t="str">
        <f>PROPER(TRIM(Raw_Data!E605))</f>
        <v>Katni</v>
      </c>
      <c r="G614" s="25" t="str">
        <f>PROPER(TRIM(Raw_Data!F605))</f>
        <v>Uttar Pradesh</v>
      </c>
      <c r="H614" s="25" t="str">
        <f>PROPER(TRIM(Raw_Data!G605))</f>
        <v>English</v>
      </c>
      <c r="I614" s="25" t="str">
        <f>PROPER(TRIM(Raw_Data!H605))</f>
        <v>Bengaluru South</v>
      </c>
      <c r="J614" s="26">
        <f>IF(LEN(TRIM(Raw_Data!I605))=4,VALUE(TRIM(Raw_Data!I605)),IF(ISNUMBER(IFERROR(VALUE(MID(TRIM(Raw_Data!I605),1,4)),"NA")),VALUE(MID(TRIM(Raw_Data!I605),1,4)),VALUE(RIGHT(TRIM(Raw_Data!I605),4))))</f>
        <v>2022</v>
      </c>
      <c r="K614" s="25" t="str">
        <f>PROPER(TRIM(Raw_Data!J605))</f>
        <v>Retired</v>
      </c>
      <c r="L614" s="25" t="str">
        <f t="shared" si="27"/>
        <v>20+</v>
      </c>
      <c r="M614" s="25" t="str">
        <f t="shared" si="28"/>
        <v>Adult Learners</v>
      </c>
      <c r="N614" s="25" t="str">
        <f>IF(ISNUMBER(SEARCH("NON",UPPER(Raw_Data!M605))),"Non-Premium Learner","Premium Learner")</f>
        <v>Non-Premium Learner</v>
      </c>
      <c r="O614" s="25" t="str">
        <f>PROPER(TRIM(Raw_Data!N605))</f>
        <v>Web Only</v>
      </c>
      <c r="P614" s="26">
        <f>IF(Raw_Data!O605="",$C$7,Raw_Data!O605)</f>
        <v>30454.6</v>
      </c>
      <c r="Q614" s="25" t="str">
        <f>IF(Raw_Data!O605="","Missing-Imputed","Original")</f>
        <v>Original</v>
      </c>
      <c r="R614" s="26">
        <f>Raw_Data!P605</f>
        <v>21.1</v>
      </c>
      <c r="S614" s="26">
        <f>Raw_Data!Q605</f>
        <v>26573.9</v>
      </c>
      <c r="T614" s="25" t="str">
        <f>IF(Raw_Data!R605="","Unknown",IF(ISNUMBER(SEARCH("ACT",UPPER(Raw_Data!R605))),"Active",IF(ISNUMBER(SEARCH("CLOS",UPPER(Raw_Data!R605))),"Closed","None")))</f>
        <v>None</v>
      </c>
      <c r="U614" s="26">
        <f>IF(Raw_Data!S605="",$C$8,VALUE(Raw_Data!S605))</f>
        <v>878</v>
      </c>
      <c r="V614" s="25" t="str">
        <f>IF(Raw_Data!S605="","Missing-Imputed","Original")</f>
        <v>Original</v>
      </c>
      <c r="W614" s="26">
        <f>Raw_Data!T605</f>
        <v>47</v>
      </c>
      <c r="X614" s="25" t="str">
        <f>IF(ISNUMBER(SEARCH("Y",UPPER(TRIM(Raw_Data!U605)))),"Yes","No")</f>
        <v>Yes</v>
      </c>
      <c r="Y614" s="25" t="str">
        <f>IF(ISNUMBER(SEARCH("Y",UPPER(TRIM(Raw_Data!V605)))),"Yes","No")</f>
        <v>Yes</v>
      </c>
      <c r="Z614" s="26">
        <f>Raw_Data!W605</f>
        <v>2</v>
      </c>
      <c r="AA614" s="26">
        <f>Raw_Data!X605</f>
        <v>5.4</v>
      </c>
      <c r="AB614" s="25" t="str">
        <f>IF(COUNTIFS(Raw_Data!$A$2:$A$616,Raw_Data!A605)&gt;1,"Duplicate","Unique")</f>
        <v>Duplicate</v>
      </c>
      <c r="AC614" s="25" t="str">
        <f t="shared" si="29"/>
        <v>Review-Duplicate</v>
      </c>
    </row>
    <row r="615" spans="1:29" ht="15" customHeight="1">
      <c r="A615" s="23" t="str">
        <f>Raw_Data!A606</f>
        <v>BYJ1342</v>
      </c>
      <c r="B615" s="23" t="str">
        <f>Raw_Data!B606</f>
        <v>Shivansh Saha</v>
      </c>
      <c r="C615" s="24">
        <f>IF(OR(Raw_Data!C606="",Raw_Data!C606&lt;$C$5,Raw_Data!C606&gt;$C$6),$C$4,Raw_Data!C606)</f>
        <v>10</v>
      </c>
      <c r="D615" s="23" t="str">
        <f>IF(Raw_Data!C606="","Missing-Imputed",IF(OR(Raw_Data!C606&lt;$C$5,Raw_Data!C606&gt;$C$6),"Outlier-Imputed","Original"))</f>
        <v>Original</v>
      </c>
      <c r="E615" s="23" t="str">
        <f>IF(OR(UPPER(TRIM(Raw_Data!D606))="M",UPPER(TRIM(Raw_Data!D606))="MALE"),"Male","Female")</f>
        <v>Male</v>
      </c>
      <c r="F615" s="23" t="str">
        <f>PROPER(TRIM(Raw_Data!E606))</f>
        <v>Mehsana</v>
      </c>
      <c r="G615" s="23" t="str">
        <f>PROPER(TRIM(Raw_Data!F606))</f>
        <v>Rajasthan</v>
      </c>
      <c r="H615" s="23" t="str">
        <f>PROPER(TRIM(Raw_Data!G606))</f>
        <v>Coding</v>
      </c>
      <c r="I615" s="23" t="str">
        <f>PROPER(TRIM(Raw_Data!H606))</f>
        <v>Ahmedabad Center</v>
      </c>
      <c r="J615" s="24">
        <f>IF(LEN(TRIM(Raw_Data!I606))=4,VALUE(TRIM(Raw_Data!I606)),IF(ISNUMBER(IFERROR(VALUE(MID(TRIM(Raw_Data!I606),1,4)),"NA")),VALUE(MID(TRIM(Raw_Data!I606),1,4)),VALUE(RIGHT(TRIM(Raw_Data!I606),4))))</f>
        <v>2019</v>
      </c>
      <c r="K615" s="23" t="str">
        <f>PROPER(TRIM(Raw_Data!J606))</f>
        <v>Salaried</v>
      </c>
      <c r="L615" s="23" t="str">
        <f t="shared" si="27"/>
        <v>10-13</v>
      </c>
      <c r="M615" s="23" t="str">
        <f t="shared" si="28"/>
        <v>Kids</v>
      </c>
      <c r="N615" s="23" t="str">
        <f>IF(ISNUMBER(SEARCH("NON",UPPER(Raw_Data!M606))),"Non-Premium Learner","Premium Learner")</f>
        <v>Non-Premium Learner</v>
      </c>
      <c r="O615" s="23" t="str">
        <f>PROPER(TRIM(Raw_Data!N606))</f>
        <v>App Only</v>
      </c>
      <c r="P615" s="24">
        <f>IF(Raw_Data!O606="",$C$7,Raw_Data!O606)</f>
        <v>81164.03</v>
      </c>
      <c r="Q615" s="23" t="str">
        <f>IF(Raw_Data!O606="","Missing-Imputed","Original")</f>
        <v>Original</v>
      </c>
      <c r="R615" s="24">
        <f>Raw_Data!P606</f>
        <v>16</v>
      </c>
      <c r="S615" s="24">
        <f>Raw_Data!Q606</f>
        <v>5634.61</v>
      </c>
      <c r="T615" s="23" t="str">
        <f>IF(Raw_Data!R606="","Unknown",IF(ISNUMBER(SEARCH("ACT",UPPER(Raw_Data!R606))),"Active",IF(ISNUMBER(SEARCH("CLOS",UPPER(Raw_Data!R606))),"Closed","None")))</f>
        <v>Closed</v>
      </c>
      <c r="U615" s="24">
        <f>IF(Raw_Data!S606="",$C$8,VALUE(Raw_Data!S606))</f>
        <v>643</v>
      </c>
      <c r="V615" s="23" t="str">
        <f>IF(Raw_Data!S606="","Missing-Imputed","Original")</f>
        <v>Original</v>
      </c>
      <c r="W615" s="24">
        <f>Raw_Data!T606</f>
        <v>188</v>
      </c>
      <c r="X615" s="23" t="str">
        <f>IF(ISNUMBER(SEARCH("Y",UPPER(TRIM(Raw_Data!U606)))),"Yes","No")</f>
        <v>No</v>
      </c>
      <c r="Y615" s="23" t="str">
        <f>IF(ISNUMBER(SEARCH("Y",UPPER(TRIM(Raw_Data!V606)))),"Yes","No")</f>
        <v>No</v>
      </c>
      <c r="Z615" s="24">
        <f>Raw_Data!W606</f>
        <v>3</v>
      </c>
      <c r="AA615" s="24">
        <f>Raw_Data!X606</f>
        <v>4.4000000000000004</v>
      </c>
      <c r="AB615" s="23" t="str">
        <f>IF(COUNTIFS(Raw_Data!$A$2:$A$616,Raw_Data!A606)&gt;1,"Duplicate","Unique")</f>
        <v>Duplicate</v>
      </c>
      <c r="AC615" s="23" t="str">
        <f t="shared" si="29"/>
        <v>Review-Duplicate</v>
      </c>
    </row>
    <row r="616" spans="1:29" ht="15" customHeight="1">
      <c r="A616" s="25" t="str">
        <f>Raw_Data!A607</f>
        <v>BYJ1333</v>
      </c>
      <c r="B616" s="25" t="str">
        <f>Raw_Data!B607</f>
        <v>Dominic More</v>
      </c>
      <c r="C616" s="26">
        <f>IF(OR(Raw_Data!C607="",Raw_Data!C607&lt;$C$5,Raw_Data!C607&gt;$C$6),$C$4,Raw_Data!C607)</f>
        <v>42</v>
      </c>
      <c r="D616" s="25" t="str">
        <f>IF(Raw_Data!C607="","Missing-Imputed",IF(OR(Raw_Data!C607&lt;$C$5,Raw_Data!C607&gt;$C$6),"Outlier-Imputed","Original"))</f>
        <v>Original</v>
      </c>
      <c r="E616" s="25" t="str">
        <f>IF(OR(UPPER(TRIM(Raw_Data!D607))="M",UPPER(TRIM(Raw_Data!D607))="MALE"),"Male","Female")</f>
        <v>Female</v>
      </c>
      <c r="F616" s="25" t="str">
        <f>PROPER(TRIM(Raw_Data!E607))</f>
        <v>Nangloi Jat</v>
      </c>
      <c r="G616" s="25" t="str">
        <f>PROPER(TRIM(Raw_Data!F607))</f>
        <v>Karnataka</v>
      </c>
      <c r="H616" s="25" t="str">
        <f>PROPER(TRIM(Raw_Data!G607))</f>
        <v>Spoken English</v>
      </c>
      <c r="I616" s="25" t="str">
        <f>PROPER(TRIM(Raw_Data!H607))</f>
        <v>Mumbai West</v>
      </c>
      <c r="J616" s="26">
        <f>IF(LEN(TRIM(Raw_Data!I607))=4,VALUE(TRIM(Raw_Data!I607)),IF(ISNUMBER(IFERROR(VALUE(MID(TRIM(Raw_Data!I607),1,4)),"NA")),VALUE(MID(TRIM(Raw_Data!I607),1,4)),VALUE(RIGHT(TRIM(Raw_Data!I607),4))))</f>
        <v>2016</v>
      </c>
      <c r="K616" s="25" t="str">
        <f>PROPER(TRIM(Raw_Data!J607))</f>
        <v>Homemaker</v>
      </c>
      <c r="L616" s="25" t="str">
        <f t="shared" si="27"/>
        <v>20+</v>
      </c>
      <c r="M616" s="25" t="str">
        <f t="shared" si="28"/>
        <v>Adult Learners</v>
      </c>
      <c r="N616" s="25" t="str">
        <f>IF(ISNUMBER(SEARCH("NON",UPPER(Raw_Data!M607))),"Non-Premium Learner","Premium Learner")</f>
        <v>Non-Premium Learner</v>
      </c>
      <c r="O616" s="25" t="str">
        <f>PROPER(TRIM(Raw_Data!N607))</f>
        <v>Both App &amp; Web</v>
      </c>
      <c r="P616" s="26">
        <f>IF(Raw_Data!O607="",$C$7,Raw_Data!O607)</f>
        <v>56076.73</v>
      </c>
      <c r="Q616" s="25" t="str">
        <f>IF(Raw_Data!O607="","Missing-Imputed","Original")</f>
        <v>Original</v>
      </c>
      <c r="R616" s="26">
        <f>Raw_Data!P607</f>
        <v>18.5</v>
      </c>
      <c r="S616" s="26">
        <f>Raw_Data!Q607</f>
        <v>19360.87</v>
      </c>
      <c r="T616" s="25" t="str">
        <f>IF(Raw_Data!R607="","Unknown",IF(ISNUMBER(SEARCH("ACT",UPPER(Raw_Data!R607))),"Active",IF(ISNUMBER(SEARCH("CLOS",UPPER(Raw_Data!R607))),"Closed","None")))</f>
        <v>Active</v>
      </c>
      <c r="U616" s="26">
        <f>IF(Raw_Data!S607="",$C$8,VALUE(Raw_Data!S607))</f>
        <v>551</v>
      </c>
      <c r="V616" s="25" t="str">
        <f>IF(Raw_Data!S607="","Missing-Imputed","Original")</f>
        <v>Original</v>
      </c>
      <c r="W616" s="26">
        <f>Raw_Data!T607</f>
        <v>168</v>
      </c>
      <c r="X616" s="25" t="str">
        <f>IF(ISNUMBER(SEARCH("Y",UPPER(TRIM(Raw_Data!U607)))),"Yes","No")</f>
        <v>No</v>
      </c>
      <c r="Y616" s="25" t="str">
        <f>IF(ISNUMBER(SEARCH("Y",UPPER(TRIM(Raw_Data!V607)))),"Yes","No")</f>
        <v>Yes</v>
      </c>
      <c r="Z616" s="26">
        <f>Raw_Data!W607</f>
        <v>1</v>
      </c>
      <c r="AA616" s="26">
        <f>Raw_Data!X607</f>
        <v>0.6</v>
      </c>
      <c r="AB616" s="25" t="str">
        <f>IF(COUNTIFS(Raw_Data!$A$2:$A$616,Raw_Data!A607)&gt;1,"Duplicate","Unique")</f>
        <v>Duplicate</v>
      </c>
      <c r="AC616" s="25" t="str">
        <f t="shared" si="29"/>
        <v>Review-Duplicate</v>
      </c>
    </row>
    <row r="617" spans="1:29" ht="15" customHeight="1">
      <c r="A617" s="23" t="str">
        <f>Raw_Data!A608</f>
        <v>BYJ1110</v>
      </c>
      <c r="B617" s="23" t="str">
        <f>Raw_Data!B608</f>
        <v>Suhani Narain</v>
      </c>
      <c r="C617" s="24">
        <f>IF(OR(Raw_Data!C608="",Raw_Data!C608&lt;$C$5,Raw_Data!C608&gt;$C$6),$C$4,Raw_Data!C608)</f>
        <v>12</v>
      </c>
      <c r="D617" s="23" t="str">
        <f>IF(Raw_Data!C608="","Missing-Imputed",IF(OR(Raw_Data!C608&lt;$C$5,Raw_Data!C608&gt;$C$6),"Outlier-Imputed","Original"))</f>
        <v>Original</v>
      </c>
      <c r="E617" s="23" t="str">
        <f>IF(OR(UPPER(TRIM(Raw_Data!D608))="M",UPPER(TRIM(Raw_Data!D608))="MALE"),"Male","Female")</f>
        <v>Male</v>
      </c>
      <c r="F617" s="23" t="str">
        <f>PROPER(TRIM(Raw_Data!E608))</f>
        <v>Nadiad</v>
      </c>
      <c r="G617" s="23" t="str">
        <f>PROPER(TRIM(Raw_Data!F608))</f>
        <v>West Bengal</v>
      </c>
      <c r="H617" s="23" t="str">
        <f>PROPER(TRIM(Raw_Data!G608))</f>
        <v>English</v>
      </c>
      <c r="I617" s="23" t="str">
        <f>PROPER(TRIM(Raw_Data!H608))</f>
        <v>Jaipur Center</v>
      </c>
      <c r="J617" s="24">
        <f>IF(LEN(TRIM(Raw_Data!I608))=4,VALUE(TRIM(Raw_Data!I608)),IF(ISNUMBER(IFERROR(VALUE(MID(TRIM(Raw_Data!I608),1,4)),"NA")),VALUE(MID(TRIM(Raw_Data!I608),1,4)),VALUE(RIGHT(TRIM(Raw_Data!I608),4))))</f>
        <v>2016</v>
      </c>
      <c r="K617" s="23" t="str">
        <f>PROPER(TRIM(Raw_Data!J608))</f>
        <v>Government Employee</v>
      </c>
      <c r="L617" s="23" t="str">
        <f t="shared" si="27"/>
        <v>10-13</v>
      </c>
      <c r="M617" s="23" t="str">
        <f t="shared" si="28"/>
        <v>Kids</v>
      </c>
      <c r="N617" s="23" t="str">
        <f>IF(ISNUMBER(SEARCH("NON",UPPER(Raw_Data!M608))),"Non-Premium Learner","Premium Learner")</f>
        <v>Non-Premium Learner</v>
      </c>
      <c r="O617" s="23" t="str">
        <f>PROPER(TRIM(Raw_Data!N608))</f>
        <v>Both App &amp; Web</v>
      </c>
      <c r="P617" s="24">
        <f>IF(Raw_Data!O608="",$C$7,Raw_Data!O608)</f>
        <v>132839.81</v>
      </c>
      <c r="Q617" s="23" t="str">
        <f>IF(Raw_Data!O608="","Missing-Imputed","Original")</f>
        <v>Original</v>
      </c>
      <c r="R617" s="24">
        <f>Raw_Data!P608</f>
        <v>10.9</v>
      </c>
      <c r="S617" s="24">
        <f>Raw_Data!Q608</f>
        <v>54166.63</v>
      </c>
      <c r="T617" s="23" t="str">
        <f>IF(Raw_Data!R608="","Unknown",IF(ISNUMBER(SEARCH("ACT",UPPER(Raw_Data!R608))),"Active",IF(ISNUMBER(SEARCH("CLOS",UPPER(Raw_Data!R608))),"Closed","None")))</f>
        <v>None</v>
      </c>
      <c r="U617" s="24">
        <f>IF(Raw_Data!S608="",$C$8,VALUE(Raw_Data!S608))</f>
        <v>814</v>
      </c>
      <c r="V617" s="23" t="str">
        <f>IF(Raw_Data!S608="","Missing-Imputed","Original")</f>
        <v>Original</v>
      </c>
      <c r="W617" s="24">
        <f>Raw_Data!T608</f>
        <v>132</v>
      </c>
      <c r="X617" s="23" t="str">
        <f>IF(ISNUMBER(SEARCH("Y",UPPER(TRIM(Raw_Data!U608)))),"Yes","No")</f>
        <v>Yes</v>
      </c>
      <c r="Y617" s="23" t="str">
        <f>IF(ISNUMBER(SEARCH("Y",UPPER(TRIM(Raw_Data!V608)))),"Yes","No")</f>
        <v>No</v>
      </c>
      <c r="Z617" s="24">
        <f>Raw_Data!W608</f>
        <v>2</v>
      </c>
      <c r="AA617" s="24">
        <f>Raw_Data!X608</f>
        <v>8.8000000000000007</v>
      </c>
      <c r="AB617" s="23" t="str">
        <f>IF(COUNTIFS(Raw_Data!$A$2:$A$616,Raw_Data!A608)&gt;1,"Duplicate","Unique")</f>
        <v>Duplicate</v>
      </c>
      <c r="AC617" s="23" t="str">
        <f t="shared" si="29"/>
        <v>Review-Duplicate</v>
      </c>
    </row>
    <row r="618" spans="1:29" ht="15" customHeight="1">
      <c r="A618" s="25" t="str">
        <f>Raw_Data!A609</f>
        <v>BYJ1044</v>
      </c>
      <c r="B618" s="25" t="str">
        <f>Raw_Data!B609</f>
        <v>Girik Khalsa</v>
      </c>
      <c r="C618" s="26">
        <f>IF(OR(Raw_Data!C609="",Raw_Data!C609&lt;$C$5,Raw_Data!C609&gt;$C$6),$C$4,Raw_Data!C609)</f>
        <v>28</v>
      </c>
      <c r="D618" s="25" t="str">
        <f>IF(Raw_Data!C609="","Missing-Imputed",IF(OR(Raw_Data!C609&lt;$C$5,Raw_Data!C609&gt;$C$6),"Outlier-Imputed","Original"))</f>
        <v>Original</v>
      </c>
      <c r="E618" s="25" t="str">
        <f>IF(OR(UPPER(TRIM(Raw_Data!D609))="M",UPPER(TRIM(Raw_Data!D609))="MALE"),"Male","Female")</f>
        <v>Female</v>
      </c>
      <c r="F618" s="25" t="str">
        <f>PROPER(TRIM(Raw_Data!E609))</f>
        <v>Vellore</v>
      </c>
      <c r="G618" s="25" t="str">
        <f>PROPER(TRIM(Raw_Data!F609))</f>
        <v>Maharashtra</v>
      </c>
      <c r="H618" s="25" t="str">
        <f>PROPER(TRIM(Raw_Data!G609))</f>
        <v>Jee Prep</v>
      </c>
      <c r="I618" s="25" t="str">
        <f>PROPER(TRIM(Raw_Data!H609))</f>
        <v>Delhi North</v>
      </c>
      <c r="J618" s="26">
        <f>IF(LEN(TRIM(Raw_Data!I609))=4,VALUE(TRIM(Raw_Data!I609)),IF(ISNUMBER(IFERROR(VALUE(MID(TRIM(Raw_Data!I609),1,4)),"NA")),VALUE(MID(TRIM(Raw_Data!I609),1,4)),VALUE(RIGHT(TRIM(Raw_Data!I609),4))))</f>
        <v>2018</v>
      </c>
      <c r="K618" s="25" t="str">
        <f>PROPER(TRIM(Raw_Data!J609))</f>
        <v>Business</v>
      </c>
      <c r="L618" s="25" t="str">
        <f t="shared" si="27"/>
        <v>20+</v>
      </c>
      <c r="M618" s="25" t="str">
        <f t="shared" si="28"/>
        <v>Adult Learners</v>
      </c>
      <c r="N618" s="25" t="str">
        <f>IF(ISNUMBER(SEARCH("NON",UPPER(Raw_Data!M609))),"Non-Premium Learner","Premium Learner")</f>
        <v>Non-Premium Learner</v>
      </c>
      <c r="O618" s="25" t="str">
        <f>PROPER(TRIM(Raw_Data!N609))</f>
        <v>Web Only</v>
      </c>
      <c r="P618" s="26">
        <f>IF(Raw_Data!O609="",$C$7,Raw_Data!O609)</f>
        <v>114394.64</v>
      </c>
      <c r="Q618" s="25" t="str">
        <f>IF(Raw_Data!O609="","Missing-Imputed","Original")</f>
        <v>Original</v>
      </c>
      <c r="R618" s="26">
        <f>Raw_Data!P609</f>
        <v>38.700000000000003</v>
      </c>
      <c r="S618" s="26">
        <f>Raw_Data!Q609</f>
        <v>55449.26</v>
      </c>
      <c r="T618" s="25" t="str">
        <f>IF(Raw_Data!R609="","Unknown",IF(ISNUMBER(SEARCH("ACT",UPPER(Raw_Data!R609))),"Active",IF(ISNUMBER(SEARCH("CLOS",UPPER(Raw_Data!R609))),"Closed","None")))</f>
        <v>Unknown</v>
      </c>
      <c r="U618" s="26">
        <f>IF(Raw_Data!S609="",$C$8,VALUE(Raw_Data!S609))</f>
        <v>630</v>
      </c>
      <c r="V618" s="25" t="str">
        <f>IF(Raw_Data!S609="","Missing-Imputed","Original")</f>
        <v>Original</v>
      </c>
      <c r="W618" s="26">
        <f>Raw_Data!T609</f>
        <v>160</v>
      </c>
      <c r="X618" s="25" t="str">
        <f>IF(ISNUMBER(SEARCH("Y",UPPER(TRIM(Raw_Data!U609)))),"Yes","No")</f>
        <v>No</v>
      </c>
      <c r="Y618" s="25" t="str">
        <f>IF(ISNUMBER(SEARCH("Y",UPPER(TRIM(Raw_Data!V609)))),"Yes","No")</f>
        <v>No</v>
      </c>
      <c r="Z618" s="26">
        <f>Raw_Data!W609</f>
        <v>4</v>
      </c>
      <c r="AA618" s="26">
        <f>Raw_Data!X609</f>
        <v>4.3</v>
      </c>
      <c r="AB618" s="25" t="str">
        <f>IF(COUNTIFS(Raw_Data!$A$2:$A$616,Raw_Data!A609)&gt;1,"Duplicate","Unique")</f>
        <v>Duplicate</v>
      </c>
      <c r="AC618" s="25" t="str">
        <f t="shared" si="29"/>
        <v>Review-Duplicate</v>
      </c>
    </row>
    <row r="619" spans="1:29" ht="15" customHeight="1">
      <c r="A619" s="23" t="str">
        <f>Raw_Data!A610</f>
        <v>BYJ1506</v>
      </c>
      <c r="B619" s="23" t="str">
        <f>Raw_Data!B610</f>
        <v>Rachit Pau</v>
      </c>
      <c r="C619" s="24">
        <f>IF(OR(Raw_Data!C610="",Raw_Data!C610&lt;$C$5,Raw_Data!C610&gt;$C$6),$C$4,Raw_Data!C610)</f>
        <v>10</v>
      </c>
      <c r="D619" s="23" t="str">
        <f>IF(Raw_Data!C610="","Missing-Imputed",IF(OR(Raw_Data!C610&lt;$C$5,Raw_Data!C610&gt;$C$6),"Outlier-Imputed","Original"))</f>
        <v>Original</v>
      </c>
      <c r="E619" s="23" t="str">
        <f>IF(OR(UPPER(TRIM(Raw_Data!D610))="M",UPPER(TRIM(Raw_Data!D610))="MALE"),"Male","Female")</f>
        <v>Male</v>
      </c>
      <c r="F619" s="23" t="str">
        <f>PROPER(TRIM(Raw_Data!E610))</f>
        <v>Thiruvananthapuram</v>
      </c>
      <c r="G619" s="23" t="str">
        <f>PROPER(TRIM(Raw_Data!F610))</f>
        <v>Rajasthan</v>
      </c>
      <c r="H619" s="23" t="str">
        <f>PROPER(TRIM(Raw_Data!G610))</f>
        <v>Coding</v>
      </c>
      <c r="I619" s="23" t="str">
        <f>PROPER(TRIM(Raw_Data!H610))</f>
        <v>Ahmedabad Center</v>
      </c>
      <c r="J619" s="24">
        <f>IF(LEN(TRIM(Raw_Data!I610))=4,VALUE(TRIM(Raw_Data!I610)),IF(ISNUMBER(IFERROR(VALUE(MID(TRIM(Raw_Data!I610),1,4)),"NA")),VALUE(MID(TRIM(Raw_Data!I610),1,4)),VALUE(RIGHT(TRIM(Raw_Data!I610),4))))</f>
        <v>2021</v>
      </c>
      <c r="K619" s="23" t="str">
        <f>PROPER(TRIM(Raw_Data!J610))</f>
        <v>Homemaker</v>
      </c>
      <c r="L619" s="23" t="str">
        <f t="shared" si="27"/>
        <v>10-13</v>
      </c>
      <c r="M619" s="23" t="str">
        <f t="shared" si="28"/>
        <v>Kids</v>
      </c>
      <c r="N619" s="23" t="str">
        <f>IF(ISNUMBER(SEARCH("NON",UPPER(Raw_Data!M610))),"Non-Premium Learner","Premium Learner")</f>
        <v>Premium Learner</v>
      </c>
      <c r="O619" s="23" t="str">
        <f>PROPER(TRIM(Raw_Data!N610))</f>
        <v>App Only</v>
      </c>
      <c r="P619" s="24">
        <f>IF(Raw_Data!O610="",$C$7,Raw_Data!O610)</f>
        <v>16891.29</v>
      </c>
      <c r="Q619" s="23" t="str">
        <f>IF(Raw_Data!O610="","Missing-Imputed","Original")</f>
        <v>Original</v>
      </c>
      <c r="R619" s="24">
        <f>Raw_Data!P610</f>
        <v>53.6</v>
      </c>
      <c r="S619" s="24">
        <f>Raw_Data!Q610</f>
        <v>34140.910000000003</v>
      </c>
      <c r="T619" s="23" t="str">
        <f>IF(Raw_Data!R610="","Unknown",IF(ISNUMBER(SEARCH("ACT",UPPER(Raw_Data!R610))),"Active",IF(ISNUMBER(SEARCH("CLOS",UPPER(Raw_Data!R610))),"Closed","None")))</f>
        <v>Active</v>
      </c>
      <c r="U619" s="24">
        <f>IF(Raw_Data!S610="",$C$8,VALUE(Raw_Data!S610))</f>
        <v>781</v>
      </c>
      <c r="V619" s="23" t="str">
        <f>IF(Raw_Data!S610="","Missing-Imputed","Original")</f>
        <v>Original</v>
      </c>
      <c r="W619" s="24">
        <f>Raw_Data!T610</f>
        <v>181</v>
      </c>
      <c r="X619" s="23" t="str">
        <f>IF(ISNUMBER(SEARCH("Y",UPPER(TRIM(Raw_Data!U610)))),"Yes","No")</f>
        <v>Yes</v>
      </c>
      <c r="Y619" s="23" t="str">
        <f>IF(ISNUMBER(SEARCH("Y",UPPER(TRIM(Raw_Data!V610)))),"Yes","No")</f>
        <v>Yes</v>
      </c>
      <c r="Z619" s="24">
        <f>Raw_Data!W610</f>
        <v>1</v>
      </c>
      <c r="AA619" s="24">
        <f>Raw_Data!X610</f>
        <v>6.3</v>
      </c>
      <c r="AB619" s="23" t="str">
        <f>IF(COUNTIFS(Raw_Data!$A$2:$A$616,Raw_Data!A610)&gt;1,"Duplicate","Unique")</f>
        <v>Duplicate</v>
      </c>
      <c r="AC619" s="23" t="str">
        <f t="shared" si="29"/>
        <v>Review-Duplicate</v>
      </c>
    </row>
    <row r="620" spans="1:29" ht="15" customHeight="1">
      <c r="A620" s="25" t="str">
        <f>Raw_Data!A611</f>
        <v>BYJ1317</v>
      </c>
      <c r="B620" s="25" t="str">
        <f>Raw_Data!B611</f>
        <v>Ojas Sawhney</v>
      </c>
      <c r="C620" s="26">
        <f>IF(OR(Raw_Data!C611="",Raw_Data!C611&lt;$C$5,Raw_Data!C611&gt;$C$6),$C$4,Raw_Data!C611)</f>
        <v>17</v>
      </c>
      <c r="D620" s="25" t="str">
        <f>IF(Raw_Data!C611="","Missing-Imputed",IF(OR(Raw_Data!C611&lt;$C$5,Raw_Data!C611&gt;$C$6),"Outlier-Imputed","Original"))</f>
        <v>Original</v>
      </c>
      <c r="E620" s="25" t="str">
        <f>IF(OR(UPPER(TRIM(Raw_Data!D611))="M",UPPER(TRIM(Raw_Data!D611))="MALE"),"Male","Female")</f>
        <v>Male</v>
      </c>
      <c r="F620" s="25" t="str">
        <f>PROPER(TRIM(Raw_Data!E611))</f>
        <v>Amroha</v>
      </c>
      <c r="G620" s="25" t="str">
        <f>PROPER(TRIM(Raw_Data!F611))</f>
        <v>West Bengal</v>
      </c>
      <c r="H620" s="25" t="str">
        <f>PROPER(TRIM(Raw_Data!G611))</f>
        <v>Spoken English</v>
      </c>
      <c r="I620" s="25" t="str">
        <f>PROPER(TRIM(Raw_Data!H611))</f>
        <v>Jaipur Center</v>
      </c>
      <c r="J620" s="26">
        <f>IF(LEN(TRIM(Raw_Data!I611))=4,VALUE(TRIM(Raw_Data!I611)),IF(ISNUMBER(IFERROR(VALUE(MID(TRIM(Raw_Data!I611),1,4)),"NA")),VALUE(MID(TRIM(Raw_Data!I611),1,4)),VALUE(RIGHT(TRIM(Raw_Data!I611),4))))</f>
        <v>46039</v>
      </c>
      <c r="K620" s="25" t="str">
        <f>PROPER(TRIM(Raw_Data!J611))</f>
        <v>Retired</v>
      </c>
      <c r="L620" s="25" t="str">
        <f t="shared" si="27"/>
        <v>17-19</v>
      </c>
      <c r="M620" s="25" t="str">
        <f t="shared" si="28"/>
        <v>Teens</v>
      </c>
      <c r="N620" s="25" t="str">
        <f>IF(ISNUMBER(SEARCH("NON",UPPER(Raw_Data!M611))),"Non-Premium Learner","Premium Learner")</f>
        <v>Premium Learner</v>
      </c>
      <c r="O620" s="25" t="str">
        <f>PROPER(TRIM(Raw_Data!N611))</f>
        <v>Web Only</v>
      </c>
      <c r="P620" s="26">
        <f>IF(Raw_Data!O611="",$C$7,Raw_Data!O611)</f>
        <v>146102.74</v>
      </c>
      <c r="Q620" s="25" t="str">
        <f>IF(Raw_Data!O611="","Missing-Imputed","Original")</f>
        <v>Original</v>
      </c>
      <c r="R620" s="26">
        <f>Raw_Data!P611</f>
        <v>78.3</v>
      </c>
      <c r="S620" s="26">
        <f>Raw_Data!Q611</f>
        <v>7508</v>
      </c>
      <c r="T620" s="25" t="str">
        <f>IF(Raw_Data!R611="","Unknown",IF(ISNUMBER(SEARCH("ACT",UPPER(Raw_Data!R611))),"Active",IF(ISNUMBER(SEARCH("CLOS",UPPER(Raw_Data!R611))),"Closed","None")))</f>
        <v>Active</v>
      </c>
      <c r="U620" s="26">
        <f>IF(Raw_Data!S611="",$C$8,VALUE(Raw_Data!S611))</f>
        <v>357</v>
      </c>
      <c r="V620" s="25" t="str">
        <f>IF(Raw_Data!S611="","Missing-Imputed","Original")</f>
        <v>Original</v>
      </c>
      <c r="W620" s="26">
        <f>Raw_Data!T611</f>
        <v>47</v>
      </c>
      <c r="X620" s="25" t="str">
        <f>IF(ISNUMBER(SEARCH("Y",UPPER(TRIM(Raw_Data!U611)))),"Yes","No")</f>
        <v>Yes</v>
      </c>
      <c r="Y620" s="25" t="str">
        <f>IF(ISNUMBER(SEARCH("Y",UPPER(TRIM(Raw_Data!V611)))),"Yes","No")</f>
        <v>No</v>
      </c>
      <c r="Z620" s="26">
        <f>Raw_Data!W611</f>
        <v>4</v>
      </c>
      <c r="AA620" s="26">
        <f>Raw_Data!X611</f>
        <v>7.5</v>
      </c>
      <c r="AB620" s="25" t="str">
        <f>IF(COUNTIFS(Raw_Data!$A$2:$A$616,Raw_Data!A611)&gt;1,"Duplicate","Unique")</f>
        <v>Duplicate</v>
      </c>
      <c r="AC620" s="25" t="str">
        <f t="shared" si="29"/>
        <v>Review-Duplicate</v>
      </c>
    </row>
    <row r="621" spans="1:29" ht="15" customHeight="1">
      <c r="A621" s="23" t="str">
        <f>Raw_Data!A612</f>
        <v>BYJ1029</v>
      </c>
      <c r="B621" s="23" t="str">
        <f>Raw_Data!B612</f>
        <v>Frederick Sunder</v>
      </c>
      <c r="C621" s="24">
        <f>IF(OR(Raw_Data!C612="",Raw_Data!C612&lt;$C$5,Raw_Data!C612&gt;$C$6),$C$4,Raw_Data!C612)</f>
        <v>37</v>
      </c>
      <c r="D621" s="23" t="str">
        <f>IF(Raw_Data!C612="","Missing-Imputed",IF(OR(Raw_Data!C612&lt;$C$5,Raw_Data!C612&gt;$C$6),"Outlier-Imputed","Original"))</f>
        <v>Original</v>
      </c>
      <c r="E621" s="23" t="str">
        <f>IF(OR(UPPER(TRIM(Raw_Data!D612))="M",UPPER(TRIM(Raw_Data!D612))="MALE"),"Male","Female")</f>
        <v>Male</v>
      </c>
      <c r="F621" s="23" t="str">
        <f>PROPER(TRIM(Raw_Data!E612))</f>
        <v>Katihar</v>
      </c>
      <c r="G621" s="23" t="str">
        <f>PROPER(TRIM(Raw_Data!F612))</f>
        <v>Gujarat</v>
      </c>
      <c r="H621" s="23" t="str">
        <f>PROPER(TRIM(Raw_Data!G612))</f>
        <v>Neet Prep</v>
      </c>
      <c r="I621" s="23" t="str">
        <f>PROPER(TRIM(Raw_Data!H612))</f>
        <v>Jaipur Center</v>
      </c>
      <c r="J621" s="24">
        <f>IF(LEN(TRIM(Raw_Data!I612))=4,VALUE(TRIM(Raw_Data!I612)),IF(ISNUMBER(IFERROR(VALUE(MID(TRIM(Raw_Data!I612),1,4)),"NA")),VALUE(MID(TRIM(Raw_Data!I612),1,4)),VALUE(RIGHT(TRIM(Raw_Data!I612),4))))</f>
        <v>2024</v>
      </c>
      <c r="K621" s="23" t="str">
        <f>PROPER(TRIM(Raw_Data!J612))</f>
        <v>Business</v>
      </c>
      <c r="L621" s="23" t="str">
        <f t="shared" si="27"/>
        <v>20+</v>
      </c>
      <c r="M621" s="23" t="str">
        <f t="shared" si="28"/>
        <v>Adult Learners</v>
      </c>
      <c r="N621" s="23" t="str">
        <f>IF(ISNUMBER(SEARCH("NON",UPPER(Raw_Data!M612))),"Non-Premium Learner","Premium Learner")</f>
        <v>Non-Premium Learner</v>
      </c>
      <c r="O621" s="23" t="str">
        <f>PROPER(TRIM(Raw_Data!N612))</f>
        <v>Web Only</v>
      </c>
      <c r="P621" s="24">
        <f>IF(Raw_Data!O612="",$C$7,Raw_Data!O612)</f>
        <v>38866.550000000003</v>
      </c>
      <c r="Q621" s="23" t="str">
        <f>IF(Raw_Data!O612="","Missing-Imputed","Original")</f>
        <v>Original</v>
      </c>
      <c r="R621" s="24">
        <f>Raw_Data!P612</f>
        <v>8.3000000000000007</v>
      </c>
      <c r="S621" s="24">
        <f>Raw_Data!Q612</f>
        <v>44682.31</v>
      </c>
      <c r="T621" s="23" t="str">
        <f>IF(Raw_Data!R612="","Unknown",IF(ISNUMBER(SEARCH("ACT",UPPER(Raw_Data!R612))),"Active",IF(ISNUMBER(SEARCH("CLOS",UPPER(Raw_Data!R612))),"Closed","None")))</f>
        <v>None</v>
      </c>
      <c r="U621" s="24">
        <f>IF(Raw_Data!S612="",$C$8,VALUE(Raw_Data!S612))</f>
        <v>695</v>
      </c>
      <c r="V621" s="23" t="str">
        <f>IF(Raw_Data!S612="","Missing-Imputed","Original")</f>
        <v>Original</v>
      </c>
      <c r="W621" s="24">
        <f>Raw_Data!T612</f>
        <v>166</v>
      </c>
      <c r="X621" s="23" t="str">
        <f>IF(ISNUMBER(SEARCH("Y",UPPER(TRIM(Raw_Data!U612)))),"Yes","No")</f>
        <v>Yes</v>
      </c>
      <c r="Y621" s="23" t="str">
        <f>IF(ISNUMBER(SEARCH("Y",UPPER(TRIM(Raw_Data!V612)))),"Yes","No")</f>
        <v>Yes</v>
      </c>
      <c r="Z621" s="24">
        <f>Raw_Data!W612</f>
        <v>5</v>
      </c>
      <c r="AA621" s="24">
        <f>Raw_Data!X612</f>
        <v>8.6999999999999993</v>
      </c>
      <c r="AB621" s="23" t="str">
        <f>IF(COUNTIFS(Raw_Data!$A$2:$A$616,Raw_Data!A612)&gt;1,"Duplicate","Unique")</f>
        <v>Duplicate</v>
      </c>
      <c r="AC621" s="23" t="str">
        <f t="shared" si="29"/>
        <v>Review-Duplicate</v>
      </c>
    </row>
    <row r="622" spans="1:29" ht="15" customHeight="1">
      <c r="A622" s="25" t="str">
        <f>Raw_Data!A613</f>
        <v>BYJ1105</v>
      </c>
      <c r="B622" s="25" t="str">
        <f>Raw_Data!B613</f>
        <v xml:space="preserve">  Vinaya Kanda  </v>
      </c>
      <c r="C622" s="26">
        <f>IF(OR(Raw_Data!C613="",Raw_Data!C613&lt;$C$5,Raw_Data!C613&gt;$C$6),$C$4,Raw_Data!C613)</f>
        <v>18</v>
      </c>
      <c r="D622" s="25" t="str">
        <f>IF(Raw_Data!C613="","Missing-Imputed",IF(OR(Raw_Data!C613&lt;$C$5,Raw_Data!C613&gt;$C$6),"Outlier-Imputed","Original"))</f>
        <v>Original</v>
      </c>
      <c r="E622" s="25" t="str">
        <f>IF(OR(UPPER(TRIM(Raw_Data!D613))="M",UPPER(TRIM(Raw_Data!D613))="MALE"),"Male","Female")</f>
        <v>Male</v>
      </c>
      <c r="F622" s="25" t="str">
        <f>PROPER(TRIM(Raw_Data!E613))</f>
        <v>Junagadh</v>
      </c>
      <c r="G622" s="25" t="str">
        <f>PROPER(TRIM(Raw_Data!F613))</f>
        <v>Gujarat</v>
      </c>
      <c r="H622" s="25" t="str">
        <f>PROPER(TRIM(Raw_Data!G613))</f>
        <v>Coding</v>
      </c>
      <c r="I622" s="25" t="str">
        <f>PROPER(TRIM(Raw_Data!H613))</f>
        <v>Chennai Central</v>
      </c>
      <c r="J622" s="26">
        <f>IF(LEN(TRIM(Raw_Data!I613))=4,VALUE(TRIM(Raw_Data!I613)),IF(ISNUMBER(IFERROR(VALUE(MID(TRIM(Raw_Data!I613),1,4)),"NA")),VALUE(MID(TRIM(Raw_Data!I613),1,4)),VALUE(RIGHT(TRIM(Raw_Data!I613),4))))</f>
        <v>2018</v>
      </c>
      <c r="K622" s="25" t="str">
        <f>PROPER(TRIM(Raw_Data!J613))</f>
        <v>Salaried</v>
      </c>
      <c r="L622" s="25" t="str">
        <f t="shared" si="27"/>
        <v>17-19</v>
      </c>
      <c r="M622" s="25" t="str">
        <f t="shared" si="28"/>
        <v>Teens</v>
      </c>
      <c r="N622" s="25" t="str">
        <f>IF(ISNUMBER(SEARCH("NON",UPPER(Raw_Data!M613))),"Non-Premium Learner","Premium Learner")</f>
        <v>Non-Premium Learner</v>
      </c>
      <c r="O622" s="25" t="str">
        <f>PROPER(TRIM(Raw_Data!N613))</f>
        <v>App Only</v>
      </c>
      <c r="P622" s="26">
        <f>IF(Raw_Data!O613="",$C$7,Raw_Data!O613)</f>
        <v>59170.66</v>
      </c>
      <c r="Q622" s="25" t="str">
        <f>IF(Raw_Data!O613="","Missing-Imputed","Original")</f>
        <v>Original</v>
      </c>
      <c r="R622" s="26">
        <f>Raw_Data!P613</f>
        <v>34.700000000000003</v>
      </c>
      <c r="S622" s="26">
        <f>Raw_Data!Q613</f>
        <v>6061.93</v>
      </c>
      <c r="T622" s="25" t="str">
        <f>IF(Raw_Data!R613="","Unknown",IF(ISNUMBER(SEARCH("ACT",UPPER(Raw_Data!R613))),"Active",IF(ISNUMBER(SEARCH("CLOS",UPPER(Raw_Data!R613))),"Closed","None")))</f>
        <v>Closed</v>
      </c>
      <c r="U622" s="26">
        <f>IF(Raw_Data!S613="",$C$8,VALUE(Raw_Data!S613))</f>
        <v>439</v>
      </c>
      <c r="V622" s="25" t="str">
        <f>IF(Raw_Data!S613="","Missing-Imputed","Original")</f>
        <v>Original</v>
      </c>
      <c r="W622" s="26">
        <f>Raw_Data!T613</f>
        <v>187</v>
      </c>
      <c r="X622" s="25" t="str">
        <f>IF(ISNUMBER(SEARCH("Y",UPPER(TRIM(Raw_Data!U613)))),"Yes","No")</f>
        <v>No</v>
      </c>
      <c r="Y622" s="25" t="str">
        <f>IF(ISNUMBER(SEARCH("Y",UPPER(TRIM(Raw_Data!V613)))),"Yes","No")</f>
        <v>No</v>
      </c>
      <c r="Z622" s="26">
        <f>Raw_Data!W613</f>
        <v>5</v>
      </c>
      <c r="AA622" s="26">
        <f>Raw_Data!X613</f>
        <v>6.4</v>
      </c>
      <c r="AB622" s="25" t="str">
        <f>IF(COUNTIFS(Raw_Data!$A$2:$A$616,Raw_Data!A613)&gt;1,"Duplicate","Unique")</f>
        <v>Duplicate</v>
      </c>
      <c r="AC622" s="25" t="str">
        <f t="shared" si="29"/>
        <v>Review-Duplicate</v>
      </c>
    </row>
    <row r="623" spans="1:29" ht="15" customHeight="1">
      <c r="A623" s="23" t="str">
        <f>Raw_Data!A614</f>
        <v>BYJ1240</v>
      </c>
      <c r="B623" s="23" t="str">
        <f>Raw_Data!B614</f>
        <v>Anjali More</v>
      </c>
      <c r="C623" s="24">
        <f>IF(OR(Raw_Data!C614="",Raw_Data!C614&lt;$C$5,Raw_Data!C614&gt;$C$6),$C$4,Raw_Data!C614)</f>
        <v>18</v>
      </c>
      <c r="D623" s="23" t="str">
        <f>IF(Raw_Data!C614="","Missing-Imputed",IF(OR(Raw_Data!C614&lt;$C$5,Raw_Data!C614&gt;$C$6),"Outlier-Imputed","Original"))</f>
        <v>Original</v>
      </c>
      <c r="E623" s="23" t="str">
        <f>IF(OR(UPPER(TRIM(Raw_Data!D614))="M",UPPER(TRIM(Raw_Data!D614))="MALE"),"Male","Female")</f>
        <v>Male</v>
      </c>
      <c r="F623" s="23" t="str">
        <f>PROPER(TRIM(Raw_Data!E614))</f>
        <v>Etawah</v>
      </c>
      <c r="G623" s="23" t="str">
        <f>PROPER(TRIM(Raw_Data!F614))</f>
        <v>Maharashtra</v>
      </c>
      <c r="H623" s="23" t="str">
        <f>PROPER(TRIM(Raw_Data!G614))</f>
        <v>English</v>
      </c>
      <c r="I623" s="23" t="str">
        <f>PROPER(TRIM(Raw_Data!H614))</f>
        <v>Kolkata Main</v>
      </c>
      <c r="J623" s="24">
        <f>IF(LEN(TRIM(Raw_Data!I614))=4,VALUE(TRIM(Raw_Data!I614)),IF(ISNUMBER(IFERROR(VALUE(MID(TRIM(Raw_Data!I614),1,4)),"NA")),VALUE(MID(TRIM(Raw_Data!I614),1,4)),VALUE(RIGHT(TRIM(Raw_Data!I614),4))))</f>
        <v>2024</v>
      </c>
      <c r="K623" s="23" t="str">
        <f>PROPER(TRIM(Raw_Data!J614))</f>
        <v>Self-Employed</v>
      </c>
      <c r="L623" s="23" t="str">
        <f t="shared" si="27"/>
        <v>17-19</v>
      </c>
      <c r="M623" s="23" t="str">
        <f t="shared" si="28"/>
        <v>Teens</v>
      </c>
      <c r="N623" s="23" t="str">
        <f>IF(ISNUMBER(SEARCH("NON",UPPER(Raw_Data!M614))),"Non-Premium Learner","Premium Learner")</f>
        <v>Premium Learner</v>
      </c>
      <c r="O623" s="23" t="str">
        <f>PROPER(TRIM(Raw_Data!N614))</f>
        <v>App Only</v>
      </c>
      <c r="P623" s="24">
        <f>IF(Raw_Data!O614="",$C$7,Raw_Data!O614)</f>
        <v>29085.3</v>
      </c>
      <c r="Q623" s="23" t="str">
        <f>IF(Raw_Data!O614="","Missing-Imputed","Original")</f>
        <v>Original</v>
      </c>
      <c r="R623" s="24">
        <f>Raw_Data!P614</f>
        <v>57.7</v>
      </c>
      <c r="S623" s="24">
        <f>Raw_Data!Q614</f>
        <v>57832.01</v>
      </c>
      <c r="T623" s="23" t="str">
        <f>IF(Raw_Data!R614="","Unknown",IF(ISNUMBER(SEARCH("ACT",UPPER(Raw_Data!R614))),"Active",IF(ISNUMBER(SEARCH("CLOS",UPPER(Raw_Data!R614))),"Closed","None")))</f>
        <v>Closed</v>
      </c>
      <c r="U623" s="24">
        <f>IF(Raw_Data!S614="",$C$8,VALUE(Raw_Data!S614))</f>
        <v>760</v>
      </c>
      <c r="V623" s="23" t="str">
        <f>IF(Raw_Data!S614="","Missing-Imputed","Original")</f>
        <v>Original</v>
      </c>
      <c r="W623" s="24">
        <f>Raw_Data!T614</f>
        <v>51</v>
      </c>
      <c r="X623" s="23" t="str">
        <f>IF(ISNUMBER(SEARCH("Y",UPPER(TRIM(Raw_Data!U614)))),"Yes","No")</f>
        <v>No</v>
      </c>
      <c r="Y623" s="23" t="str">
        <f>IF(ISNUMBER(SEARCH("Y",UPPER(TRIM(Raw_Data!V614)))),"Yes","No")</f>
        <v>Yes</v>
      </c>
      <c r="Z623" s="24">
        <f>Raw_Data!W614</f>
        <v>1</v>
      </c>
      <c r="AA623" s="24">
        <f>Raw_Data!X614</f>
        <v>1.4</v>
      </c>
      <c r="AB623" s="23" t="str">
        <f>IF(COUNTIFS(Raw_Data!$A$2:$A$616,Raw_Data!A614)&gt;1,"Duplicate","Unique")</f>
        <v>Duplicate</v>
      </c>
      <c r="AC623" s="23" t="str">
        <f t="shared" si="29"/>
        <v>Review-Duplicate</v>
      </c>
    </row>
    <row r="624" spans="1:29" ht="15" customHeight="1">
      <c r="A624" s="25" t="str">
        <f>Raw_Data!A615</f>
        <v>BYJ1103</v>
      </c>
      <c r="B624" s="25" t="str">
        <f>Raw_Data!B615</f>
        <v>Anmol Rai</v>
      </c>
      <c r="C624" s="26">
        <f>IF(OR(Raw_Data!C615="",Raw_Data!C615&lt;$C$5,Raw_Data!C615&gt;$C$6),$C$4,Raw_Data!C615)</f>
        <v>39</v>
      </c>
      <c r="D624" s="25" t="str">
        <f>IF(Raw_Data!C615="","Missing-Imputed",IF(OR(Raw_Data!C615&lt;$C$5,Raw_Data!C615&gt;$C$6),"Outlier-Imputed","Original"))</f>
        <v>Original</v>
      </c>
      <c r="E624" s="25" t="str">
        <f>IF(OR(UPPER(TRIM(Raw_Data!D615))="M",UPPER(TRIM(Raw_Data!D615))="MALE"),"Male","Female")</f>
        <v>Male</v>
      </c>
      <c r="F624" s="25" t="str">
        <f>PROPER(TRIM(Raw_Data!E615))</f>
        <v>Chennai</v>
      </c>
      <c r="G624" s="25" t="str">
        <f>PROPER(TRIM(Raw_Data!F615))</f>
        <v>West Bengal</v>
      </c>
      <c r="H624" s="25" t="str">
        <f>PROPER(TRIM(Raw_Data!G615))</f>
        <v>Neet Prep</v>
      </c>
      <c r="I624" s="25" t="str">
        <f>PROPER(TRIM(Raw_Data!H615))</f>
        <v>Ahmedabad Center</v>
      </c>
      <c r="J624" s="26">
        <f>IF(LEN(TRIM(Raw_Data!I615))=4,VALUE(TRIM(Raw_Data!I615)),IF(ISNUMBER(IFERROR(VALUE(MID(TRIM(Raw_Data!I615),1,4)),"NA")),VALUE(MID(TRIM(Raw_Data!I615),1,4)),VALUE(RIGHT(TRIM(Raw_Data!I615),4))))</f>
        <v>2024</v>
      </c>
      <c r="K624" s="25" t="str">
        <f>PROPER(TRIM(Raw_Data!J615))</f>
        <v>Self-Employed</v>
      </c>
      <c r="L624" s="25" t="str">
        <f t="shared" si="27"/>
        <v>20+</v>
      </c>
      <c r="M624" s="25" t="str">
        <f t="shared" si="28"/>
        <v>Adult Learners</v>
      </c>
      <c r="N624" s="25" t="str">
        <f>IF(ISNUMBER(SEARCH("NON",UPPER(Raw_Data!M615))),"Non-Premium Learner","Premium Learner")</f>
        <v>Premium Learner</v>
      </c>
      <c r="O624" s="25" t="str">
        <f>PROPER(TRIM(Raw_Data!N615))</f>
        <v>Both App &amp; Web</v>
      </c>
      <c r="P624" s="26">
        <f>IF(Raw_Data!O615="",$C$7,Raw_Data!O615)</f>
        <v>36757.93</v>
      </c>
      <c r="Q624" s="25" t="str">
        <f>IF(Raw_Data!O615="","Missing-Imputed","Original")</f>
        <v>Original</v>
      </c>
      <c r="R624" s="26">
        <f>Raw_Data!P615</f>
        <v>63.4</v>
      </c>
      <c r="S624" s="26">
        <f>Raw_Data!Q615</f>
        <v>3515.47</v>
      </c>
      <c r="T624" s="25" t="str">
        <f>IF(Raw_Data!R615="","Unknown",IF(ISNUMBER(SEARCH("ACT",UPPER(Raw_Data!R615))),"Active",IF(ISNUMBER(SEARCH("CLOS",UPPER(Raw_Data!R615))),"Closed","None")))</f>
        <v>Closed</v>
      </c>
      <c r="U624" s="26">
        <f>IF(Raw_Data!S615="",$C$8,VALUE(Raw_Data!S615))</f>
        <v>666</v>
      </c>
      <c r="V624" s="25" t="str">
        <f>IF(Raw_Data!S615="","Missing-Imputed","Original")</f>
        <v>Original</v>
      </c>
      <c r="W624" s="26">
        <f>Raw_Data!T615</f>
        <v>59</v>
      </c>
      <c r="X624" s="25" t="str">
        <f>IF(ISNUMBER(SEARCH("Y",UPPER(TRIM(Raw_Data!U615)))),"Yes","No")</f>
        <v>Yes</v>
      </c>
      <c r="Y624" s="25" t="str">
        <f>IF(ISNUMBER(SEARCH("Y",UPPER(TRIM(Raw_Data!V615)))),"Yes","No")</f>
        <v>Yes</v>
      </c>
      <c r="Z624" s="26">
        <f>Raw_Data!W615</f>
        <v>3</v>
      </c>
      <c r="AA624" s="26">
        <f>Raw_Data!X615</f>
        <v>5</v>
      </c>
      <c r="AB624" s="25" t="str">
        <f>IF(COUNTIFS(Raw_Data!$A$2:$A$616,Raw_Data!A615)&gt;1,"Duplicate","Unique")</f>
        <v>Duplicate</v>
      </c>
      <c r="AC624" s="25" t="str">
        <f t="shared" si="29"/>
        <v>Review-Duplicate</v>
      </c>
    </row>
    <row r="625" spans="1:29" ht="15" customHeight="1">
      <c r="A625" s="27" t="str">
        <f>Raw_Data!A616</f>
        <v>BYJ1086</v>
      </c>
      <c r="B625" s="27" t="str">
        <f>Raw_Data!B616</f>
        <v>Udyati Sathe</v>
      </c>
      <c r="C625" s="28">
        <f>IF(OR(Raw_Data!C616="",Raw_Data!C616&lt;$C$5,Raw_Data!C616&gt;$C$6),$C$4,Raw_Data!C616)</f>
        <v>22</v>
      </c>
      <c r="D625" s="27" t="str">
        <f>IF(Raw_Data!C616="","Missing-Imputed",IF(OR(Raw_Data!C616&lt;$C$5,Raw_Data!C616&gt;$C$6),"Outlier-Imputed","Original"))</f>
        <v>Original</v>
      </c>
      <c r="E625" s="27" t="str">
        <f>IF(OR(UPPER(TRIM(Raw_Data!D616))="M",UPPER(TRIM(Raw_Data!D616))="MALE"),"Male","Female")</f>
        <v>Female</v>
      </c>
      <c r="F625" s="27" t="str">
        <f>PROPER(TRIM(Raw_Data!E616))</f>
        <v>Kakinada</v>
      </c>
      <c r="G625" s="27" t="str">
        <f>PROPER(TRIM(Raw_Data!F616))</f>
        <v>Gujarat</v>
      </c>
      <c r="H625" s="27" t="str">
        <f>PROPER(TRIM(Raw_Data!G616))</f>
        <v>Robotics</v>
      </c>
      <c r="I625" s="27" t="str">
        <f>PROPER(TRIM(Raw_Data!H616))</f>
        <v>Lucknow Hub</v>
      </c>
      <c r="J625" s="28">
        <f>IF(LEN(TRIM(Raw_Data!I616))=4,VALUE(TRIM(Raw_Data!I616)),IF(ISNUMBER(IFERROR(VALUE(MID(TRIM(Raw_Data!I616),1,4)),"NA")),VALUE(MID(TRIM(Raw_Data!I616),1,4)),VALUE(RIGHT(TRIM(Raw_Data!I616),4))))</f>
        <v>46026</v>
      </c>
      <c r="K625" s="27" t="str">
        <f>PROPER(TRIM(Raw_Data!J616))</f>
        <v>Homemaker</v>
      </c>
      <c r="L625" s="27" t="str">
        <f t="shared" si="27"/>
        <v>20+</v>
      </c>
      <c r="M625" s="27" t="str">
        <f t="shared" si="28"/>
        <v>Adult Learners</v>
      </c>
      <c r="N625" s="27" t="str">
        <f>IF(ISNUMBER(SEARCH("NON",UPPER(Raw_Data!M616))),"Non-Premium Learner","Premium Learner")</f>
        <v>Non-Premium Learner</v>
      </c>
      <c r="O625" s="27" t="str">
        <f>PROPER(TRIM(Raw_Data!N616))</f>
        <v>Both App &amp; Web</v>
      </c>
      <c r="P625" s="28">
        <f>IF(Raw_Data!O616="",$C$7,Raw_Data!O616)</f>
        <v>107368.31</v>
      </c>
      <c r="Q625" s="27" t="str">
        <f>IF(Raw_Data!O616="","Missing-Imputed","Original")</f>
        <v>Original</v>
      </c>
      <c r="R625" s="28">
        <f>Raw_Data!P616</f>
        <v>51.1</v>
      </c>
      <c r="S625" s="28">
        <f>Raw_Data!Q616</f>
        <v>5085.12</v>
      </c>
      <c r="T625" s="27" t="str">
        <f>IF(Raw_Data!R616="","Unknown",IF(ISNUMBER(SEARCH("ACT",UPPER(Raw_Data!R616))),"Active",IF(ISNUMBER(SEARCH("CLOS",UPPER(Raw_Data!R616))),"Closed","None")))</f>
        <v>Active</v>
      </c>
      <c r="U625" s="28">
        <f>IF(Raw_Data!S616="",$C$8,VALUE(Raw_Data!S616))</f>
        <v>420</v>
      </c>
      <c r="V625" s="27" t="str">
        <f>IF(Raw_Data!S616="","Missing-Imputed","Original")</f>
        <v>Original</v>
      </c>
      <c r="W625" s="28">
        <f>Raw_Data!T616</f>
        <v>29</v>
      </c>
      <c r="X625" s="27" t="str">
        <f>IF(ISNUMBER(SEARCH("Y",UPPER(TRIM(Raw_Data!U616)))),"Yes","No")</f>
        <v>Yes</v>
      </c>
      <c r="Y625" s="27" t="str">
        <f>IF(ISNUMBER(SEARCH("Y",UPPER(TRIM(Raw_Data!V616)))),"Yes","No")</f>
        <v>Yes</v>
      </c>
      <c r="Z625" s="28">
        <f>Raw_Data!W616</f>
        <v>4</v>
      </c>
      <c r="AA625" s="28">
        <f>Raw_Data!X616</f>
        <v>5.6</v>
      </c>
      <c r="AB625" s="27" t="str">
        <f>IF(COUNTIFS(Raw_Data!$A$2:$A$616,Raw_Data!A616)&gt;1,"Duplicate","Unique")</f>
        <v>Duplicate</v>
      </c>
      <c r="AC625" s="27" t="str">
        <f t="shared" si="29"/>
        <v>Review-Duplicate</v>
      </c>
    </row>
  </sheetData>
  <mergeCells count="2">
    <mergeCell ref="B2:E2"/>
    <mergeCell ref="D4:H4"/>
  </mergeCells>
  <conditionalFormatting sqref="A11:AC625">
    <cfRule type="expression" dxfId="8" priority="12">
      <formula>$AB11="Duplicate"</formula>
    </cfRule>
  </conditionalFormatting>
  <conditionalFormatting sqref="D11:D625">
    <cfRule type="expression" dxfId="7" priority="2">
      <formula>D11="Missing-Imputed"</formula>
    </cfRule>
    <cfRule type="expression" dxfId="6" priority="3">
      <formula>D11="Outlier-Imputed"</formula>
    </cfRule>
  </conditionalFormatting>
  <conditionalFormatting sqref="Q11:Q625">
    <cfRule type="expression" dxfId="5" priority="4">
      <formula>Q11="Missing-Imputed"</formula>
    </cfRule>
  </conditionalFormatting>
  <conditionalFormatting sqref="U11:U625">
    <cfRule type="colorScale" priority="10">
      <colorScale>
        <cfvo type="min"/>
        <cfvo type="percentile" val="50"/>
        <cfvo type="max"/>
        <color rgb="FFF8696B"/>
        <color rgb="FFFFEB84"/>
        <color rgb="FF63BE7B"/>
      </colorScale>
    </cfRule>
  </conditionalFormatting>
  <conditionalFormatting sqref="V11:V625">
    <cfRule type="expression" dxfId="4" priority="5">
      <formula>V11="Missing-Imputed"</formula>
    </cfRule>
  </conditionalFormatting>
  <conditionalFormatting sqref="Z11:Z625">
    <cfRule type="colorScale" priority="11">
      <colorScale>
        <cfvo type="min"/>
        <cfvo type="percentile" val="50"/>
        <cfvo type="max"/>
        <color rgb="FFF8696B"/>
        <color rgb="FFFFEB84"/>
        <color rgb="FF63BE7B"/>
      </colorScale>
    </cfRule>
  </conditionalFormatting>
  <conditionalFormatting sqref="AB11:AB625">
    <cfRule type="expression" dxfId="3" priority="6">
      <formula>AB11="Duplicate"</formula>
    </cfRule>
  </conditionalFormatting>
  <conditionalFormatting sqref="AC11:AC625">
    <cfRule type="expression" dxfId="2" priority="7">
      <formula>AC11="Review-Duplicate"</formula>
    </cfRule>
    <cfRule type="expression" dxfId="1" priority="8">
      <formula>AC11="Imputed"</formula>
    </cfRule>
    <cfRule type="expression" dxfId="0" priority="9">
      <formula>AC11="Clean"</formula>
    </cfRule>
  </conditionalFormatting>
  <pageMargins left="0.75" right="0.75" top="1" bottom="1"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E0CB-C5AE-49BB-8C87-56F0A3B2B185}">
  <sheetPr>
    <tabColor theme="2"/>
  </sheetPr>
  <dimension ref="A2:K96"/>
  <sheetViews>
    <sheetView topLeftCell="A24" zoomScale="81" zoomScaleNormal="70" workbookViewId="0"/>
  </sheetViews>
  <sheetFormatPr defaultRowHeight="15"/>
  <cols>
    <col min="1" max="1" width="20.140625" bestFit="1" customWidth="1"/>
    <col min="2" max="2" width="19.140625" bestFit="1" customWidth="1"/>
    <col min="3" max="3" width="23.140625" customWidth="1"/>
    <col min="4" max="4" width="32.28515625" customWidth="1"/>
    <col min="5" max="5" width="23.140625" bestFit="1" customWidth="1"/>
    <col min="6" max="6" width="23.140625" customWidth="1"/>
    <col min="8" max="8" width="19.140625" bestFit="1" customWidth="1"/>
    <col min="9" max="9" width="22.140625" customWidth="1"/>
    <col min="10" max="10" width="23.28515625" bestFit="1" customWidth="1"/>
    <col min="11" max="11" width="32.5703125" bestFit="1" customWidth="1"/>
  </cols>
  <sheetData>
    <row r="2" spans="1:11" ht="18">
      <c r="A2" s="37" t="s">
        <v>2043</v>
      </c>
      <c r="B2" s="33"/>
      <c r="H2" s="37" t="s">
        <v>2054</v>
      </c>
      <c r="I2" s="33"/>
      <c r="J2" s="37"/>
      <c r="K2" s="33"/>
    </row>
    <row r="3" spans="1:11">
      <c r="A3" s="3" t="s">
        <v>2040</v>
      </c>
      <c r="B3" t="s">
        <v>2037</v>
      </c>
      <c r="H3" t="s">
        <v>2037</v>
      </c>
      <c r="I3" t="s">
        <v>2038</v>
      </c>
      <c r="J3" t="s">
        <v>2039</v>
      </c>
      <c r="K3" t="s">
        <v>2042</v>
      </c>
    </row>
    <row r="4" spans="1:11">
      <c r="A4" s="4" t="s">
        <v>70</v>
      </c>
      <c r="B4">
        <v>204</v>
      </c>
      <c r="H4">
        <v>615</v>
      </c>
      <c r="I4">
        <v>45599859.670000002</v>
      </c>
      <c r="J4">
        <v>18133088.829999998</v>
      </c>
      <c r="K4">
        <v>26100.9</v>
      </c>
    </row>
    <row r="5" spans="1:11">
      <c r="A5" s="4" t="s">
        <v>36</v>
      </c>
      <c r="B5">
        <v>204</v>
      </c>
    </row>
    <row r="6" spans="1:11">
      <c r="A6" s="4" t="s">
        <v>60</v>
      </c>
      <c r="B6">
        <v>207</v>
      </c>
    </row>
    <row r="7" spans="1:11">
      <c r="A7" s="4" t="s">
        <v>2041</v>
      </c>
      <c r="B7">
        <v>615</v>
      </c>
    </row>
    <row r="10" spans="1:11" ht="18">
      <c r="A10" s="37" t="s">
        <v>2044</v>
      </c>
      <c r="B10" s="37"/>
    </row>
    <row r="11" spans="1:11">
      <c r="A11" s="3" t="s">
        <v>2040</v>
      </c>
      <c r="B11" t="s">
        <v>2037</v>
      </c>
    </row>
    <row r="12" spans="1:11">
      <c r="A12" s="4" t="s">
        <v>162</v>
      </c>
      <c r="B12">
        <v>76</v>
      </c>
    </row>
    <row r="13" spans="1:11">
      <c r="A13" s="4" t="s">
        <v>78</v>
      </c>
      <c r="B13">
        <v>72</v>
      </c>
    </row>
    <row r="14" spans="1:11">
      <c r="A14" s="4" t="s">
        <v>2045</v>
      </c>
      <c r="B14">
        <v>68</v>
      </c>
    </row>
    <row r="15" spans="1:11">
      <c r="A15" s="4" t="s">
        <v>31</v>
      </c>
      <c r="B15">
        <v>80</v>
      </c>
    </row>
    <row r="16" spans="1:11">
      <c r="A16" s="4" t="s">
        <v>2046</v>
      </c>
      <c r="B16">
        <v>100</v>
      </c>
    </row>
    <row r="17" spans="1:2">
      <c r="A17" s="4" t="s">
        <v>179</v>
      </c>
      <c r="B17">
        <v>72</v>
      </c>
    </row>
    <row r="18" spans="1:2">
      <c r="A18" s="4" t="s">
        <v>217</v>
      </c>
      <c r="B18">
        <v>74</v>
      </c>
    </row>
    <row r="19" spans="1:2">
      <c r="A19" s="4" t="s">
        <v>45</v>
      </c>
      <c r="B19">
        <v>73</v>
      </c>
    </row>
    <row r="20" spans="1:2">
      <c r="A20" s="4" t="s">
        <v>2041</v>
      </c>
      <c r="B20">
        <v>615</v>
      </c>
    </row>
    <row r="24" spans="1:2">
      <c r="A24" s="3" t="s">
        <v>2017</v>
      </c>
      <c r="B24" t="s" vm="1">
        <v>2048</v>
      </c>
    </row>
    <row r="25" spans="1:2" ht="18">
      <c r="A25" s="37" t="s">
        <v>2047</v>
      </c>
      <c r="B25" s="37"/>
    </row>
    <row r="26" spans="1:2">
      <c r="A26" s="3" t="s">
        <v>2040</v>
      </c>
      <c r="B26" t="s">
        <v>2039</v>
      </c>
    </row>
    <row r="27" spans="1:2">
      <c r="A27" s="4" t="s">
        <v>2046</v>
      </c>
      <c r="B27" s="5">
        <v>2824346.12</v>
      </c>
    </row>
    <row r="28" spans="1:2">
      <c r="A28" s="4" t="s">
        <v>162</v>
      </c>
      <c r="B28" s="5">
        <v>2079233.17</v>
      </c>
    </row>
    <row r="29" spans="1:2">
      <c r="A29" s="4" t="s">
        <v>78</v>
      </c>
      <c r="B29" s="5">
        <v>2237634.5699999998</v>
      </c>
    </row>
    <row r="30" spans="1:2">
      <c r="A30" s="4" t="s">
        <v>31</v>
      </c>
      <c r="B30" s="5">
        <v>2389946.16</v>
      </c>
    </row>
    <row r="31" spans="1:2">
      <c r="A31" s="4" t="s">
        <v>179</v>
      </c>
      <c r="B31" s="5">
        <v>2200960.42</v>
      </c>
    </row>
    <row r="32" spans="1:2">
      <c r="A32" s="4" t="s">
        <v>217</v>
      </c>
      <c r="B32" s="5">
        <v>2053922.38</v>
      </c>
    </row>
    <row r="33" spans="1:2">
      <c r="A33" s="4" t="s">
        <v>45</v>
      </c>
      <c r="B33" s="5">
        <v>2102366.11</v>
      </c>
    </row>
    <row r="34" spans="1:2">
      <c r="A34" s="4" t="s">
        <v>2045</v>
      </c>
      <c r="B34" s="5">
        <v>2244679.9</v>
      </c>
    </row>
    <row r="35" spans="1:2">
      <c r="A35" s="4" t="s">
        <v>2041</v>
      </c>
      <c r="B35" s="5">
        <v>18133088.829999998</v>
      </c>
    </row>
    <row r="37" spans="1:2" ht="18">
      <c r="A37" s="37" t="s">
        <v>2053</v>
      </c>
      <c r="B37" s="33"/>
    </row>
    <row r="38" spans="1:2">
      <c r="A38" s="3" t="s">
        <v>2025</v>
      </c>
      <c r="B38" t="s" vm="2">
        <v>2048</v>
      </c>
    </row>
    <row r="40" spans="1:2">
      <c r="A40" s="3" t="s">
        <v>2040</v>
      </c>
      <c r="B40" t="s">
        <v>2038</v>
      </c>
    </row>
    <row r="41" spans="1:2">
      <c r="A41" s="4" t="s">
        <v>162</v>
      </c>
      <c r="B41">
        <v>5563435.5199999996</v>
      </c>
    </row>
    <row r="42" spans="1:2">
      <c r="A42" s="4" t="s">
        <v>78</v>
      </c>
      <c r="B42">
        <v>4969000.91</v>
      </c>
    </row>
    <row r="43" spans="1:2">
      <c r="A43" s="4" t="s">
        <v>2045</v>
      </c>
      <c r="B43">
        <v>4877503.79</v>
      </c>
    </row>
    <row r="44" spans="1:2">
      <c r="A44" s="4" t="s">
        <v>31</v>
      </c>
      <c r="B44">
        <v>6268199.3700000001</v>
      </c>
    </row>
    <row r="45" spans="1:2">
      <c r="A45" s="4" t="s">
        <v>2046</v>
      </c>
      <c r="B45">
        <v>7257089.7300000004</v>
      </c>
    </row>
    <row r="46" spans="1:2">
      <c r="A46" s="4" t="s">
        <v>179</v>
      </c>
      <c r="B46">
        <v>5601697.6500000004</v>
      </c>
    </row>
    <row r="47" spans="1:2">
      <c r="A47" s="4" t="s">
        <v>217</v>
      </c>
      <c r="B47">
        <v>5494359.9900000002</v>
      </c>
    </row>
    <row r="48" spans="1:2">
      <c r="A48" s="4" t="s">
        <v>45</v>
      </c>
      <c r="B48">
        <v>5568572.71</v>
      </c>
    </row>
    <row r="49" spans="1:2">
      <c r="A49" s="4" t="s">
        <v>2041</v>
      </c>
      <c r="B49">
        <v>45599859.670000002</v>
      </c>
    </row>
    <row r="53" spans="1:2" ht="18">
      <c r="A53" s="37" t="s">
        <v>2052</v>
      </c>
      <c r="B53" s="37"/>
    </row>
    <row r="54" spans="1:2">
      <c r="A54" s="3" t="s">
        <v>2018</v>
      </c>
      <c r="B54" t="s" vm="3">
        <v>2048</v>
      </c>
    </row>
    <row r="56" spans="1:2">
      <c r="A56" s="3" t="s">
        <v>2040</v>
      </c>
      <c r="B56" t="s">
        <v>2037</v>
      </c>
    </row>
    <row r="57" spans="1:2">
      <c r="A57" s="4" t="s">
        <v>1</v>
      </c>
      <c r="B57">
        <v>444</v>
      </c>
    </row>
    <row r="58" spans="1:2">
      <c r="A58" s="4" t="s">
        <v>0</v>
      </c>
      <c r="B58">
        <v>171</v>
      </c>
    </row>
    <row r="59" spans="1:2">
      <c r="A59" s="4" t="s">
        <v>2041</v>
      </c>
      <c r="B59">
        <v>615</v>
      </c>
    </row>
    <row r="64" spans="1:2" ht="18">
      <c r="A64" s="37" t="s">
        <v>2051</v>
      </c>
      <c r="B64" s="37"/>
    </row>
    <row r="65" spans="1:2">
      <c r="A65" s="3" t="s">
        <v>2025</v>
      </c>
      <c r="B65" t="s" vm="2">
        <v>2048</v>
      </c>
    </row>
    <row r="67" spans="1:2">
      <c r="A67" s="3" t="s">
        <v>2040</v>
      </c>
      <c r="B67" t="s">
        <v>2049</v>
      </c>
    </row>
    <row r="68" spans="1:2">
      <c r="A68" s="4" t="s">
        <v>162</v>
      </c>
      <c r="B68">
        <v>76</v>
      </c>
    </row>
    <row r="69" spans="1:2">
      <c r="A69" s="4" t="s">
        <v>78</v>
      </c>
      <c r="B69">
        <v>72</v>
      </c>
    </row>
    <row r="70" spans="1:2">
      <c r="A70" s="4" t="s">
        <v>2045</v>
      </c>
      <c r="B70">
        <v>68</v>
      </c>
    </row>
    <row r="71" spans="1:2">
      <c r="A71" s="4" t="s">
        <v>31</v>
      </c>
      <c r="B71">
        <v>80</v>
      </c>
    </row>
    <row r="72" spans="1:2">
      <c r="A72" s="4" t="s">
        <v>2046</v>
      </c>
      <c r="B72">
        <v>100</v>
      </c>
    </row>
    <row r="73" spans="1:2">
      <c r="A73" s="4" t="s">
        <v>179</v>
      </c>
      <c r="B73">
        <v>72</v>
      </c>
    </row>
    <row r="74" spans="1:2">
      <c r="A74" s="4" t="s">
        <v>217</v>
      </c>
      <c r="B74">
        <v>74</v>
      </c>
    </row>
    <row r="75" spans="1:2">
      <c r="A75" s="4" t="s">
        <v>45</v>
      </c>
      <c r="B75">
        <v>73</v>
      </c>
    </row>
    <row r="76" spans="1:2">
      <c r="A76" s="4" t="s">
        <v>2041</v>
      </c>
      <c r="B76">
        <v>615</v>
      </c>
    </row>
    <row r="82" spans="1:2" ht="18">
      <c r="A82" s="37" t="s">
        <v>2050</v>
      </c>
      <c r="B82" s="33"/>
    </row>
    <row r="83" spans="1:2">
      <c r="A83" s="3" t="s">
        <v>2018</v>
      </c>
      <c r="B83" t="s" vm="3">
        <v>2048</v>
      </c>
    </row>
    <row r="85" spans="1:2">
      <c r="A85" s="3" t="s">
        <v>2040</v>
      </c>
      <c r="B85" t="s">
        <v>2037</v>
      </c>
    </row>
    <row r="86" spans="1:2">
      <c r="A86" s="4" t="s">
        <v>167</v>
      </c>
      <c r="B86">
        <v>54</v>
      </c>
    </row>
    <row r="87" spans="1:2">
      <c r="A87" s="4" t="s">
        <v>88</v>
      </c>
      <c r="B87">
        <v>61</v>
      </c>
    </row>
    <row r="88" spans="1:2">
      <c r="A88" s="4" t="s">
        <v>30</v>
      </c>
      <c r="B88">
        <v>50</v>
      </c>
    </row>
    <row r="89" spans="1:2">
      <c r="A89" s="4" t="s">
        <v>120</v>
      </c>
      <c r="B89">
        <v>53</v>
      </c>
    </row>
    <row r="90" spans="1:2">
      <c r="A90" s="4" t="s">
        <v>57</v>
      </c>
      <c r="B90">
        <v>70</v>
      </c>
    </row>
    <row r="91" spans="1:2">
      <c r="A91" s="4" t="s">
        <v>103</v>
      </c>
      <c r="B91">
        <v>71</v>
      </c>
    </row>
    <row r="92" spans="1:2">
      <c r="A92" s="4" t="s">
        <v>44</v>
      </c>
      <c r="B92">
        <v>57</v>
      </c>
    </row>
    <row r="93" spans="1:2">
      <c r="A93" s="4" t="s">
        <v>77</v>
      </c>
      <c r="B93">
        <v>61</v>
      </c>
    </row>
    <row r="94" spans="1:2">
      <c r="A94" s="4" t="s">
        <v>184</v>
      </c>
      <c r="B94">
        <v>73</v>
      </c>
    </row>
    <row r="95" spans="1:2">
      <c r="A95" s="4" t="s">
        <v>95</v>
      </c>
      <c r="B95">
        <v>65</v>
      </c>
    </row>
    <row r="96" spans="1:2">
      <c r="A96" s="4" t="s">
        <v>2041</v>
      </c>
      <c r="B96">
        <v>615</v>
      </c>
    </row>
  </sheetData>
  <sortState xmlns:xlrd2="http://schemas.microsoft.com/office/spreadsheetml/2017/richdata2" ref="A3:C250">
    <sortCondition descending="1" ref="C3"/>
  </sortState>
  <mergeCells count="9">
    <mergeCell ref="J2:K2"/>
    <mergeCell ref="A2:B2"/>
    <mergeCell ref="A10:B10"/>
    <mergeCell ref="A25:B25"/>
    <mergeCell ref="A82:B82"/>
    <mergeCell ref="A37:B37"/>
    <mergeCell ref="A53:B53"/>
    <mergeCell ref="A64:B64"/>
    <mergeCell ref="H2:I2"/>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585C7-3FEA-458B-92F7-5BB5633301BD}">
  <sheetPr>
    <tabColor theme="2"/>
  </sheetPr>
  <dimension ref="A3:C13"/>
  <sheetViews>
    <sheetView zoomScaleNormal="100" workbookViewId="0"/>
  </sheetViews>
  <sheetFormatPr defaultRowHeight="15"/>
  <cols>
    <col min="1" max="1" width="22.7109375" customWidth="1"/>
    <col min="2" max="3" width="55.7109375" customWidth="1"/>
  </cols>
  <sheetData>
    <row r="3" spans="1:3">
      <c r="A3" s="11" t="s">
        <v>2055</v>
      </c>
      <c r="B3" s="11" t="s">
        <v>2056</v>
      </c>
      <c r="C3" s="11" t="s">
        <v>2057</v>
      </c>
    </row>
    <row r="4" spans="1:3">
      <c r="A4" s="12" t="s">
        <v>2058</v>
      </c>
      <c r="B4" s="12" t="s">
        <v>2059</v>
      </c>
      <c r="C4" s="12" t="s">
        <v>2060</v>
      </c>
    </row>
    <row r="5" spans="1:3">
      <c r="A5" s="12" t="s">
        <v>2061</v>
      </c>
      <c r="B5" s="12" t="s">
        <v>2062</v>
      </c>
      <c r="C5" s="12" t="s">
        <v>2063</v>
      </c>
    </row>
    <row r="6" spans="1:3">
      <c r="A6" s="12" t="s">
        <v>2064</v>
      </c>
      <c r="B6" s="12" t="s">
        <v>2065</v>
      </c>
      <c r="C6" s="12" t="s">
        <v>2066</v>
      </c>
    </row>
    <row r="7" spans="1:3">
      <c r="A7" s="12" t="s">
        <v>2067</v>
      </c>
      <c r="B7" s="12" t="s">
        <v>2068</v>
      </c>
      <c r="C7" s="12" t="s">
        <v>2069</v>
      </c>
    </row>
    <row r="8" spans="1:3">
      <c r="A8" s="12" t="s">
        <v>2070</v>
      </c>
      <c r="B8" s="12" t="s">
        <v>2071</v>
      </c>
      <c r="C8" s="12" t="s">
        <v>2072</v>
      </c>
    </row>
    <row r="9" spans="1:3" ht="30">
      <c r="A9" s="12" t="s">
        <v>2073</v>
      </c>
      <c r="B9" s="12" t="s">
        <v>2074</v>
      </c>
      <c r="C9" s="12" t="s">
        <v>2075</v>
      </c>
    </row>
    <row r="10" spans="1:3" ht="30">
      <c r="A10" s="12" t="s">
        <v>2076</v>
      </c>
      <c r="B10" s="12" t="s">
        <v>2077</v>
      </c>
      <c r="C10" s="12" t="s">
        <v>2078</v>
      </c>
    </row>
    <row r="11" spans="1:3">
      <c r="A11" s="12" t="s">
        <v>2079</v>
      </c>
      <c r="B11" s="12" t="s">
        <v>2080</v>
      </c>
      <c r="C11" s="12" t="s">
        <v>2081</v>
      </c>
    </row>
    <row r="12" spans="1:3">
      <c r="A12" s="12" t="s">
        <v>2082</v>
      </c>
      <c r="B12" s="12" t="s">
        <v>2083</v>
      </c>
      <c r="C12" s="12" t="s">
        <v>2084</v>
      </c>
    </row>
    <row r="13" spans="1:3">
      <c r="A13" s="12" t="s">
        <v>2085</v>
      </c>
      <c r="B13" s="12" t="s">
        <v>2086</v>
      </c>
      <c r="C13" s="12" t="s">
        <v>2087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C458A-0C51-42A7-A35C-CB92805096DF}">
  <sheetPr>
    <tabColor theme="2"/>
  </sheetPr>
  <dimension ref="I16"/>
  <sheetViews>
    <sheetView showGridLines="0" tabSelected="1" topLeftCell="B16" zoomScale="70" zoomScaleNormal="70" workbookViewId="0">
      <selection activeCell="AD18" sqref="AD18"/>
    </sheetView>
  </sheetViews>
  <sheetFormatPr defaultRowHeight="15"/>
  <sheetData>
    <row r="16" spans="9:9">
      <c r="I16" s="2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formula</vt:lpstr>
      <vt:lpstr>cleaned data</vt:lpstr>
      <vt:lpstr>pivot tables</vt:lpstr>
      <vt:lpstr>insights</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S0901168</cp:lastModifiedBy>
  <cp:revision>4</cp:revision>
  <dcterms:created xsi:type="dcterms:W3CDTF">2026-09-11T08:44:31Z</dcterms:created>
  <dcterms:modified xsi:type="dcterms:W3CDTF">2026-09-26T11:28:53Z</dcterms:modified>
  <dc:language>en-US</dc:language>
</cp:coreProperties>
</file>